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231"/>
  <workbookPr codeName="ThisWorkbook" defaultThemeVersion="124226"/>
  <mc:AlternateContent xmlns:mc="http://schemas.openxmlformats.org/markup-compatibility/2006">
    <mc:Choice Requires="x15">
      <x15ac:absPath xmlns:x15ac="http://schemas.microsoft.com/office/spreadsheetml/2010/11/ac" url="D:\Mening xujjatlarim\Филиал текшириш\2024 йил\10_Qashqadaryo viloyati\00687_11350_Карши шахар_Амалиёт\"/>
    </mc:Choice>
  </mc:AlternateContent>
  <xr:revisionPtr revIDLastSave="0" documentId="13_ncr:1_{143C0661-F261-4643-B36D-22B96865F71D}" xr6:coauthVersionLast="40" xr6:coauthVersionMax="47" xr10:uidLastSave="{00000000-0000-0000-0000-000000000000}"/>
  <bookViews>
    <workbookView xWindow="-108" yWindow="-108" windowWidth="23256" windowHeight="12456" tabRatio="710" activeTab="6" xr2:uid="{00000000-000D-0000-FFFF-FFFF00000000}"/>
  </bookViews>
  <sheets>
    <sheet name="Шаблон" sheetId="1" r:id="rId1"/>
    <sheet name="Баланс" sheetId="2" r:id="rId2"/>
    <sheet name="1.активлар" sheetId="4" r:id="rId3"/>
    <sheet name="4.а-восита" sheetId="5" state="hidden" r:id="rId4"/>
    <sheet name="9.мажбурият" sheetId="6" r:id="rId5"/>
    <sheet name="15.капитал" sheetId="11" r:id="rId6"/>
    <sheet name="17.смета" sheetId="14" r:id="rId7"/>
    <sheet name="2.Мол.ёр.16102-1" sheetId="31" state="hidden" r:id="rId8"/>
    <sheet name="2,1.Мол.ёр.22203-1" sheetId="53" r:id="rId9"/>
    <sheet name="22203" sheetId="50" state="hidden" r:id="rId10"/>
    <sheet name="3.Д-т фоиз" sheetId="10" state="hidden" r:id="rId11"/>
    <sheet name="3а.Абонент тулов" sheetId="54" state="hidden" r:id="rId12"/>
    <sheet name="5.омборхона" sheetId="22" state="hidden" r:id="rId13"/>
    <sheet name="7,ВАШ" sheetId="52" state="hidden" r:id="rId14"/>
    <sheet name="Юридек хужжат" sheetId="56" state="hidden" r:id="rId15"/>
    <sheet name="6.Иш хаки" sheetId="55" state="hidden" r:id="rId16"/>
    <sheet name="8.19900 х-р" sheetId="21" r:id="rId17"/>
    <sheet name="10.омонот фоиз " sheetId="9" state="hidden" r:id="rId18"/>
    <sheet name="11.Омонатдан ун-маган дар-д" sheetId="37" state="hidden" r:id="rId19"/>
    <sheet name="12.Бух_кунлик" sheetId="30" state="hidden" r:id="rId20"/>
    <sheet name="13.2342-йур" sheetId="24" state="hidden" r:id="rId21"/>
    <sheet name="14.29801(29896)" sheetId="38" state="hidden" r:id="rId22"/>
    <sheet name="16.Дивидент" sheetId="35" state="hidden" r:id="rId23"/>
    <sheet name="18.харажат" sheetId="40" r:id="rId24"/>
    <sheet name="22812" sheetId="58" r:id="rId25"/>
    <sheet name="актив" sheetId="59" r:id="rId26"/>
    <sheet name="Лист1" sheetId="57" state="hidden" r:id="rId27"/>
    <sheet name="19.солик" sheetId="44" state="hidden" r:id="rId28"/>
    <sheet name="20.Карт-2" sheetId="34" state="hidden" r:id="rId29"/>
    <sheet name="21.Коррект" sheetId="33" state="hidden" r:id="rId30"/>
    <sheet name="22.кам.солиштир" sheetId="46" state="hidden" r:id="rId31"/>
    <sheet name="Амалий ёр" sheetId="51" state="hidden" r:id="rId32"/>
    <sheet name="23.ўзгариш" sheetId="48" state="hidden" r:id="rId33"/>
    <sheet name="24.касса" sheetId="32" state="hidden" r:id="rId34"/>
    <sheet name="тек.даври айланма баланси" sheetId="49" state="hidden" r:id="rId35"/>
  </sheets>
  <externalReferences>
    <externalReference r:id="rId36"/>
    <externalReference r:id="rId37"/>
  </externalReferences>
  <definedNames>
    <definedName name="__I______AU__E" localSheetId="8">#REF!</definedName>
    <definedName name="__I______AU__E">#REF!</definedName>
    <definedName name="_xlnm._FilterDatabase" localSheetId="19" hidden="1">'12.Бух_кунлик'!$A$5:$L$32</definedName>
    <definedName name="_xlnm._FilterDatabase" localSheetId="20" hidden="1">'13.2342-йур'!$A$2:$I$4</definedName>
    <definedName name="_xlnm._FilterDatabase" localSheetId="23" hidden="1">'18.харажат'!$A$6:$J$297</definedName>
    <definedName name="_xlnm._FilterDatabase" localSheetId="8" hidden="1">'2,1.Мол.ёр.22203-1'!$A$5:$P$99</definedName>
    <definedName name="_xlnm._FilterDatabase" localSheetId="11" hidden="1">'3а.Абонент тулов'!$A$4:$AW$1424</definedName>
    <definedName name="_xlnm._FilterDatabase" localSheetId="12" hidden="1">'5.омборхона'!$A$7:$P$25</definedName>
    <definedName name="_xlnm._FilterDatabase" localSheetId="15" hidden="1">'6.Иш хаки'!$A$4:$F$34</definedName>
    <definedName name="_xlnm._FilterDatabase" localSheetId="16" hidden="1">'8.19900 х-р'!$A$6:$N$367</definedName>
    <definedName name="_xlnm._FilterDatabase" localSheetId="1" hidden="1">Баланс!$A$10:$H$322</definedName>
    <definedName name="_xlnm._FilterDatabase" localSheetId="34" hidden="1">'тек.даври айланма баланси'!$A$8:$H$353</definedName>
    <definedName name="_xlnm._FilterDatabase" localSheetId="0" hidden="1">Шаблон!$A$3:$B$11</definedName>
    <definedName name="_xlnm._FilterDatabase" localSheetId="14" hidden="1">'Юридек хужжат'!$A$7:$J$167</definedName>
    <definedName name="_xlnm.Print_Titles" localSheetId="8">'2,1.Мол.ёр.22203-1'!#REF!</definedName>
    <definedName name="_xlnm.Print_Titles" localSheetId="7">'2.Мол.ёр.16102-1'!#REF!</definedName>
    <definedName name="_xlnm.Print_Titles" localSheetId="12">'5.омборхона'!$3:$4</definedName>
    <definedName name="_xlnm.Print_Titles" localSheetId="16">'8.19900 х-р'!$5:$6</definedName>
    <definedName name="_xlnm.Print_Area" localSheetId="2">'1.активлар'!$A$1:$G$43</definedName>
    <definedName name="_xlnm.Print_Area" localSheetId="17">'10.омонот фоиз '!$A$1:$J$23</definedName>
    <definedName name="_xlnm.Print_Area" localSheetId="19">'12.Бух_кунлик'!$A$1:$J$41</definedName>
    <definedName name="_xlnm.Print_Area" localSheetId="21">'14.29801(29896)'!$A$2:$J$21</definedName>
    <definedName name="_xlnm.Print_Area" localSheetId="6">'17.смета'!$A$1:$I$40</definedName>
    <definedName name="_xlnm.Print_Area" localSheetId="27">'19.солик'!$A$1:$F$28</definedName>
    <definedName name="_xlnm.Print_Area" localSheetId="8">'2,1.Мол.ёр.22203-1'!$A$1:$L$109</definedName>
    <definedName name="_xlnm.Print_Area" localSheetId="7">'2.Мол.ёр.16102-1'!$A$1:$J$44</definedName>
    <definedName name="_xlnm.Print_Area" localSheetId="11">'3а.Абонент тулов'!$A$1:$AV$478</definedName>
    <definedName name="_xlnm.Print_Area" localSheetId="3">'4.а-восита'!$A$1:$L$37</definedName>
    <definedName name="_xlnm.Print_Area" localSheetId="13">'7,ВАШ'!$A$1:$H$56</definedName>
    <definedName name="_xlnm.Print_Area" localSheetId="16">'8.19900 х-р'!$A$1:$L$374</definedName>
    <definedName name="_xlnm.Print_Area" localSheetId="1">Баланс!$A$1:$H$320</definedName>
    <definedName name="_xlnm.Print_Area" localSheetId="0">Шаблон!$A$1:$B$18</definedName>
  </definedNames>
  <calcPr calcId="191029"/>
</workbook>
</file>

<file path=xl/calcChain.xml><?xml version="1.0" encoding="utf-8"?>
<calcChain xmlns="http://schemas.openxmlformats.org/spreadsheetml/2006/main">
  <c r="E20" i="4" l="1"/>
  <c r="C20" i="4"/>
  <c r="C31" i="4"/>
  <c r="E31" i="4"/>
  <c r="E27" i="6" l="1"/>
  <c r="C27" i="6"/>
  <c r="C14" i="4" l="1"/>
  <c r="E14" i="4"/>
  <c r="E24" i="6" l="1"/>
  <c r="C24" i="6"/>
  <c r="C21" i="4" l="1"/>
  <c r="E21" i="4"/>
  <c r="R48" i="14" l="1"/>
  <c r="Q48" i="14"/>
  <c r="R47" i="14"/>
  <c r="Q47" i="14"/>
  <c r="R46" i="14"/>
  <c r="Q46" i="14"/>
  <c r="Q45" i="14"/>
  <c r="K11" i="14" l="1"/>
  <c r="K8" i="14"/>
  <c r="K10" i="14" l="1"/>
  <c r="G6" i="59" l="1"/>
  <c r="C9" i="59"/>
  <c r="E9" i="59"/>
  <c r="E6" i="59" s="1"/>
  <c r="C15" i="59"/>
  <c r="E15" i="59"/>
  <c r="F22" i="59" s="1"/>
  <c r="D25" i="59"/>
  <c r="F25" i="59"/>
  <c r="D26" i="59"/>
  <c r="F26" i="59"/>
  <c r="D27" i="59"/>
  <c r="F27" i="59"/>
  <c r="D28" i="59"/>
  <c r="F28" i="59"/>
  <c r="D29" i="59"/>
  <c r="F29" i="59"/>
  <c r="B38" i="4"/>
  <c r="C9" i="4"/>
  <c r="F21" i="59" l="1"/>
  <c r="F20" i="59"/>
  <c r="F17" i="59"/>
  <c r="F16" i="59"/>
  <c r="F18" i="59"/>
  <c r="C6" i="59"/>
  <c r="D9" i="59" s="1"/>
  <c r="F8" i="59"/>
  <c r="F11" i="59"/>
  <c r="E30" i="59"/>
  <c r="F31" i="59" s="1"/>
  <c r="F12" i="59"/>
  <c r="F9" i="59"/>
  <c r="F13" i="59"/>
  <c r="F7" i="59"/>
  <c r="F10" i="59"/>
  <c r="F14" i="59"/>
  <c r="D21" i="59"/>
  <c r="D17" i="59"/>
  <c r="D20" i="59"/>
  <c r="D16" i="59"/>
  <c r="F23" i="59"/>
  <c r="F19" i="59"/>
  <c r="G15" i="59"/>
  <c r="D23" i="59"/>
  <c r="D19" i="59"/>
  <c r="D22" i="59"/>
  <c r="D18" i="59"/>
  <c r="E30" i="14"/>
  <c r="E29" i="14"/>
  <c r="F15" i="59" l="1"/>
  <c r="F6" i="59"/>
  <c r="C30" i="59"/>
  <c r="D15" i="59" s="1"/>
  <c r="D12" i="59"/>
  <c r="D13" i="59"/>
  <c r="D14" i="59"/>
  <c r="D7" i="59"/>
  <c r="D8" i="59"/>
  <c r="D10" i="59"/>
  <c r="D11" i="59"/>
  <c r="B37" i="14"/>
  <c r="A2" i="14"/>
  <c r="B17" i="11"/>
  <c r="A2" i="11"/>
  <c r="B31" i="6"/>
  <c r="A2" i="6"/>
  <c r="A2" i="4"/>
  <c r="B37" i="4"/>
  <c r="D6" i="59" l="1"/>
  <c r="D30" i="59" s="1"/>
  <c r="F30" i="59"/>
  <c r="G30" i="59"/>
  <c r="B18" i="11"/>
  <c r="B32" i="6"/>
  <c r="B14" i="11"/>
  <c r="B28" i="6"/>
  <c r="B34" i="4"/>
  <c r="E15" i="14" l="1"/>
  <c r="E16" i="14"/>
  <c r="B2" i="53"/>
  <c r="B300" i="40"/>
  <c r="B34" i="14"/>
  <c r="C26" i="40"/>
  <c r="C27" i="40"/>
  <c r="C28" i="40"/>
  <c r="C29" i="40"/>
  <c r="C30" i="40"/>
  <c r="C31" i="40"/>
  <c r="C32" i="40"/>
  <c r="C33" i="40"/>
  <c r="C34" i="40"/>
  <c r="C35" i="40"/>
  <c r="C36" i="40"/>
  <c r="C37" i="40"/>
  <c r="C38" i="40"/>
  <c r="C39" i="40"/>
  <c r="C40" i="40"/>
  <c r="C41" i="40"/>
  <c r="C42" i="40"/>
  <c r="C43" i="40"/>
  <c r="C44" i="40"/>
  <c r="C45" i="40"/>
  <c r="C46" i="40"/>
  <c r="C47" i="40"/>
  <c r="C48" i="40"/>
  <c r="C49" i="40"/>
  <c r="C50" i="40"/>
  <c r="C51" i="40"/>
  <c r="C52" i="40"/>
  <c r="C53" i="40"/>
  <c r="C54" i="40"/>
  <c r="C55" i="40"/>
  <c r="C56" i="40"/>
  <c r="C57" i="40"/>
  <c r="C58" i="40"/>
  <c r="C59" i="40"/>
  <c r="C60" i="40"/>
  <c r="C61" i="40"/>
  <c r="C62" i="40"/>
  <c r="C63" i="40"/>
  <c r="C64" i="40"/>
  <c r="C65" i="40"/>
  <c r="C66" i="40"/>
  <c r="C67" i="40"/>
  <c r="C68" i="40"/>
  <c r="C69" i="40"/>
  <c r="C70" i="40"/>
  <c r="C71" i="40"/>
  <c r="C72" i="40"/>
  <c r="C73" i="40"/>
  <c r="C74" i="40"/>
  <c r="C75" i="40"/>
  <c r="C76" i="40"/>
  <c r="C77" i="40"/>
  <c r="C78" i="40"/>
  <c r="C79" i="40"/>
  <c r="C80" i="40"/>
  <c r="C81" i="40"/>
  <c r="C82" i="40"/>
  <c r="C83" i="40"/>
  <c r="C84" i="40"/>
  <c r="C85" i="40"/>
  <c r="C86" i="40"/>
  <c r="C87" i="40"/>
  <c r="C88" i="40"/>
  <c r="C89" i="40"/>
  <c r="C90" i="40"/>
  <c r="C91" i="40"/>
  <c r="C92" i="40"/>
  <c r="C93" i="40"/>
  <c r="C94" i="40"/>
  <c r="C95" i="40"/>
  <c r="C96" i="40"/>
  <c r="C97" i="40"/>
  <c r="C98" i="40"/>
  <c r="C99" i="40"/>
  <c r="C100" i="40"/>
  <c r="C101" i="40"/>
  <c r="C102" i="40"/>
  <c r="C103" i="40"/>
  <c r="C104" i="40"/>
  <c r="C105" i="40"/>
  <c r="C106" i="40"/>
  <c r="C107" i="40"/>
  <c r="C108" i="40"/>
  <c r="C109" i="40"/>
  <c r="C110" i="40"/>
  <c r="C111" i="40"/>
  <c r="C112" i="40"/>
  <c r="C113" i="40"/>
  <c r="C114" i="40"/>
  <c r="C115" i="40"/>
  <c r="C116" i="40"/>
  <c r="C117" i="40"/>
  <c r="C118" i="40"/>
  <c r="C119" i="40"/>
  <c r="C120" i="40"/>
  <c r="C121" i="40"/>
  <c r="C122" i="40"/>
  <c r="C123" i="40"/>
  <c r="C124" i="40"/>
  <c r="C125" i="40"/>
  <c r="C126" i="40"/>
  <c r="C127" i="40"/>
  <c r="C128" i="40"/>
  <c r="C129" i="40"/>
  <c r="C130" i="40"/>
  <c r="C131" i="40"/>
  <c r="C132" i="40"/>
  <c r="C133" i="40"/>
  <c r="C134" i="40"/>
  <c r="C135" i="40"/>
  <c r="C136" i="40"/>
  <c r="C137" i="40"/>
  <c r="C138" i="40"/>
  <c r="C139" i="40"/>
  <c r="C140" i="40"/>
  <c r="C141" i="40"/>
  <c r="C142" i="40"/>
  <c r="C143" i="40"/>
  <c r="C144" i="40"/>
  <c r="C145" i="40"/>
  <c r="C146" i="40"/>
  <c r="C147" i="40"/>
  <c r="C148" i="40"/>
  <c r="C149" i="40"/>
  <c r="C150" i="40"/>
  <c r="C151" i="40"/>
  <c r="C152" i="40"/>
  <c r="C153" i="40"/>
  <c r="C154" i="40"/>
  <c r="C155" i="40"/>
  <c r="C156" i="40"/>
  <c r="C157" i="40"/>
  <c r="C158" i="40"/>
  <c r="C159" i="40"/>
  <c r="C160" i="40"/>
  <c r="C161" i="40"/>
  <c r="C162" i="40"/>
  <c r="C163" i="40"/>
  <c r="C164" i="40"/>
  <c r="C165" i="40"/>
  <c r="C166" i="40"/>
  <c r="C167" i="40"/>
  <c r="C168" i="40"/>
  <c r="C169" i="40"/>
  <c r="C170" i="40"/>
  <c r="C171" i="40"/>
  <c r="C172" i="40"/>
  <c r="C173" i="40"/>
  <c r="C174" i="40"/>
  <c r="C175" i="40"/>
  <c r="C176" i="40"/>
  <c r="C177" i="40"/>
  <c r="C178" i="40"/>
  <c r="C179" i="40"/>
  <c r="C180" i="40"/>
  <c r="C181" i="40"/>
  <c r="C182" i="40"/>
  <c r="C183" i="40"/>
  <c r="C184" i="40"/>
  <c r="C185" i="40"/>
  <c r="C186" i="40"/>
  <c r="C187" i="40"/>
  <c r="C188" i="40"/>
  <c r="C189" i="40"/>
  <c r="C190" i="40"/>
  <c r="C191" i="40"/>
  <c r="C192" i="40"/>
  <c r="C193" i="40"/>
  <c r="C194" i="40"/>
  <c r="C195" i="40"/>
  <c r="C196" i="40"/>
  <c r="C197" i="40"/>
  <c r="C198" i="40"/>
  <c r="C199" i="40"/>
  <c r="C200" i="40"/>
  <c r="C201" i="40"/>
  <c r="C202" i="40"/>
  <c r="C203" i="40"/>
  <c r="C204" i="40"/>
  <c r="C205" i="40"/>
  <c r="C206" i="40"/>
  <c r="C207" i="40"/>
  <c r="C208" i="40"/>
  <c r="C209" i="40"/>
  <c r="C210" i="40"/>
  <c r="C211" i="40"/>
  <c r="C212" i="40"/>
  <c r="C213" i="40"/>
  <c r="C214" i="40"/>
  <c r="C215" i="40"/>
  <c r="C216" i="40"/>
  <c r="C217" i="40"/>
  <c r="C218" i="40"/>
  <c r="C219" i="40"/>
  <c r="C220" i="40"/>
  <c r="C221" i="40"/>
  <c r="C222" i="40"/>
  <c r="C223" i="40"/>
  <c r="C224" i="40"/>
  <c r="C225" i="40"/>
  <c r="C226" i="40"/>
  <c r="C227" i="40"/>
  <c r="C228" i="40"/>
  <c r="C229" i="40"/>
  <c r="C230" i="40"/>
  <c r="C231" i="40"/>
  <c r="C232" i="40"/>
  <c r="C233" i="40"/>
  <c r="C234" i="40"/>
  <c r="C235" i="40"/>
  <c r="C236" i="40"/>
  <c r="C237" i="40"/>
  <c r="C238" i="40"/>
  <c r="C239" i="40"/>
  <c r="C240" i="40"/>
  <c r="C241" i="40"/>
  <c r="C242" i="40"/>
  <c r="C243" i="40"/>
  <c r="C244" i="40"/>
  <c r="C245" i="40"/>
  <c r="C246" i="40"/>
  <c r="C247" i="40"/>
  <c r="C248" i="40"/>
  <c r="C249" i="40"/>
  <c r="C250" i="40"/>
  <c r="C251" i="40"/>
  <c r="C252" i="40"/>
  <c r="C253" i="40"/>
  <c r="C254" i="40"/>
  <c r="C255" i="40"/>
  <c r="C256" i="40"/>
  <c r="C257" i="40"/>
  <c r="C258" i="40"/>
  <c r="C259" i="40"/>
  <c r="C260" i="40"/>
  <c r="C261" i="40"/>
  <c r="C262" i="40"/>
  <c r="C263" i="40"/>
  <c r="C264" i="40"/>
  <c r="C265" i="40"/>
  <c r="C266" i="40"/>
  <c r="C267" i="40"/>
  <c r="C268" i="40"/>
  <c r="C269" i="40"/>
  <c r="C270" i="40"/>
  <c r="C271" i="40"/>
  <c r="C272" i="40"/>
  <c r="C273" i="40"/>
  <c r="C274" i="40"/>
  <c r="C275" i="40"/>
  <c r="C276" i="40"/>
  <c r="C277" i="40"/>
  <c r="C278" i="40"/>
  <c r="C279" i="40"/>
  <c r="C280" i="40"/>
  <c r="C281" i="40"/>
  <c r="C282" i="40"/>
  <c r="C283" i="40"/>
  <c r="C284" i="40"/>
  <c r="C285" i="40"/>
  <c r="C286" i="40"/>
  <c r="C287" i="40"/>
  <c r="C288" i="40"/>
  <c r="C289" i="40"/>
  <c r="C290" i="40"/>
  <c r="C291" i="40"/>
  <c r="C292" i="40"/>
  <c r="C293" i="40"/>
  <c r="C294" i="40"/>
  <c r="C295" i="40"/>
  <c r="C296" i="40"/>
  <c r="C25" i="40"/>
  <c r="C24" i="40"/>
  <c r="C23" i="40"/>
  <c r="C22" i="40"/>
  <c r="C21" i="40"/>
  <c r="C20" i="40"/>
  <c r="C19" i="40"/>
  <c r="C18" i="40"/>
  <c r="C17" i="40"/>
  <c r="C16" i="40"/>
  <c r="C15" i="40"/>
  <c r="C14" i="40"/>
  <c r="C13" i="40"/>
  <c r="C12" i="40"/>
  <c r="C11" i="40"/>
  <c r="C10" i="40"/>
  <c r="C9" i="40"/>
  <c r="C8" i="40"/>
  <c r="H142" i="58"/>
  <c r="A22" i="58"/>
  <c r="A23" i="58" s="1"/>
  <c r="A24" i="58" s="1"/>
  <c r="A25" i="58" s="1"/>
  <c r="A26" i="58" s="1"/>
  <c r="A27" i="58" s="1"/>
  <c r="A28" i="58" s="1"/>
  <c r="A29" i="58" s="1"/>
  <c r="A30" i="58" s="1"/>
  <c r="A31" i="58" s="1"/>
  <c r="A32" i="58" s="1"/>
  <c r="A33" i="58" s="1"/>
  <c r="A34" i="58" s="1"/>
  <c r="A35" i="58" s="1"/>
  <c r="A36" i="58" s="1"/>
  <c r="A37" i="58" s="1"/>
  <c r="A38" i="58" s="1"/>
  <c r="A39" i="58" s="1"/>
  <c r="A40" i="58" s="1"/>
  <c r="A41" i="58" s="1"/>
  <c r="A42" i="58" s="1"/>
  <c r="A43" i="58" s="1"/>
  <c r="A44" i="58" s="1"/>
  <c r="A45" i="58" s="1"/>
  <c r="A46" i="58" s="1"/>
  <c r="A47" i="58" s="1"/>
  <c r="A48" i="58" s="1"/>
  <c r="A49" i="58" s="1"/>
  <c r="A50" i="58" s="1"/>
  <c r="A51" i="58" s="1"/>
  <c r="A52" i="58" s="1"/>
  <c r="A53" i="58" s="1"/>
  <c r="A54" i="58" s="1"/>
  <c r="A55" i="58" s="1"/>
  <c r="A56" i="58" s="1"/>
  <c r="A57" i="58" s="1"/>
  <c r="A58" i="58" s="1"/>
  <c r="A59" i="58" s="1"/>
  <c r="A60" i="58" s="1"/>
  <c r="A61" i="58" s="1"/>
  <c r="A62" i="58" s="1"/>
  <c r="A63" i="58" s="1"/>
  <c r="A64" i="58" s="1"/>
  <c r="A65" i="58" s="1"/>
  <c r="A66" i="58" s="1"/>
  <c r="A67" i="58" s="1"/>
  <c r="A68" i="58" s="1"/>
  <c r="A69" i="58" s="1"/>
  <c r="A70" i="58" s="1"/>
  <c r="A71" i="58" s="1"/>
  <c r="A72" i="58" s="1"/>
  <c r="A73" i="58" s="1"/>
  <c r="A74" i="58" s="1"/>
  <c r="A75" i="58" s="1"/>
  <c r="A76" i="58" s="1"/>
  <c r="A77" i="58" s="1"/>
  <c r="A78" i="58" s="1"/>
  <c r="A79" i="58" s="1"/>
  <c r="A80" i="58" s="1"/>
  <c r="A81" i="58" s="1"/>
  <c r="A82" i="58" s="1"/>
  <c r="A83" i="58" s="1"/>
  <c r="A84" i="58" s="1"/>
  <c r="A85" i="58" s="1"/>
  <c r="A86" i="58" s="1"/>
  <c r="A87" i="58" s="1"/>
  <c r="A88" i="58" s="1"/>
  <c r="A89" i="58" s="1"/>
  <c r="A90" i="58" s="1"/>
  <c r="A91" i="58" s="1"/>
  <c r="A92" i="58" s="1"/>
  <c r="A93" i="58" s="1"/>
  <c r="A94" i="58" s="1"/>
  <c r="A95" i="58" s="1"/>
  <c r="A96" i="58" s="1"/>
  <c r="A97" i="58" s="1"/>
  <c r="A98" i="58" s="1"/>
  <c r="A99" i="58" s="1"/>
  <c r="A100" i="58" s="1"/>
  <c r="A101" i="58" s="1"/>
  <c r="A102" i="58" s="1"/>
  <c r="A103" i="58" s="1"/>
  <c r="A104" i="58" s="1"/>
  <c r="A105" i="58" s="1"/>
  <c r="A106" i="58" s="1"/>
  <c r="A107" i="58" s="1"/>
  <c r="A108" i="58" s="1"/>
  <c r="A109" i="58" s="1"/>
  <c r="A110" i="58" s="1"/>
  <c r="A111" i="58" s="1"/>
  <c r="A112" i="58" s="1"/>
  <c r="A113" i="58" s="1"/>
  <c r="A114" i="58" s="1"/>
  <c r="A115" i="58" s="1"/>
  <c r="A116" i="58" s="1"/>
  <c r="A117" i="58" s="1"/>
  <c r="A118" i="58" s="1"/>
  <c r="A119" i="58" s="1"/>
  <c r="A120" i="58" s="1"/>
  <c r="A121" i="58" s="1"/>
  <c r="A122" i="58" s="1"/>
  <c r="A123" i="58" s="1"/>
  <c r="A124" i="58" s="1"/>
  <c r="A125" i="58" s="1"/>
  <c r="A126" i="58" s="1"/>
  <c r="A127" i="58" s="1"/>
  <c r="A128" i="58" s="1"/>
  <c r="A129" i="58" s="1"/>
  <c r="A130" i="58" s="1"/>
  <c r="A131" i="58" s="1"/>
  <c r="A132" i="58" s="1"/>
  <c r="A133" i="58" s="1"/>
  <c r="A134" i="58" s="1"/>
  <c r="A135" i="58" s="1"/>
  <c r="A136" i="58" s="1"/>
  <c r="A137" i="58" s="1"/>
  <c r="A138" i="58" s="1"/>
  <c r="A139" i="58" s="1"/>
  <c r="A140" i="58" s="1"/>
  <c r="A141" i="58" s="1"/>
  <c r="H20" i="58"/>
  <c r="A15" i="58"/>
  <c r="A16" i="58" s="1"/>
  <c r="A17" i="58" s="1"/>
  <c r="A18" i="58" s="1"/>
  <c r="A19" i="58" s="1"/>
  <c r="A11" i="58"/>
  <c r="A12" i="58" s="1"/>
  <c r="H9" i="58"/>
  <c r="A6" i="58"/>
  <c r="A7" i="58" s="1"/>
  <c r="A8" i="58" s="1"/>
  <c r="F367" i="21"/>
  <c r="C366" i="21"/>
  <c r="C365" i="21"/>
  <c r="C364" i="21"/>
  <c r="C363" i="21"/>
  <c r="C362" i="21"/>
  <c r="C361" i="21"/>
  <c r="C360" i="21"/>
  <c r="C359" i="21"/>
  <c r="C358" i="21"/>
  <c r="C357" i="21"/>
  <c r="C356" i="21"/>
  <c r="C355" i="21"/>
  <c r="C354" i="21"/>
  <c r="C353" i="21"/>
  <c r="C352" i="21"/>
  <c r="C351" i="21"/>
  <c r="C350" i="21"/>
  <c r="C349" i="21"/>
  <c r="C348" i="21"/>
  <c r="C347" i="21"/>
  <c r="C346" i="21"/>
  <c r="C345" i="21"/>
  <c r="C344" i="21"/>
  <c r="C343" i="21"/>
  <c r="C342" i="21"/>
  <c r="C341" i="21"/>
  <c r="C340" i="21"/>
  <c r="C339" i="21"/>
  <c r="C338" i="21"/>
  <c r="C337" i="21"/>
  <c r="C336" i="21"/>
  <c r="C335" i="21"/>
  <c r="C334" i="21"/>
  <c r="C333" i="21"/>
  <c r="C332" i="21"/>
  <c r="C331" i="21"/>
  <c r="C330" i="21"/>
  <c r="C329" i="21"/>
  <c r="C328" i="21"/>
  <c r="C327" i="21"/>
  <c r="C326" i="21"/>
  <c r="C325" i="21"/>
  <c r="C324" i="21"/>
  <c r="C323" i="21"/>
  <c r="C322" i="21"/>
  <c r="C321" i="21"/>
  <c r="C320" i="21"/>
  <c r="C319" i="21"/>
  <c r="C318" i="21"/>
  <c r="C317" i="21"/>
  <c r="C316" i="21"/>
  <c r="C315" i="21"/>
  <c r="C314" i="21"/>
  <c r="C313" i="21"/>
  <c r="C312" i="21"/>
  <c r="C311" i="21"/>
  <c r="C310" i="21"/>
  <c r="C309" i="21"/>
  <c r="C308" i="21"/>
  <c r="C307" i="21"/>
  <c r="C306" i="21"/>
  <c r="C305" i="21"/>
  <c r="C304" i="21"/>
  <c r="C303" i="21"/>
  <c r="C302" i="21"/>
  <c r="C301" i="21"/>
  <c r="C300" i="21"/>
  <c r="C299" i="21"/>
  <c r="C298" i="21"/>
  <c r="C297" i="21"/>
  <c r="C296" i="21"/>
  <c r="C295" i="21"/>
  <c r="C294" i="21"/>
  <c r="C293" i="21"/>
  <c r="C292" i="21"/>
  <c r="C291" i="21"/>
  <c r="C290" i="21"/>
  <c r="C289" i="21"/>
  <c r="C288" i="21"/>
  <c r="C287" i="21"/>
  <c r="C286" i="21"/>
  <c r="C285" i="21"/>
  <c r="C284" i="21"/>
  <c r="C283" i="21"/>
  <c r="C282" i="21"/>
  <c r="C281" i="21"/>
  <c r="C280" i="21"/>
  <c r="C279" i="21"/>
  <c r="C278" i="21"/>
  <c r="C277" i="21"/>
  <c r="C276" i="21"/>
  <c r="C275" i="21"/>
  <c r="C274" i="21"/>
  <c r="C273" i="21"/>
  <c r="C272" i="21"/>
  <c r="C271" i="21"/>
  <c r="C270" i="21"/>
  <c r="C269" i="21"/>
  <c r="C268" i="21"/>
  <c r="C267" i="21"/>
  <c r="C266" i="21"/>
  <c r="C265" i="21"/>
  <c r="C264" i="21"/>
  <c r="C263" i="21"/>
  <c r="C262" i="21"/>
  <c r="C261" i="21"/>
  <c r="C260" i="21"/>
  <c r="C259" i="21"/>
  <c r="C258" i="21"/>
  <c r="C257" i="21"/>
  <c r="C256" i="21"/>
  <c r="C255" i="21"/>
  <c r="C254" i="21"/>
  <c r="C253" i="21"/>
  <c r="C252" i="21"/>
  <c r="C251" i="21"/>
  <c r="C250" i="21"/>
  <c r="C249" i="21"/>
  <c r="C248" i="21"/>
  <c r="C247" i="21"/>
  <c r="C246" i="21"/>
  <c r="C245" i="21"/>
  <c r="C244" i="21"/>
  <c r="C243" i="21"/>
  <c r="C242" i="21"/>
  <c r="C241" i="21"/>
  <c r="C240" i="21"/>
  <c r="C239" i="21"/>
  <c r="C238" i="21"/>
  <c r="C237" i="21"/>
  <c r="C236" i="21"/>
  <c r="C235" i="21"/>
  <c r="C234" i="21"/>
  <c r="C233" i="21"/>
  <c r="C232" i="21"/>
  <c r="C231" i="21"/>
  <c r="C230" i="21"/>
  <c r="C229" i="21"/>
  <c r="C228" i="21"/>
  <c r="C227" i="21"/>
  <c r="C226" i="21"/>
  <c r="C225" i="21"/>
  <c r="C224" i="21"/>
  <c r="C223" i="21"/>
  <c r="C222" i="21"/>
  <c r="C221" i="21"/>
  <c r="C220" i="21"/>
  <c r="C219" i="21"/>
  <c r="C218" i="21"/>
  <c r="C217" i="21"/>
  <c r="C216" i="21"/>
  <c r="C215" i="21"/>
  <c r="C214" i="21"/>
  <c r="C213" i="21"/>
  <c r="C212" i="21"/>
  <c r="C211" i="21"/>
  <c r="C210" i="21"/>
  <c r="C209" i="21"/>
  <c r="C208" i="21"/>
  <c r="C207" i="21"/>
  <c r="C206" i="21"/>
  <c r="C205" i="21"/>
  <c r="C204" i="21"/>
  <c r="C203" i="21"/>
  <c r="C202" i="21"/>
  <c r="C201" i="21"/>
  <c r="C200" i="21"/>
  <c r="C199" i="21"/>
  <c r="C198" i="21"/>
  <c r="C197" i="21"/>
  <c r="C196" i="21"/>
  <c r="C195" i="21"/>
  <c r="C194" i="21"/>
  <c r="C193" i="21"/>
  <c r="C192" i="21"/>
  <c r="C191" i="21"/>
  <c r="C190" i="21"/>
  <c r="C189" i="21"/>
  <c r="C188" i="21"/>
  <c r="C187" i="21"/>
  <c r="C186" i="21"/>
  <c r="C185" i="21"/>
  <c r="C184" i="21"/>
  <c r="C183" i="21"/>
  <c r="C182" i="21"/>
  <c r="C181" i="21"/>
  <c r="C180" i="21"/>
  <c r="C179" i="21"/>
  <c r="C178" i="21"/>
  <c r="C177" i="21"/>
  <c r="C176" i="21"/>
  <c r="C175" i="21"/>
  <c r="C174" i="21"/>
  <c r="C173" i="21"/>
  <c r="C172" i="21"/>
  <c r="C171" i="21"/>
  <c r="C170" i="21"/>
  <c r="C169" i="21"/>
  <c r="C168" i="21"/>
  <c r="C167" i="21"/>
  <c r="C166" i="21"/>
  <c r="C165" i="21"/>
  <c r="C164" i="21"/>
  <c r="C163" i="21"/>
  <c r="C162" i="21"/>
  <c r="C161" i="21"/>
  <c r="C160" i="21"/>
  <c r="C159" i="21"/>
  <c r="C158" i="21"/>
  <c r="C157" i="21"/>
  <c r="C156" i="21"/>
  <c r="C155" i="21"/>
  <c r="C154" i="21"/>
  <c r="C153" i="21"/>
  <c r="C152" i="21"/>
  <c r="C151" i="21"/>
  <c r="C150" i="21"/>
  <c r="C149" i="21"/>
  <c r="C148" i="21"/>
  <c r="C147" i="21"/>
  <c r="C146" i="21"/>
  <c r="C145" i="21"/>
  <c r="C144" i="21"/>
  <c r="C143" i="21"/>
  <c r="C142" i="21"/>
  <c r="C141" i="21"/>
  <c r="C140" i="21"/>
  <c r="C139" i="21"/>
  <c r="C138" i="21"/>
  <c r="C137" i="21"/>
  <c r="C136" i="21"/>
  <c r="C135" i="21"/>
  <c r="C134" i="21"/>
  <c r="C133" i="21"/>
  <c r="C132" i="21"/>
  <c r="C131" i="21"/>
  <c r="C130" i="21"/>
  <c r="C129" i="21"/>
  <c r="C128" i="21"/>
  <c r="C127" i="21"/>
  <c r="C126" i="21"/>
  <c r="C125" i="21"/>
  <c r="C124" i="21"/>
  <c r="C123" i="21"/>
  <c r="C122" i="21"/>
  <c r="C121" i="21"/>
  <c r="C120" i="21"/>
  <c r="C119" i="21"/>
  <c r="C118" i="21"/>
  <c r="C117" i="21"/>
  <c r="C116" i="21"/>
  <c r="C115" i="21"/>
  <c r="C114" i="21"/>
  <c r="C113" i="21"/>
  <c r="C112" i="21"/>
  <c r="C111" i="21"/>
  <c r="C110" i="21"/>
  <c r="C109" i="21"/>
  <c r="C108" i="21"/>
  <c r="C107" i="21"/>
  <c r="C106" i="21"/>
  <c r="C105" i="21"/>
  <c r="C104" i="21"/>
  <c r="C103" i="21"/>
  <c r="C102" i="21"/>
  <c r="C101" i="21"/>
  <c r="C100" i="21"/>
  <c r="C99" i="21"/>
  <c r="C98" i="21"/>
  <c r="C97" i="21"/>
  <c r="C96" i="21"/>
  <c r="C95" i="21"/>
  <c r="C94" i="21"/>
  <c r="C93" i="21"/>
  <c r="C92" i="21"/>
  <c r="C91" i="21"/>
  <c r="C90" i="21"/>
  <c r="C89" i="21"/>
  <c r="C88" i="21"/>
  <c r="C87" i="21"/>
  <c r="C86" i="21"/>
  <c r="C85" i="21"/>
  <c r="C84" i="21"/>
  <c r="C83" i="21"/>
  <c r="C82" i="21"/>
  <c r="C81" i="21"/>
  <c r="C80" i="21"/>
  <c r="C79" i="21"/>
  <c r="C78" i="21"/>
  <c r="C77" i="21"/>
  <c r="C76" i="21"/>
  <c r="C75" i="21"/>
  <c r="C74" i="21"/>
  <c r="C73" i="21"/>
  <c r="C72" i="21"/>
  <c r="C71" i="21"/>
  <c r="C70" i="21"/>
  <c r="C69" i="21"/>
  <c r="C68" i="21"/>
  <c r="C67" i="21"/>
  <c r="C66" i="21"/>
  <c r="C65" i="21"/>
  <c r="C64" i="21"/>
  <c r="C63" i="21"/>
  <c r="C62" i="21"/>
  <c r="C61" i="21"/>
  <c r="C60" i="21"/>
  <c r="C59" i="21"/>
  <c r="C58" i="21"/>
  <c r="C57" i="21"/>
  <c r="C56" i="21"/>
  <c r="C55" i="21"/>
  <c r="C54" i="21"/>
  <c r="C53" i="21"/>
  <c r="C52" i="21"/>
  <c r="C51" i="21"/>
  <c r="C50" i="21"/>
  <c r="C49" i="21"/>
  <c r="A8" i="21"/>
  <c r="A9" i="21" s="1"/>
  <c r="A10" i="21" s="1"/>
  <c r="A11" i="21" s="1"/>
  <c r="A12" i="21" s="1"/>
  <c r="A13" i="21" s="1"/>
  <c r="A14" i="21" s="1"/>
  <c r="A15" i="21" s="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A59" i="21" s="1"/>
  <c r="A60" i="21" s="1"/>
  <c r="A61" i="21" s="1"/>
  <c r="A62" i="21" s="1"/>
  <c r="A63" i="21" s="1"/>
  <c r="A64" i="21" s="1"/>
  <c r="A65" i="21" s="1"/>
  <c r="A66" i="21" s="1"/>
  <c r="A67" i="21" s="1"/>
  <c r="A68" i="21" s="1"/>
  <c r="A69" i="21" s="1"/>
  <c r="A70" i="21" s="1"/>
  <c r="A71" i="21" s="1"/>
  <c r="A72" i="21" s="1"/>
  <c r="A73" i="21" s="1"/>
  <c r="A74" i="21" s="1"/>
  <c r="A75" i="21" s="1"/>
  <c r="A76" i="21" s="1"/>
  <c r="A77" i="21" s="1"/>
  <c r="A78" i="21" s="1"/>
  <c r="A79" i="21" s="1"/>
  <c r="A80" i="21" s="1"/>
  <c r="A81" i="21" s="1"/>
  <c r="A82" i="21" s="1"/>
  <c r="A83" i="21" s="1"/>
  <c r="A84" i="21" s="1"/>
  <c r="A85" i="21" s="1"/>
  <c r="A86" i="21" s="1"/>
  <c r="A87" i="21" s="1"/>
  <c r="A88" i="21" s="1"/>
  <c r="A89" i="21" s="1"/>
  <c r="A90" i="21" s="1"/>
  <c r="A91" i="21" s="1"/>
  <c r="A92" i="21" s="1"/>
  <c r="A93" i="21" s="1"/>
  <c r="A94" i="21" s="1"/>
  <c r="A95" i="21" s="1"/>
  <c r="A96" i="21" s="1"/>
  <c r="A97" i="21" s="1"/>
  <c r="A98" i="21" s="1"/>
  <c r="A99" i="21" s="1"/>
  <c r="A100" i="21" s="1"/>
  <c r="A101" i="21" s="1"/>
  <c r="A102" i="21" s="1"/>
  <c r="A103" i="21" s="1"/>
  <c r="A104" i="21" s="1"/>
  <c r="A105" i="21" s="1"/>
  <c r="A106" i="21" s="1"/>
  <c r="A107" i="21" s="1"/>
  <c r="A108" i="21" s="1"/>
  <c r="A109" i="21" s="1"/>
  <c r="A110" i="21" s="1"/>
  <c r="A111" i="21" s="1"/>
  <c r="A112" i="21" s="1"/>
  <c r="A113" i="21" s="1"/>
  <c r="A114" i="21" s="1"/>
  <c r="A115" i="21" s="1"/>
  <c r="A116" i="21" s="1"/>
  <c r="A117" i="21" s="1"/>
  <c r="A118" i="21" s="1"/>
  <c r="A119" i="21" s="1"/>
  <c r="A120" i="21" s="1"/>
  <c r="A121" i="21" s="1"/>
  <c r="A122" i="21" s="1"/>
  <c r="A123" i="21" s="1"/>
  <c r="A124" i="21" s="1"/>
  <c r="A125" i="21" s="1"/>
  <c r="A126" i="21" s="1"/>
  <c r="A127" i="21" s="1"/>
  <c r="A128" i="21" s="1"/>
  <c r="A129" i="21" s="1"/>
  <c r="A130" i="21" s="1"/>
  <c r="A131" i="21" s="1"/>
  <c r="A132" i="21" s="1"/>
  <c r="A133" i="21" s="1"/>
  <c r="A134" i="21" s="1"/>
  <c r="A135" i="21" s="1"/>
  <c r="A136" i="21" s="1"/>
  <c r="A137" i="21" s="1"/>
  <c r="A138" i="21" s="1"/>
  <c r="A139" i="21" s="1"/>
  <c r="A140" i="21" s="1"/>
  <c r="A141" i="21" s="1"/>
  <c r="A142" i="21" s="1"/>
  <c r="A143" i="21" s="1"/>
  <c r="A144" i="21" s="1"/>
  <c r="A145" i="21" s="1"/>
  <c r="A146" i="21" s="1"/>
  <c r="A147" i="21" s="1"/>
  <c r="A148" i="21" s="1"/>
  <c r="A149" i="21" s="1"/>
  <c r="A150" i="21" s="1"/>
  <c r="A151" i="21" s="1"/>
  <c r="A152" i="21" s="1"/>
  <c r="A153" i="21" s="1"/>
  <c r="A154" i="21" s="1"/>
  <c r="A155" i="21" s="1"/>
  <c r="A156" i="21" s="1"/>
  <c r="A157" i="21" s="1"/>
  <c r="A158" i="21" s="1"/>
  <c r="A159" i="21" s="1"/>
  <c r="A160" i="21" s="1"/>
  <c r="A161" i="21" s="1"/>
  <c r="A162" i="21" s="1"/>
  <c r="A163" i="21" s="1"/>
  <c r="A164" i="21" s="1"/>
  <c r="A165" i="21" s="1"/>
  <c r="A166" i="21" s="1"/>
  <c r="A167" i="21" s="1"/>
  <c r="A168" i="21" s="1"/>
  <c r="A169" i="21" s="1"/>
  <c r="A170" i="21" s="1"/>
  <c r="A171" i="21" s="1"/>
  <c r="A172" i="21" s="1"/>
  <c r="A173" i="21" s="1"/>
  <c r="A174" i="21" s="1"/>
  <c r="A175" i="21" s="1"/>
  <c r="A176" i="21" s="1"/>
  <c r="A177"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3" i="21" s="1"/>
  <c r="A224" i="21" s="1"/>
  <c r="A225" i="21" s="1"/>
  <c r="A226" i="21" s="1"/>
  <c r="A227" i="21" s="1"/>
  <c r="A228" i="21" s="1"/>
  <c r="A229" i="21" s="1"/>
  <c r="A230" i="21" s="1"/>
  <c r="A231" i="21" s="1"/>
  <c r="A232" i="21" s="1"/>
  <c r="A233" i="21" s="1"/>
  <c r="A234" i="21" s="1"/>
  <c r="A235" i="21" s="1"/>
  <c r="A236" i="21" s="1"/>
  <c r="A237" i="21" s="1"/>
  <c r="A238" i="21" s="1"/>
  <c r="A239" i="21" s="1"/>
  <c r="A240" i="21" s="1"/>
  <c r="A241" i="21" s="1"/>
  <c r="A242" i="21" s="1"/>
  <c r="A243" i="21" s="1"/>
  <c r="A244" i="21" s="1"/>
  <c r="A245" i="21" s="1"/>
  <c r="A246" i="21" s="1"/>
  <c r="A247" i="21" s="1"/>
  <c r="A248" i="21" s="1"/>
  <c r="A249" i="21" s="1"/>
  <c r="A250" i="21" s="1"/>
  <c r="A251" i="21" s="1"/>
  <c r="A252" i="21" s="1"/>
  <c r="A253" i="21" s="1"/>
  <c r="A254" i="21" s="1"/>
  <c r="A255" i="21" s="1"/>
  <c r="A256" i="21" s="1"/>
  <c r="A257" i="21" s="1"/>
  <c r="A258" i="21" s="1"/>
  <c r="A259" i="21" s="1"/>
  <c r="A260" i="21" s="1"/>
  <c r="A261" i="21" s="1"/>
  <c r="A262" i="21" s="1"/>
  <c r="A263" i="21" s="1"/>
  <c r="A264" i="21" s="1"/>
  <c r="A265" i="21" s="1"/>
  <c r="A266" i="21" s="1"/>
  <c r="A267" i="21" s="1"/>
  <c r="A268" i="21" s="1"/>
  <c r="A269" i="21" s="1"/>
  <c r="A270" i="21" s="1"/>
  <c r="A271" i="21" s="1"/>
  <c r="A272" i="21" s="1"/>
  <c r="A273" i="21" s="1"/>
  <c r="A274" i="21" s="1"/>
  <c r="A275" i="21" s="1"/>
  <c r="A276" i="21" s="1"/>
  <c r="A277" i="21" s="1"/>
  <c r="A278" i="21" s="1"/>
  <c r="A279" i="21" s="1"/>
  <c r="A280" i="21" s="1"/>
  <c r="A281" i="21" s="1"/>
  <c r="A282" i="21" s="1"/>
  <c r="A283" i="21" s="1"/>
  <c r="A284" i="21" s="1"/>
  <c r="A285" i="21" s="1"/>
  <c r="A286" i="21" s="1"/>
  <c r="A287" i="21" s="1"/>
  <c r="A288" i="21" s="1"/>
  <c r="A289" i="21" s="1"/>
  <c r="A290" i="21" s="1"/>
  <c r="A291" i="21" s="1"/>
  <c r="A292" i="21" s="1"/>
  <c r="A293" i="21" s="1"/>
  <c r="A294" i="21" s="1"/>
  <c r="A295" i="21" s="1"/>
  <c r="A296" i="21" s="1"/>
  <c r="A297" i="21" s="1"/>
  <c r="A298" i="21" s="1"/>
  <c r="A299" i="21" s="1"/>
  <c r="A300" i="21" s="1"/>
  <c r="A301" i="21" s="1"/>
  <c r="A302" i="21" s="1"/>
  <c r="A303" i="21" s="1"/>
  <c r="A304" i="21" s="1"/>
  <c r="A305" i="21" s="1"/>
  <c r="A306" i="21" s="1"/>
  <c r="A307" i="21" s="1"/>
  <c r="A308" i="21" s="1"/>
  <c r="A309" i="21" s="1"/>
  <c r="A310" i="21" s="1"/>
  <c r="A311" i="21" s="1"/>
  <c r="A312" i="21" s="1"/>
  <c r="A313" i="21" s="1"/>
  <c r="A314" i="21" s="1"/>
  <c r="A315" i="21" s="1"/>
  <c r="A316" i="21" s="1"/>
  <c r="A317" i="21" s="1"/>
  <c r="A318" i="21" s="1"/>
  <c r="A319" i="21" s="1"/>
  <c r="A320" i="21" s="1"/>
  <c r="A321" i="21" s="1"/>
  <c r="A322" i="21" s="1"/>
  <c r="A323" i="21" s="1"/>
  <c r="A324" i="21" s="1"/>
  <c r="A325" i="21" s="1"/>
  <c r="A326" i="21" s="1"/>
  <c r="A327" i="21" s="1"/>
  <c r="A328" i="21" s="1"/>
  <c r="A329" i="21" s="1"/>
  <c r="A330" i="21" s="1"/>
  <c r="A331" i="21" s="1"/>
  <c r="A332" i="21" s="1"/>
  <c r="A333" i="21" s="1"/>
  <c r="A334" i="21" s="1"/>
  <c r="A335" i="21" s="1"/>
  <c r="A336" i="21" s="1"/>
  <c r="A337" i="21" s="1"/>
  <c r="A338" i="21" s="1"/>
  <c r="A339" i="21" s="1"/>
  <c r="A340" i="21" s="1"/>
  <c r="A341" i="21" s="1"/>
  <c r="A342" i="21" s="1"/>
  <c r="A343" i="21" s="1"/>
  <c r="A344" i="21" s="1"/>
  <c r="A345" i="21" s="1"/>
  <c r="A346" i="21" s="1"/>
  <c r="A347" i="21" s="1"/>
  <c r="A348" i="21" s="1"/>
  <c r="A349" i="21" s="1"/>
  <c r="A350" i="21" s="1"/>
  <c r="A351" i="21" s="1"/>
  <c r="A352" i="21" s="1"/>
  <c r="A353" i="21" s="1"/>
  <c r="A354" i="21" s="1"/>
  <c r="A355" i="21" s="1"/>
  <c r="A356" i="21" s="1"/>
  <c r="A357" i="21" s="1"/>
  <c r="A358" i="21" s="1"/>
  <c r="A359" i="21" s="1"/>
  <c r="A360" i="21" s="1"/>
  <c r="A361" i="21" s="1"/>
  <c r="A362" i="21" s="1"/>
  <c r="A363" i="21" s="1"/>
  <c r="A364" i="21" s="1"/>
  <c r="A365" i="21" s="1"/>
  <c r="A366" i="21" s="1"/>
  <c r="C48" i="21"/>
  <c r="C47" i="21"/>
  <c r="C46" i="21"/>
  <c r="C45" i="21"/>
  <c r="C44" i="21"/>
  <c r="C43" i="21"/>
  <c r="C42" i="21"/>
  <c r="C41" i="21"/>
  <c r="C40" i="21"/>
  <c r="C39" i="21"/>
  <c r="C38" i="21"/>
  <c r="C37" i="21"/>
  <c r="C36" i="21"/>
  <c r="C35" i="21"/>
  <c r="C34" i="21"/>
  <c r="C33" i="21"/>
  <c r="C32" i="21"/>
  <c r="C31" i="21"/>
  <c r="C30" i="21"/>
  <c r="C29" i="21"/>
  <c r="C28" i="21"/>
  <c r="C27" i="21"/>
  <c r="C26" i="21"/>
  <c r="C25" i="21"/>
  <c r="C24" i="21"/>
  <c r="C23" i="21"/>
  <c r="C22" i="21"/>
  <c r="C21" i="21"/>
  <c r="C20" i="21"/>
  <c r="C19" i="21"/>
  <c r="C18" i="21"/>
  <c r="C17" i="21"/>
  <c r="C16" i="21"/>
  <c r="C15" i="21"/>
  <c r="C14" i="21"/>
  <c r="C13" i="21"/>
  <c r="C12" i="21"/>
  <c r="C11" i="21"/>
  <c r="C10" i="21"/>
  <c r="C9" i="21"/>
  <c r="C8" i="21"/>
  <c r="C7" i="21"/>
  <c r="C29" i="14"/>
  <c r="A2" i="32"/>
  <c r="C5" i="32"/>
  <c r="D5" i="32" s="1"/>
  <c r="E5" i="32" s="1"/>
  <c r="F5" i="32" s="1"/>
  <c r="B14" i="32"/>
  <c r="F15" i="32"/>
  <c r="B17" i="32"/>
  <c r="B18" i="32"/>
  <c r="F18" i="32"/>
  <c r="F20" i="32"/>
  <c r="F22" i="32"/>
  <c r="A2" i="48"/>
  <c r="F10" i="48"/>
  <c r="G10" i="48" s="1"/>
  <c r="A11" i="48"/>
  <c r="A12" i="48" s="1"/>
  <c r="A13" i="48" s="1"/>
  <c r="A14" i="48" s="1"/>
  <c r="A15" i="48" s="1"/>
  <c r="A16" i="48" s="1"/>
  <c r="A17" i="48" s="1"/>
  <c r="A18" i="48" s="1"/>
  <c r="A19" i="48" s="1"/>
  <c r="A20" i="48" s="1"/>
  <c r="F11" i="48"/>
  <c r="G11" i="48" s="1"/>
  <c r="F12" i="48"/>
  <c r="G12" i="48" s="1"/>
  <c r="C13" i="48"/>
  <c r="D13" i="48"/>
  <c r="E13" i="48"/>
  <c r="F13" i="48"/>
  <c r="C14" i="48"/>
  <c r="D14" i="48"/>
  <c r="E14" i="48"/>
  <c r="F14" i="48"/>
  <c r="C15" i="48"/>
  <c r="D15" i="48"/>
  <c r="E15" i="48"/>
  <c r="F15" i="48"/>
  <c r="C16" i="48"/>
  <c r="F16" i="48"/>
  <c r="C17" i="48"/>
  <c r="F17" i="48"/>
  <c r="C20" i="48"/>
  <c r="D20" i="48"/>
  <c r="E20" i="48"/>
  <c r="F20" i="48"/>
  <c r="C21" i="48"/>
  <c r="D21" i="48"/>
  <c r="E21" i="48"/>
  <c r="F21" i="48"/>
  <c r="C22" i="48"/>
  <c r="D22" i="48"/>
  <c r="E22" i="48"/>
  <c r="F22" i="48"/>
  <c r="C23" i="48"/>
  <c r="D23" i="48"/>
  <c r="E23" i="48"/>
  <c r="F23" i="48"/>
  <c r="B26" i="48"/>
  <c r="D7" i="51"/>
  <c r="E7" i="51" s="1"/>
  <c r="F7" i="51" s="1"/>
  <c r="G7" i="51" s="1"/>
  <c r="H7" i="51" s="1"/>
  <c r="I7" i="51" s="1"/>
  <c r="J7" i="51" s="1"/>
  <c r="K7" i="51" s="1"/>
  <c r="L7" i="51" s="1"/>
  <c r="M7" i="51" s="1"/>
  <c r="N7" i="51" s="1"/>
  <c r="O7" i="51" s="1"/>
  <c r="P7" i="51" s="1"/>
  <c r="P8" i="51"/>
  <c r="P9" i="51" s="1"/>
  <c r="G9" i="51"/>
  <c r="K9" i="51"/>
  <c r="B12" i="51"/>
  <c r="A2" i="46"/>
  <c r="B9" i="46"/>
  <c r="F9" i="46"/>
  <c r="J9" i="46"/>
  <c r="F10" i="46"/>
  <c r="J10" i="46"/>
  <c r="F11" i="46"/>
  <c r="J11" i="46"/>
  <c r="C12" i="46"/>
  <c r="D12" i="46"/>
  <c r="E12" i="46"/>
  <c r="G12" i="46"/>
  <c r="H12" i="46"/>
  <c r="I12" i="46"/>
  <c r="B15" i="46"/>
  <c r="G16" i="46"/>
  <c r="G18" i="46"/>
  <c r="A2" i="33"/>
  <c r="B5" i="33"/>
  <c r="B65" i="33"/>
  <c r="C65" i="33"/>
  <c r="D65" i="33"/>
  <c r="E65" i="33"/>
  <c r="F65" i="33"/>
  <c r="G65" i="33"/>
  <c r="B130" i="33"/>
  <c r="C130" i="33"/>
  <c r="D130" i="33"/>
  <c r="E130" i="33"/>
  <c r="F130" i="33"/>
  <c r="G130" i="33"/>
  <c r="B139" i="33"/>
  <c r="C139" i="33"/>
  <c r="D139" i="33"/>
  <c r="E139" i="33"/>
  <c r="F139" i="33"/>
  <c r="G139" i="33"/>
  <c r="B160" i="33"/>
  <c r="C160" i="33"/>
  <c r="D160" i="33"/>
  <c r="E160" i="33"/>
  <c r="F160" i="33"/>
  <c r="G160" i="33"/>
  <c r="B201" i="33"/>
  <c r="C201" i="33"/>
  <c r="D201" i="33"/>
  <c r="E201" i="33"/>
  <c r="F201" i="33"/>
  <c r="G201" i="33"/>
  <c r="B237" i="33"/>
  <c r="C237" i="33"/>
  <c r="D237" i="33"/>
  <c r="E237" i="33"/>
  <c r="F237" i="33"/>
  <c r="G237" i="33"/>
  <c r="B2" i="34"/>
  <c r="F7" i="34"/>
  <c r="A8" i="34"/>
  <c r="A9" i="34" s="1"/>
  <c r="A10" i="34" s="1"/>
  <c r="A11" i="34" s="1"/>
  <c r="A12" i="34" s="1"/>
  <c r="A13" i="34" s="1"/>
  <c r="A14" i="34" s="1"/>
  <c r="A15" i="34" s="1"/>
  <c r="A16" i="34" s="1"/>
  <c r="A17" i="34" s="1"/>
  <c r="A18" i="34" s="1"/>
  <c r="A19" i="34" s="1"/>
  <c r="A20" i="34" s="1"/>
  <c r="A21" i="34" s="1"/>
  <c r="A22" i="34" s="1"/>
  <c r="A23" i="34" s="1"/>
  <c r="A24" i="34" s="1"/>
  <c r="A25" i="34" s="1"/>
  <c r="A26" i="34" s="1"/>
  <c r="A27" i="34" s="1"/>
  <c r="A28" i="34" s="1"/>
  <c r="A29" i="34" s="1"/>
  <c r="A30" i="34" s="1"/>
  <c r="A31" i="34" s="1"/>
  <c r="A32" i="34" s="1"/>
  <c r="A33" i="34" s="1"/>
  <c r="A34" i="34" s="1"/>
  <c r="A35" i="34" s="1"/>
  <c r="A36" i="34" s="1"/>
  <c r="A37" i="34" s="1"/>
  <c r="A38" i="34" s="1"/>
  <c r="A39" i="34" s="1"/>
  <c r="A40" i="34" s="1"/>
  <c r="A41" i="34" s="1"/>
  <c r="A42" i="34" s="1"/>
  <c r="F41" i="34"/>
  <c r="F42" i="34"/>
  <c r="D43" i="34"/>
  <c r="E43" i="34"/>
  <c r="B48" i="34"/>
  <c r="G49" i="34"/>
  <c r="B51" i="34"/>
  <c r="B52" i="34"/>
  <c r="G52" i="34"/>
  <c r="G54" i="34"/>
  <c r="B2" i="44"/>
  <c r="D8" i="44"/>
  <c r="E8" i="44" s="1"/>
  <c r="E9" i="44"/>
  <c r="D10" i="44"/>
  <c r="E10" i="44" s="1"/>
  <c r="E11" i="44"/>
  <c r="E12" i="44"/>
  <c r="E13" i="44"/>
  <c r="C14" i="44"/>
  <c r="C19" i="44" s="1"/>
  <c r="D14" i="44"/>
  <c r="E15" i="44"/>
  <c r="E16" i="44"/>
  <c r="E17" i="44"/>
  <c r="E18" i="44"/>
  <c r="B21" i="44"/>
  <c r="E22" i="44"/>
  <c r="B24" i="44"/>
  <c r="B25" i="44"/>
  <c r="E25" i="44"/>
  <c r="E27" i="44"/>
  <c r="A2" i="40"/>
  <c r="A7" i="40"/>
  <c r="C7" i="40"/>
  <c r="E297" i="40"/>
  <c r="H301" i="40"/>
  <c r="B303" i="40"/>
  <c r="B304" i="40"/>
  <c r="H304" i="40"/>
  <c r="H306" i="40"/>
  <c r="A2" i="35"/>
  <c r="D7" i="35"/>
  <c r="E7" i="35" s="1"/>
  <c r="F7" i="35" s="1"/>
  <c r="G7" i="35" s="1"/>
  <c r="H7" i="35" s="1"/>
  <c r="H8" i="35"/>
  <c r="A9" i="35"/>
  <c r="A10" i="35" s="1"/>
  <c r="A11" i="35" s="1"/>
  <c r="H9" i="35"/>
  <c r="H10" i="35"/>
  <c r="H11" i="35"/>
  <c r="C12" i="35"/>
  <c r="D12" i="35"/>
  <c r="E12" i="35"/>
  <c r="F12" i="35"/>
  <c r="G12" i="35"/>
  <c r="B15" i="35"/>
  <c r="H16" i="35"/>
  <c r="B18" i="35"/>
  <c r="B19" i="35"/>
  <c r="H19" i="35"/>
  <c r="H21" i="35"/>
  <c r="A2" i="38"/>
  <c r="B15" i="38"/>
  <c r="G16" i="38"/>
  <c r="B18" i="38"/>
  <c r="B19" i="38"/>
  <c r="G19" i="38"/>
  <c r="G21" i="38"/>
  <c r="H13" i="24"/>
  <c r="H14" i="24"/>
  <c r="H15" i="24"/>
  <c r="H16" i="24"/>
  <c r="H17" i="24"/>
  <c r="H18" i="24"/>
  <c r="H19" i="24"/>
  <c r="H20" i="24"/>
  <c r="H21" i="24"/>
  <c r="H22" i="24"/>
  <c r="H23" i="24"/>
  <c r="H24" i="24"/>
  <c r="D25" i="24"/>
  <c r="H26" i="24"/>
  <c r="H27" i="24"/>
  <c r="H28" i="24"/>
  <c r="H29" i="24"/>
  <c r="H30" i="24"/>
  <c r="D31" i="24"/>
  <c r="H32" i="24"/>
  <c r="H33" i="24"/>
  <c r="H34" i="24"/>
  <c r="D35" i="24"/>
  <c r="H36" i="24"/>
  <c r="H38" i="24"/>
  <c r="H39" i="24"/>
  <c r="H40" i="24"/>
  <c r="D42" i="24"/>
  <c r="B46" i="24"/>
  <c r="G47" i="24"/>
  <c r="B49" i="24"/>
  <c r="B50" i="24"/>
  <c r="G50" i="24"/>
  <c r="G52" i="24"/>
  <c r="A2" i="37"/>
  <c r="E10" i="37"/>
  <c r="H10" i="37"/>
  <c r="I10" i="37"/>
  <c r="J10" i="37"/>
  <c r="B13" i="37"/>
  <c r="H14" i="37"/>
  <c r="B16" i="37"/>
  <c r="B17" i="37"/>
  <c r="H17" i="37"/>
  <c r="H19" i="37"/>
  <c r="H32" i="37"/>
  <c r="I32" i="37"/>
  <c r="A2" i="9"/>
  <c r="I8" i="9"/>
  <c r="A9" i="9"/>
  <c r="A10" i="9" s="1"/>
  <c r="A11" i="9" s="1"/>
  <c r="A12" i="9" s="1"/>
  <c r="I9" i="9"/>
  <c r="I10" i="9"/>
  <c r="I11" i="9"/>
  <c r="I12" i="9"/>
  <c r="E13" i="9"/>
  <c r="G13" i="9"/>
  <c r="H13" i="9"/>
  <c r="B16" i="9"/>
  <c r="G17" i="9"/>
  <c r="B19" i="9"/>
  <c r="B20" i="9"/>
  <c r="G20" i="9"/>
  <c r="G22" i="9"/>
  <c r="G35" i="9"/>
  <c r="H35" i="9"/>
  <c r="A2" i="21"/>
  <c r="D371" i="21"/>
  <c r="A6" i="55"/>
  <c r="C6" i="55"/>
  <c r="C7" i="55"/>
  <c r="C8" i="55"/>
  <c r="C9" i="55"/>
  <c r="C10" i="55"/>
  <c r="C11" i="55"/>
  <c r="C12" i="55"/>
  <c r="C13" i="55"/>
  <c r="C14" i="55"/>
  <c r="C15" i="55"/>
  <c r="C16" i="55"/>
  <c r="C17" i="55"/>
  <c r="D17" i="55"/>
  <c r="C22" i="55"/>
  <c r="D22" i="55"/>
  <c r="C23" i="55"/>
  <c r="D23" i="55"/>
  <c r="C25" i="55"/>
  <c r="C26" i="55"/>
  <c r="C28" i="55"/>
  <c r="C29" i="55"/>
  <c r="C31" i="55"/>
  <c r="B38" i="55"/>
  <c r="B43" i="55"/>
  <c r="B9" i="56"/>
  <c r="B10" i="56" s="1"/>
  <c r="B11" i="56" s="1"/>
  <c r="B12" i="56" s="1"/>
  <c r="B13" i="56" s="1"/>
  <c r="B14" i="56" s="1"/>
  <c r="B15" i="56" s="1"/>
  <c r="B16" i="56"/>
  <c r="B17" i="56" s="1"/>
  <c r="B18" i="56" s="1"/>
  <c r="B19" i="56" s="1"/>
  <c r="B20" i="56" s="1"/>
  <c r="B21" i="56" s="1"/>
  <c r="B22" i="56"/>
  <c r="B23" i="56"/>
  <c r="B24" i="56"/>
  <c r="B25" i="56"/>
  <c r="B26" i="56"/>
  <c r="B27" i="56" s="1"/>
  <c r="B28" i="56"/>
  <c r="B29" i="56" s="1"/>
  <c r="B30" i="56" s="1"/>
  <c r="B31" i="56" s="1"/>
  <c r="B32" i="56" s="1"/>
  <c r="B33" i="56" s="1"/>
  <c r="B34" i="56" s="1"/>
  <c r="B35" i="56" s="1"/>
  <c r="B36" i="56"/>
  <c r="B37" i="56"/>
  <c r="B38" i="56" s="1"/>
  <c r="B39" i="56" s="1"/>
  <c r="B40" i="56" s="1"/>
  <c r="B41" i="56"/>
  <c r="B42" i="56" s="1"/>
  <c r="B43" i="56" s="1"/>
  <c r="B44" i="56" s="1"/>
  <c r="B45" i="56" s="1"/>
  <c r="B46" i="56" s="1"/>
  <c r="B47" i="56" s="1"/>
  <c r="B48" i="56"/>
  <c r="B49" i="56" s="1"/>
  <c r="B50" i="56" s="1"/>
  <c r="B51" i="56" s="1"/>
  <c r="B52" i="56" s="1"/>
  <c r="B53" i="56" s="1"/>
  <c r="B54" i="56" s="1"/>
  <c r="B55" i="56" s="1"/>
  <c r="B56" i="56" s="1"/>
  <c r="B57" i="56" s="1"/>
  <c r="B58" i="56" s="1"/>
  <c r="B59" i="56" s="1"/>
  <c r="B60" i="56" s="1"/>
  <c r="B61" i="56" s="1"/>
  <c r="B62" i="56" s="1"/>
  <c r="B63" i="56" s="1"/>
  <c r="B64" i="56" s="1"/>
  <c r="B65" i="56" s="1"/>
  <c r="B66" i="56" s="1"/>
  <c r="B67" i="56" s="1"/>
  <c r="B68" i="56" s="1"/>
  <c r="B69" i="56" s="1"/>
  <c r="B70" i="56" s="1"/>
  <c r="B71" i="56" s="1"/>
  <c r="B72" i="56" s="1"/>
  <c r="B73" i="56" s="1"/>
  <c r="B74" i="56" s="1"/>
  <c r="B75" i="56" s="1"/>
  <c r="B76" i="56" s="1"/>
  <c r="B77" i="56" s="1"/>
  <c r="B79" i="56"/>
  <c r="B80" i="56" s="1"/>
  <c r="B81" i="56" s="1"/>
  <c r="B82" i="56" s="1"/>
  <c r="B83" i="56" s="1"/>
  <c r="B84" i="56" s="1"/>
  <c r="B85" i="56" s="1"/>
  <c r="B86" i="56" s="1"/>
  <c r="B87" i="56" s="1"/>
  <c r="B88" i="56"/>
  <c r="B89" i="56" s="1"/>
  <c r="B90" i="56" s="1"/>
  <c r="B91" i="56" s="1"/>
  <c r="B92" i="56"/>
  <c r="B93" i="56" s="1"/>
  <c r="B94" i="56"/>
  <c r="B95" i="56" s="1"/>
  <c r="B96" i="56" s="1"/>
  <c r="B97" i="56" s="1"/>
  <c r="B98" i="56" s="1"/>
  <c r="B99" i="56" s="1"/>
  <c r="B100" i="56" s="1"/>
  <c r="B101" i="56" s="1"/>
  <c r="B102" i="56" s="1"/>
  <c r="B103" i="56" s="1"/>
  <c r="B104" i="56"/>
  <c r="B105" i="56" s="1"/>
  <c r="B106" i="56" s="1"/>
  <c r="B107" i="56" s="1"/>
  <c r="B108" i="56" s="1"/>
  <c r="B109" i="56" s="1"/>
  <c r="B110" i="56" s="1"/>
  <c r="B111" i="56" s="1"/>
  <c r="B112" i="56"/>
  <c r="B113" i="56" s="1"/>
  <c r="B114" i="56" s="1"/>
  <c r="B115" i="56"/>
  <c r="B116" i="56" s="1"/>
  <c r="B117" i="56" s="1"/>
  <c r="B118" i="56" s="1"/>
  <c r="B119" i="56" s="1"/>
  <c r="B120" i="56" s="1"/>
  <c r="B121" i="56" s="1"/>
  <c r="B122" i="56" s="1"/>
  <c r="B123" i="56" s="1"/>
  <c r="B124" i="56" s="1"/>
  <c r="B125" i="56"/>
  <c r="B126" i="56" s="1"/>
  <c r="B127" i="56" s="1"/>
  <c r="B128" i="56" s="1"/>
  <c r="B129" i="56" s="1"/>
  <c r="B130" i="56" s="1"/>
  <c r="B131" i="56" s="1"/>
  <c r="B132" i="56" s="1"/>
  <c r="B133" i="56" s="1"/>
  <c r="B134" i="56" s="1"/>
  <c r="B135" i="56" s="1"/>
  <c r="B136" i="56" s="1"/>
  <c r="B137" i="56" s="1"/>
  <c r="B138" i="56" s="1"/>
  <c r="B139" i="56" s="1"/>
  <c r="B140" i="56" s="1"/>
  <c r="B141" i="56" s="1"/>
  <c r="B142" i="56" s="1"/>
  <c r="B143" i="56" s="1"/>
  <c r="B144" i="56" s="1"/>
  <c r="B145" i="56" s="1"/>
  <c r="B146" i="56" s="1"/>
  <c r="B147" i="56" s="1"/>
  <c r="B148" i="56" s="1"/>
  <c r="B149" i="56" s="1"/>
  <c r="B150" i="56" s="1"/>
  <c r="B151" i="56" s="1"/>
  <c r="B152" i="56" s="1"/>
  <c r="B153" i="56" s="1"/>
  <c r="B154" i="56" s="1"/>
  <c r="B155" i="56" s="1"/>
  <c r="B156" i="56" s="1"/>
  <c r="B157" i="56" s="1"/>
  <c r="B158" i="56" s="1"/>
  <c r="B159" i="56" s="1"/>
  <c r="B160" i="56" s="1"/>
  <c r="B161" i="56" s="1"/>
  <c r="B162" i="56" s="1"/>
  <c r="B163" i="56" s="1"/>
  <c r="B164" i="56" s="1"/>
  <c r="B165" i="56" s="1"/>
  <c r="B166" i="56" s="1"/>
  <c r="A2" i="52"/>
  <c r="B57" i="52"/>
  <c r="G58" i="52"/>
  <c r="B60" i="52"/>
  <c r="B61" i="52"/>
  <c r="A2" i="22"/>
  <c r="G8" i="22"/>
  <c r="I8" i="22" s="1"/>
  <c r="L8" i="22" s="1"/>
  <c r="K8" i="22"/>
  <c r="A9" i="22"/>
  <c r="A10" i="22" s="1"/>
  <c r="A11" i="22" s="1"/>
  <c r="A12" i="22" s="1"/>
  <c r="A13" i="22" s="1"/>
  <c r="A14" i="22" s="1"/>
  <c r="A15" i="22" s="1"/>
  <c r="A16" i="22" s="1"/>
  <c r="A17" i="22" s="1"/>
  <c r="A18" i="22" s="1"/>
  <c r="A19" i="22" s="1"/>
  <c r="A20" i="22" s="1"/>
  <c r="A21" i="22" s="1"/>
  <c r="A22" i="22" s="1"/>
  <c r="A23" i="22" s="1"/>
  <c r="A24" i="22" s="1"/>
  <c r="G9" i="22"/>
  <c r="J9" i="22" s="1"/>
  <c r="K9" i="22"/>
  <c r="G10" i="22"/>
  <c r="I10" i="22" s="1"/>
  <c r="L10" i="22" s="1"/>
  <c r="K10" i="22"/>
  <c r="G11" i="22"/>
  <c r="I11" i="22" s="1"/>
  <c r="L11" i="22" s="1"/>
  <c r="K11" i="22"/>
  <c r="G12" i="22"/>
  <c r="I12" i="22" s="1"/>
  <c r="L12" i="22" s="1"/>
  <c r="K12" i="22"/>
  <c r="G13" i="22"/>
  <c r="K13" i="22"/>
  <c r="G14" i="22"/>
  <c r="I14" i="22" s="1"/>
  <c r="L14" i="22" s="1"/>
  <c r="K14" i="22"/>
  <c r="G15" i="22"/>
  <c r="J15" i="22" s="1"/>
  <c r="K15" i="22"/>
  <c r="G16" i="22"/>
  <c r="I16" i="22" s="1"/>
  <c r="L16" i="22" s="1"/>
  <c r="K16" i="22"/>
  <c r="G17" i="22"/>
  <c r="J17" i="22" s="1"/>
  <c r="K17" i="22"/>
  <c r="G18" i="22"/>
  <c r="I18" i="22" s="1"/>
  <c r="L18" i="22" s="1"/>
  <c r="K18" i="22"/>
  <c r="G19" i="22"/>
  <c r="I19" i="22" s="1"/>
  <c r="L19" i="22" s="1"/>
  <c r="K19" i="22"/>
  <c r="G20" i="22"/>
  <c r="I20" i="22" s="1"/>
  <c r="L20" i="22" s="1"/>
  <c r="K20" i="22"/>
  <c r="G21" i="22"/>
  <c r="K21" i="22"/>
  <c r="G22" i="22"/>
  <c r="I22" i="22" s="1"/>
  <c r="L22" i="22" s="1"/>
  <c r="K22" i="22"/>
  <c r="I23" i="22"/>
  <c r="L23" i="22" s="1"/>
  <c r="J23" i="22"/>
  <c r="K23" i="22"/>
  <c r="I24" i="22"/>
  <c r="L24" i="22" s="1"/>
  <c r="J24" i="22"/>
  <c r="K24" i="22"/>
  <c r="D25" i="22"/>
  <c r="E25" i="22"/>
  <c r="F25" i="22"/>
  <c r="H25" i="22"/>
  <c r="B28" i="22"/>
  <c r="I29" i="22"/>
  <c r="B31" i="22"/>
  <c r="B32" i="22"/>
  <c r="D369" i="21" s="1"/>
  <c r="I32" i="22"/>
  <c r="K369" i="21" s="1"/>
  <c r="I34" i="22"/>
  <c r="K371" i="21" s="1"/>
  <c r="E5" i="54"/>
  <c r="AT5" i="54"/>
  <c r="AW5" i="54"/>
  <c r="A6" i="54"/>
  <c r="A7" i="54" s="1"/>
  <c r="A8" i="54" s="1"/>
  <c r="A9" i="54" s="1"/>
  <c r="A10" i="54" s="1"/>
  <c r="A11" i="54" s="1"/>
  <c r="A12" i="54" s="1"/>
  <c r="A13" i="54" s="1"/>
  <c r="A14" i="54" s="1"/>
  <c r="A15" i="54" s="1"/>
  <c r="A16" i="54" s="1"/>
  <c r="A17" i="54" s="1"/>
  <c r="A18" i="54" s="1"/>
  <c r="A19" i="54" s="1"/>
  <c r="A20" i="54" s="1"/>
  <c r="A21" i="54" s="1"/>
  <c r="A22" i="54" s="1"/>
  <c r="A23" i="54" s="1"/>
  <c r="A24" i="54" s="1"/>
  <c r="A25" i="54" s="1"/>
  <c r="A26" i="54" s="1"/>
  <c r="A27" i="54" s="1"/>
  <c r="A28" i="54" s="1"/>
  <c r="A29" i="54" s="1"/>
  <c r="A30" i="54" s="1"/>
  <c r="A31" i="54" s="1"/>
  <c r="A32" i="54" s="1"/>
  <c r="A33" i="54" s="1"/>
  <c r="A34" i="54" s="1"/>
  <c r="A35" i="54" s="1"/>
  <c r="A36" i="54" s="1"/>
  <c r="A37" i="54" s="1"/>
  <c r="A38" i="54" s="1"/>
  <c r="A39" i="54" s="1"/>
  <c r="A40" i="54" s="1"/>
  <c r="A41" i="54" s="1"/>
  <c r="A42" i="54" s="1"/>
  <c r="A43" i="54" s="1"/>
  <c r="A44" i="54" s="1"/>
  <c r="A45" i="54" s="1"/>
  <c r="A46" i="54" s="1"/>
  <c r="A47" i="54" s="1"/>
  <c r="A48" i="54" s="1"/>
  <c r="A49" i="54" s="1"/>
  <c r="A50" i="54" s="1"/>
  <c r="A51" i="54" s="1"/>
  <c r="A52" i="54" s="1"/>
  <c r="A53" i="54" s="1"/>
  <c r="A54" i="54" s="1"/>
  <c r="A55" i="54" s="1"/>
  <c r="A56" i="54" s="1"/>
  <c r="A57" i="54" s="1"/>
  <c r="A58" i="54" s="1"/>
  <c r="A59" i="54" s="1"/>
  <c r="A60" i="54" s="1"/>
  <c r="A61" i="54" s="1"/>
  <c r="A62" i="54" s="1"/>
  <c r="A63" i="54" s="1"/>
  <c r="A64" i="54" s="1"/>
  <c r="A65" i="54" s="1"/>
  <c r="A66" i="54" s="1"/>
  <c r="A67" i="54" s="1"/>
  <c r="A68" i="54" s="1"/>
  <c r="A69" i="54" s="1"/>
  <c r="A70" i="54" s="1"/>
  <c r="A71" i="54" s="1"/>
  <c r="A72" i="54" s="1"/>
  <c r="A73" i="54" s="1"/>
  <c r="A74" i="54" s="1"/>
  <c r="A75" i="54" s="1"/>
  <c r="A76" i="54" s="1"/>
  <c r="A77" i="54" s="1"/>
  <c r="A78" i="54" s="1"/>
  <c r="A79" i="54" s="1"/>
  <c r="A80" i="54" s="1"/>
  <c r="A81" i="54" s="1"/>
  <c r="A82" i="54" s="1"/>
  <c r="A83" i="54" s="1"/>
  <c r="A84" i="54" s="1"/>
  <c r="A85" i="54" s="1"/>
  <c r="A86" i="54" s="1"/>
  <c r="A87" i="54" s="1"/>
  <c r="A88" i="54" s="1"/>
  <c r="A89" i="54" s="1"/>
  <c r="A90" i="54" s="1"/>
  <c r="A91" i="54" s="1"/>
  <c r="A92" i="54" s="1"/>
  <c r="A93" i="54" s="1"/>
  <c r="A94" i="54" s="1"/>
  <c r="A95" i="54" s="1"/>
  <c r="A96" i="54" s="1"/>
  <c r="A97" i="54" s="1"/>
  <c r="A98" i="54" s="1"/>
  <c r="A99" i="54" s="1"/>
  <c r="A100" i="54" s="1"/>
  <c r="A101" i="54" s="1"/>
  <c r="A102" i="54" s="1"/>
  <c r="A103" i="54" s="1"/>
  <c r="A104" i="54" s="1"/>
  <c r="A105" i="54" s="1"/>
  <c r="A106" i="54" s="1"/>
  <c r="A107" i="54" s="1"/>
  <c r="A108" i="54" s="1"/>
  <c r="A109" i="54" s="1"/>
  <c r="A110" i="54" s="1"/>
  <c r="A111" i="54" s="1"/>
  <c r="A112" i="54" s="1"/>
  <c r="A113" i="54" s="1"/>
  <c r="A114" i="54" s="1"/>
  <c r="A115" i="54" s="1"/>
  <c r="A116" i="54" s="1"/>
  <c r="A117" i="54" s="1"/>
  <c r="A118" i="54" s="1"/>
  <c r="A119" i="54" s="1"/>
  <c r="A120" i="54" s="1"/>
  <c r="A121" i="54" s="1"/>
  <c r="A122" i="54" s="1"/>
  <c r="A123" i="54" s="1"/>
  <c r="A124" i="54" s="1"/>
  <c r="A125" i="54" s="1"/>
  <c r="A126" i="54" s="1"/>
  <c r="A127" i="54" s="1"/>
  <c r="A128" i="54" s="1"/>
  <c r="A129" i="54" s="1"/>
  <c r="A130" i="54" s="1"/>
  <c r="A131" i="54" s="1"/>
  <c r="A132" i="54" s="1"/>
  <c r="A133" i="54" s="1"/>
  <c r="A134" i="54" s="1"/>
  <c r="A135" i="54" s="1"/>
  <c r="A136" i="54" s="1"/>
  <c r="A137" i="54" s="1"/>
  <c r="A138" i="54" s="1"/>
  <c r="A139" i="54" s="1"/>
  <c r="A140" i="54" s="1"/>
  <c r="A141" i="54" s="1"/>
  <c r="A142" i="54" s="1"/>
  <c r="A143" i="54" s="1"/>
  <c r="A144" i="54" s="1"/>
  <c r="A145" i="54" s="1"/>
  <c r="A146" i="54" s="1"/>
  <c r="A147" i="54" s="1"/>
  <c r="A148" i="54" s="1"/>
  <c r="A149" i="54" s="1"/>
  <c r="A150" i="54" s="1"/>
  <c r="A151" i="54" s="1"/>
  <c r="A152" i="54" s="1"/>
  <c r="A153" i="54" s="1"/>
  <c r="A154" i="54" s="1"/>
  <c r="A155" i="54" s="1"/>
  <c r="A156" i="54" s="1"/>
  <c r="A157" i="54" s="1"/>
  <c r="A158" i="54" s="1"/>
  <c r="A159" i="54" s="1"/>
  <c r="A160" i="54" s="1"/>
  <c r="A161" i="54" s="1"/>
  <c r="A162" i="54" s="1"/>
  <c r="A163" i="54" s="1"/>
  <c r="A164" i="54" s="1"/>
  <c r="A165" i="54" s="1"/>
  <c r="A166" i="54" s="1"/>
  <c r="A167" i="54" s="1"/>
  <c r="A168" i="54" s="1"/>
  <c r="A169" i="54" s="1"/>
  <c r="A170" i="54" s="1"/>
  <c r="A171" i="54" s="1"/>
  <c r="A172" i="54" s="1"/>
  <c r="A173" i="54" s="1"/>
  <c r="A174" i="54" s="1"/>
  <c r="A175" i="54" s="1"/>
  <c r="A176" i="54" s="1"/>
  <c r="A177" i="54" s="1"/>
  <c r="A178" i="54" s="1"/>
  <c r="A179" i="54" s="1"/>
  <c r="A180" i="54" s="1"/>
  <c r="A181" i="54" s="1"/>
  <c r="A182" i="54" s="1"/>
  <c r="A183" i="54" s="1"/>
  <c r="A184" i="54" s="1"/>
  <c r="A185" i="54" s="1"/>
  <c r="A186" i="54" s="1"/>
  <c r="A187" i="54" s="1"/>
  <c r="A188" i="54" s="1"/>
  <c r="A189" i="54" s="1"/>
  <c r="A190" i="54" s="1"/>
  <c r="A191" i="54" s="1"/>
  <c r="A192" i="54" s="1"/>
  <c r="A193" i="54" s="1"/>
  <c r="A194" i="54" s="1"/>
  <c r="A195" i="54" s="1"/>
  <c r="A196" i="54" s="1"/>
  <c r="A197" i="54" s="1"/>
  <c r="A198" i="54" s="1"/>
  <c r="A199" i="54" s="1"/>
  <c r="A200" i="54" s="1"/>
  <c r="A201" i="54" s="1"/>
  <c r="A202" i="54" s="1"/>
  <c r="A203" i="54" s="1"/>
  <c r="A204" i="54" s="1"/>
  <c r="A205" i="54" s="1"/>
  <c r="A206" i="54" s="1"/>
  <c r="A207" i="54" s="1"/>
  <c r="A208" i="54" s="1"/>
  <c r="A209" i="54" s="1"/>
  <c r="A210" i="54" s="1"/>
  <c r="A211" i="54" s="1"/>
  <c r="A212" i="54" s="1"/>
  <c r="A213" i="54" s="1"/>
  <c r="A214" i="54" s="1"/>
  <c r="A215" i="54" s="1"/>
  <c r="A216" i="54" s="1"/>
  <c r="A217" i="54" s="1"/>
  <c r="A218" i="54" s="1"/>
  <c r="A219" i="54" s="1"/>
  <c r="A220" i="54" s="1"/>
  <c r="A221" i="54" s="1"/>
  <c r="A222" i="54" s="1"/>
  <c r="A223" i="54" s="1"/>
  <c r="A224" i="54" s="1"/>
  <c r="A225" i="54" s="1"/>
  <c r="A226" i="54" s="1"/>
  <c r="A227" i="54" s="1"/>
  <c r="A228" i="54" s="1"/>
  <c r="A229" i="54" s="1"/>
  <c r="A230" i="54" s="1"/>
  <c r="A231" i="54" s="1"/>
  <c r="A232" i="54" s="1"/>
  <c r="A233" i="54" s="1"/>
  <c r="A234" i="54" s="1"/>
  <c r="A235" i="54" s="1"/>
  <c r="A236" i="54" s="1"/>
  <c r="A237" i="54" s="1"/>
  <c r="A238" i="54" s="1"/>
  <c r="A239" i="54" s="1"/>
  <c r="A240" i="54" s="1"/>
  <c r="A241" i="54" s="1"/>
  <c r="A242" i="54" s="1"/>
  <c r="A243" i="54" s="1"/>
  <c r="A244" i="54" s="1"/>
  <c r="A245" i="54" s="1"/>
  <c r="A246" i="54" s="1"/>
  <c r="A247" i="54" s="1"/>
  <c r="A248" i="54" s="1"/>
  <c r="A249" i="54" s="1"/>
  <c r="A250" i="54" s="1"/>
  <c r="A251" i="54" s="1"/>
  <c r="A252" i="54" s="1"/>
  <c r="A253" i="54" s="1"/>
  <c r="A254" i="54" s="1"/>
  <c r="A255" i="54" s="1"/>
  <c r="A256" i="54" s="1"/>
  <c r="A257" i="54" s="1"/>
  <c r="A258" i="54" s="1"/>
  <c r="A259" i="54" s="1"/>
  <c r="A260" i="54" s="1"/>
  <c r="A261" i="54" s="1"/>
  <c r="A262" i="54" s="1"/>
  <c r="A263" i="54" s="1"/>
  <c r="A264" i="54" s="1"/>
  <c r="A265" i="54" s="1"/>
  <c r="A266" i="54" s="1"/>
  <c r="A267" i="54" s="1"/>
  <c r="A268" i="54" s="1"/>
  <c r="A269" i="54" s="1"/>
  <c r="A270" i="54" s="1"/>
  <c r="A271" i="54" s="1"/>
  <c r="A272" i="54" s="1"/>
  <c r="A273" i="54" s="1"/>
  <c r="A274" i="54" s="1"/>
  <c r="A275" i="54" s="1"/>
  <c r="A276" i="54" s="1"/>
  <c r="A277" i="54" s="1"/>
  <c r="A278" i="54" s="1"/>
  <c r="A279" i="54" s="1"/>
  <c r="A280" i="54" s="1"/>
  <c r="A281" i="54" s="1"/>
  <c r="A282" i="54" s="1"/>
  <c r="A283" i="54" s="1"/>
  <c r="A284" i="54" s="1"/>
  <c r="A285" i="54" s="1"/>
  <c r="A286" i="54" s="1"/>
  <c r="A287" i="54" s="1"/>
  <c r="A288" i="54" s="1"/>
  <c r="A289" i="54" s="1"/>
  <c r="A290" i="54" s="1"/>
  <c r="A291" i="54" s="1"/>
  <c r="A292" i="54" s="1"/>
  <c r="A293" i="54" s="1"/>
  <c r="A294" i="54" s="1"/>
  <c r="A295" i="54" s="1"/>
  <c r="A296" i="54" s="1"/>
  <c r="A297" i="54" s="1"/>
  <c r="A298" i="54" s="1"/>
  <c r="A299" i="54" s="1"/>
  <c r="A300" i="54" s="1"/>
  <c r="A301" i="54" s="1"/>
  <c r="A302" i="54" s="1"/>
  <c r="A303" i="54" s="1"/>
  <c r="A304" i="54" s="1"/>
  <c r="A305" i="54" s="1"/>
  <c r="A306" i="54" s="1"/>
  <c r="A307" i="54" s="1"/>
  <c r="A308" i="54" s="1"/>
  <c r="A309" i="54" s="1"/>
  <c r="A310" i="54" s="1"/>
  <c r="A311" i="54" s="1"/>
  <c r="A312" i="54" s="1"/>
  <c r="A313" i="54" s="1"/>
  <c r="A314" i="54" s="1"/>
  <c r="A315" i="54" s="1"/>
  <c r="A316" i="54" s="1"/>
  <c r="A317" i="54" s="1"/>
  <c r="A318" i="54" s="1"/>
  <c r="A319" i="54" s="1"/>
  <c r="A320" i="54" s="1"/>
  <c r="A321" i="54" s="1"/>
  <c r="A322" i="54" s="1"/>
  <c r="A323" i="54" s="1"/>
  <c r="A324" i="54" s="1"/>
  <c r="A325" i="54" s="1"/>
  <c r="A326" i="54" s="1"/>
  <c r="A327" i="54" s="1"/>
  <c r="A328" i="54" s="1"/>
  <c r="A329" i="54" s="1"/>
  <c r="A330" i="54" s="1"/>
  <c r="A331" i="54" s="1"/>
  <c r="A332" i="54" s="1"/>
  <c r="A333" i="54" s="1"/>
  <c r="A334" i="54" s="1"/>
  <c r="A335" i="54" s="1"/>
  <c r="A336" i="54" s="1"/>
  <c r="A337" i="54" s="1"/>
  <c r="A338" i="54" s="1"/>
  <c r="A339" i="54" s="1"/>
  <c r="A340" i="54" s="1"/>
  <c r="A341" i="54" s="1"/>
  <c r="A342" i="54" s="1"/>
  <c r="A343" i="54" s="1"/>
  <c r="A344" i="54" s="1"/>
  <c r="A345" i="54" s="1"/>
  <c r="A346" i="54" s="1"/>
  <c r="A347" i="54" s="1"/>
  <c r="A348" i="54" s="1"/>
  <c r="A349" i="54" s="1"/>
  <c r="A350" i="54" s="1"/>
  <c r="A351" i="54" s="1"/>
  <c r="A352" i="54" s="1"/>
  <c r="A353" i="54" s="1"/>
  <c r="A354" i="54" s="1"/>
  <c r="A355" i="54" s="1"/>
  <c r="A356" i="54" s="1"/>
  <c r="A357" i="54" s="1"/>
  <c r="A358" i="54" s="1"/>
  <c r="A359" i="54" s="1"/>
  <c r="A360" i="54" s="1"/>
  <c r="A361" i="54" s="1"/>
  <c r="A362" i="54" s="1"/>
  <c r="A363" i="54" s="1"/>
  <c r="A364" i="54" s="1"/>
  <c r="A365" i="54" s="1"/>
  <c r="A366" i="54" s="1"/>
  <c r="A367" i="54" s="1"/>
  <c r="A368" i="54" s="1"/>
  <c r="A369" i="54" s="1"/>
  <c r="A370" i="54" s="1"/>
  <c r="A371" i="54" s="1"/>
  <c r="A372" i="54" s="1"/>
  <c r="A373" i="54" s="1"/>
  <c r="A374" i="54" s="1"/>
  <c r="A375" i="54" s="1"/>
  <c r="A376" i="54" s="1"/>
  <c r="A377" i="54" s="1"/>
  <c r="A378" i="54" s="1"/>
  <c r="A379" i="54" s="1"/>
  <c r="A380" i="54" s="1"/>
  <c r="A381" i="54" s="1"/>
  <c r="A382" i="54" s="1"/>
  <c r="A383" i="54" s="1"/>
  <c r="A384" i="54" s="1"/>
  <c r="A385" i="54" s="1"/>
  <c r="A386" i="54" s="1"/>
  <c r="A387" i="54" s="1"/>
  <c r="A388" i="54" s="1"/>
  <c r="A389" i="54" s="1"/>
  <c r="A390" i="54" s="1"/>
  <c r="A391" i="54" s="1"/>
  <c r="A392" i="54" s="1"/>
  <c r="A393" i="54" s="1"/>
  <c r="A394" i="54" s="1"/>
  <c r="A395" i="54" s="1"/>
  <c r="A396" i="54" s="1"/>
  <c r="A397" i="54" s="1"/>
  <c r="A398" i="54" s="1"/>
  <c r="A399" i="54" s="1"/>
  <c r="A400" i="54" s="1"/>
  <c r="A401" i="54" s="1"/>
  <c r="A402" i="54" s="1"/>
  <c r="A403" i="54" s="1"/>
  <c r="A404" i="54" s="1"/>
  <c r="A405" i="54" s="1"/>
  <c r="A406" i="54" s="1"/>
  <c r="A407" i="54" s="1"/>
  <c r="A408" i="54" s="1"/>
  <c r="A409" i="54" s="1"/>
  <c r="A410" i="54" s="1"/>
  <c r="A411" i="54" s="1"/>
  <c r="A412" i="54" s="1"/>
  <c r="A413" i="54" s="1"/>
  <c r="A414" i="54" s="1"/>
  <c r="A415" i="54" s="1"/>
  <c r="A416" i="54" s="1"/>
  <c r="A417" i="54" s="1"/>
  <c r="A418" i="54" s="1"/>
  <c r="A419" i="54" s="1"/>
  <c r="A420" i="54" s="1"/>
  <c r="A421" i="54" s="1"/>
  <c r="A422" i="54" s="1"/>
  <c r="A423" i="54" s="1"/>
  <c r="A424" i="54" s="1"/>
  <c r="A425" i="54" s="1"/>
  <c r="A426" i="54" s="1"/>
  <c r="A427" i="54" s="1"/>
  <c r="A428" i="54" s="1"/>
  <c r="A429" i="54" s="1"/>
  <c r="A430" i="54" s="1"/>
  <c r="A431" i="54" s="1"/>
  <c r="A432" i="54" s="1"/>
  <c r="A433" i="54" s="1"/>
  <c r="A434" i="54" s="1"/>
  <c r="A435" i="54" s="1"/>
  <c r="A436" i="54" s="1"/>
  <c r="A437" i="54" s="1"/>
  <c r="A438" i="54" s="1"/>
  <c r="A439" i="54" s="1"/>
  <c r="A440" i="54" s="1"/>
  <c r="A441" i="54" s="1"/>
  <c r="A442" i="54" s="1"/>
  <c r="A443" i="54" s="1"/>
  <c r="A444" i="54" s="1"/>
  <c r="A445" i="54" s="1"/>
  <c r="A446" i="54" s="1"/>
  <c r="A447" i="54" s="1"/>
  <c r="A448" i="54" s="1"/>
  <c r="A449" i="54" s="1"/>
  <c r="A450" i="54" s="1"/>
  <c r="A451" i="54" s="1"/>
  <c r="A452" i="54" s="1"/>
  <c r="A453" i="54" s="1"/>
  <c r="A454" i="54" s="1"/>
  <c r="A455" i="54" s="1"/>
  <c r="A456" i="54" s="1"/>
  <c r="A457" i="54" s="1"/>
  <c r="A458" i="54" s="1"/>
  <c r="A459" i="54" s="1"/>
  <c r="A460" i="54" s="1"/>
  <c r="A461" i="54" s="1"/>
  <c r="A462" i="54" s="1"/>
  <c r="A463" i="54" s="1"/>
  <c r="A464" i="54" s="1"/>
  <c r="A465" i="54" s="1"/>
  <c r="A466" i="54" s="1"/>
  <c r="E6" i="54"/>
  <c r="AT6" i="54"/>
  <c r="AW6" i="54"/>
  <c r="E7" i="54"/>
  <c r="AT7" i="54"/>
  <c r="AW7" i="54"/>
  <c r="E8" i="54"/>
  <c r="AT8" i="54"/>
  <c r="AW8" i="54"/>
  <c r="E9" i="54"/>
  <c r="AT9" i="54"/>
  <c r="AW9" i="54"/>
  <c r="E10" i="54"/>
  <c r="AT10" i="54"/>
  <c r="AU10" i="54" s="1"/>
  <c r="AW10" i="54"/>
  <c r="E11" i="54"/>
  <c r="AT11" i="54"/>
  <c r="AW11" i="54"/>
  <c r="E12" i="54"/>
  <c r="AT12" i="54"/>
  <c r="AW12" i="54"/>
  <c r="E13" i="54"/>
  <c r="AT13" i="54"/>
  <c r="AW13" i="54"/>
  <c r="E14" i="54"/>
  <c r="AT14" i="54"/>
  <c r="AW14" i="54"/>
  <c r="E15" i="54"/>
  <c r="AT15" i="54"/>
  <c r="AW15" i="54"/>
  <c r="E16" i="54"/>
  <c r="AT16" i="54"/>
  <c r="AW16" i="54"/>
  <c r="E17" i="54"/>
  <c r="AT17" i="54"/>
  <c r="AW17" i="54"/>
  <c r="E18" i="54"/>
  <c r="AT18" i="54"/>
  <c r="AW18" i="54"/>
  <c r="E19" i="54"/>
  <c r="AT19" i="54"/>
  <c r="AW19" i="54"/>
  <c r="E20" i="54"/>
  <c r="AT20" i="54"/>
  <c r="AW20" i="54"/>
  <c r="E21" i="54"/>
  <c r="AT21" i="54"/>
  <c r="AW21" i="54"/>
  <c r="E22" i="54"/>
  <c r="AT22" i="54"/>
  <c r="AW22" i="54"/>
  <c r="E23" i="54"/>
  <c r="AT23" i="54"/>
  <c r="AW23" i="54"/>
  <c r="E24" i="54"/>
  <c r="AT24" i="54"/>
  <c r="AW24" i="54"/>
  <c r="E25" i="54"/>
  <c r="AT25" i="54"/>
  <c r="AW25" i="54"/>
  <c r="E26" i="54"/>
  <c r="AT26" i="54"/>
  <c r="AW26" i="54"/>
  <c r="E27" i="54"/>
  <c r="AT27" i="54"/>
  <c r="AW27" i="54"/>
  <c r="E28" i="54"/>
  <c r="AT28" i="54"/>
  <c r="AW28" i="54"/>
  <c r="E29" i="54"/>
  <c r="AT29" i="54"/>
  <c r="AW29" i="54"/>
  <c r="E30" i="54"/>
  <c r="AT30" i="54"/>
  <c r="AW30" i="54"/>
  <c r="E31" i="54"/>
  <c r="AT31" i="54"/>
  <c r="AW31" i="54"/>
  <c r="E32" i="54"/>
  <c r="AT32" i="54"/>
  <c r="AW32" i="54"/>
  <c r="E33" i="54"/>
  <c r="AT33" i="54"/>
  <c r="AW33" i="54"/>
  <c r="E34" i="54"/>
  <c r="AT34" i="54"/>
  <c r="AW34" i="54"/>
  <c r="E35" i="54"/>
  <c r="AT35" i="54"/>
  <c r="AW35" i="54"/>
  <c r="E36" i="54"/>
  <c r="AT36" i="54"/>
  <c r="AW36" i="54"/>
  <c r="E37" i="54"/>
  <c r="AT37" i="54"/>
  <c r="AW37" i="54"/>
  <c r="E38" i="54"/>
  <c r="AT38" i="54"/>
  <c r="AW38" i="54"/>
  <c r="E39" i="54"/>
  <c r="AT39" i="54"/>
  <c r="AW39" i="54"/>
  <c r="E40" i="54"/>
  <c r="AT40" i="54"/>
  <c r="AW40" i="54"/>
  <c r="E41" i="54"/>
  <c r="AT41" i="54"/>
  <c r="AW41" i="54"/>
  <c r="E42" i="54"/>
  <c r="AT42" i="54"/>
  <c r="AW42" i="54"/>
  <c r="E43" i="54"/>
  <c r="AT43" i="54"/>
  <c r="AW43" i="54"/>
  <c r="E44" i="54"/>
  <c r="AT44" i="54"/>
  <c r="AW44" i="54"/>
  <c r="E45" i="54"/>
  <c r="AT45" i="54"/>
  <c r="AW45" i="54"/>
  <c r="E46" i="54"/>
  <c r="AT46" i="54"/>
  <c r="AW46" i="54"/>
  <c r="E47" i="54"/>
  <c r="AT47" i="54"/>
  <c r="AW47" i="54"/>
  <c r="E48" i="54"/>
  <c r="AT48" i="54"/>
  <c r="AW48" i="54"/>
  <c r="E49" i="54"/>
  <c r="AT49" i="54"/>
  <c r="AW49" i="54"/>
  <c r="E50" i="54"/>
  <c r="AT50" i="54"/>
  <c r="AW50" i="54"/>
  <c r="E51" i="54"/>
  <c r="AT51" i="54"/>
  <c r="AW51" i="54"/>
  <c r="E52" i="54"/>
  <c r="AT52" i="54"/>
  <c r="AW52" i="54"/>
  <c r="E53" i="54"/>
  <c r="AT53" i="54"/>
  <c r="AW53" i="54"/>
  <c r="E54" i="54"/>
  <c r="AT54" i="54"/>
  <c r="AW54" i="54"/>
  <c r="E55" i="54"/>
  <c r="AT55" i="54"/>
  <c r="AW55" i="54"/>
  <c r="E56" i="54"/>
  <c r="AT56" i="54"/>
  <c r="AW56" i="54"/>
  <c r="E57" i="54"/>
  <c r="AT57" i="54"/>
  <c r="AW57" i="54"/>
  <c r="E58" i="54"/>
  <c r="AT58" i="54"/>
  <c r="AW58" i="54"/>
  <c r="E59" i="54"/>
  <c r="AT59" i="54"/>
  <c r="AW59" i="54"/>
  <c r="E60" i="54"/>
  <c r="AT60" i="54"/>
  <c r="AW60" i="54"/>
  <c r="E61" i="54"/>
  <c r="AT61" i="54"/>
  <c r="AW61" i="54"/>
  <c r="E62" i="54"/>
  <c r="AT62" i="54"/>
  <c r="AW62" i="54"/>
  <c r="E63" i="54"/>
  <c r="AT63" i="54"/>
  <c r="AW63" i="54"/>
  <c r="E64" i="54"/>
  <c r="AT64" i="54"/>
  <c r="AW64" i="54"/>
  <c r="E65" i="54"/>
  <c r="AT65" i="54"/>
  <c r="AW65" i="54"/>
  <c r="E66" i="54"/>
  <c r="AT66" i="54"/>
  <c r="AW66" i="54"/>
  <c r="E67" i="54"/>
  <c r="AT67" i="54"/>
  <c r="AW67" i="54"/>
  <c r="E68" i="54"/>
  <c r="AT68" i="54"/>
  <c r="AW68" i="54"/>
  <c r="E69" i="54"/>
  <c r="AT69" i="54"/>
  <c r="AW69" i="54"/>
  <c r="E70" i="54"/>
  <c r="AT70" i="54"/>
  <c r="AW70" i="54"/>
  <c r="E71" i="54"/>
  <c r="AT71" i="54"/>
  <c r="AW71" i="54"/>
  <c r="E72" i="54"/>
  <c r="AT72" i="54"/>
  <c r="AW72" i="54"/>
  <c r="E73" i="54"/>
  <c r="AT73" i="54"/>
  <c r="AW73" i="54"/>
  <c r="E74" i="54"/>
  <c r="AT74" i="54"/>
  <c r="AW74" i="54"/>
  <c r="E75" i="54"/>
  <c r="AT75" i="54"/>
  <c r="AW75" i="54"/>
  <c r="E76" i="54"/>
  <c r="AT76" i="54"/>
  <c r="AW76" i="54"/>
  <c r="E77" i="54"/>
  <c r="AT77" i="54"/>
  <c r="AW77" i="54"/>
  <c r="E78" i="54"/>
  <c r="AT78" i="54"/>
  <c r="AW78" i="54"/>
  <c r="E79" i="54"/>
  <c r="AT79" i="54"/>
  <c r="AW79" i="54"/>
  <c r="E80" i="54"/>
  <c r="AT80" i="54"/>
  <c r="AW80" i="54"/>
  <c r="E81" i="54"/>
  <c r="AT81" i="54"/>
  <c r="AW81" i="54"/>
  <c r="E82" i="54"/>
  <c r="AT82" i="54"/>
  <c r="AW82" i="54"/>
  <c r="E83" i="54"/>
  <c r="AT83" i="54"/>
  <c r="AW83" i="54"/>
  <c r="E84" i="54"/>
  <c r="AT84" i="54"/>
  <c r="AW84" i="54"/>
  <c r="E85" i="54"/>
  <c r="AT85" i="54"/>
  <c r="AW85" i="54"/>
  <c r="E86" i="54"/>
  <c r="AT86" i="54"/>
  <c r="AW86" i="54"/>
  <c r="E87" i="54"/>
  <c r="AT87" i="54"/>
  <c r="AW87" i="54"/>
  <c r="E88" i="54"/>
  <c r="AT88" i="54"/>
  <c r="AW88" i="54"/>
  <c r="E89" i="54"/>
  <c r="AT89" i="54"/>
  <c r="AW89" i="54"/>
  <c r="E90" i="54"/>
  <c r="AT90" i="54"/>
  <c r="AW90" i="54"/>
  <c r="E91" i="54"/>
  <c r="AT91" i="54"/>
  <c r="AW91" i="54"/>
  <c r="E92" i="54"/>
  <c r="AT92" i="54"/>
  <c r="AW92" i="54"/>
  <c r="E93" i="54"/>
  <c r="AT93" i="54"/>
  <c r="AW93" i="54"/>
  <c r="E94" i="54"/>
  <c r="AT94" i="54"/>
  <c r="AW94" i="54"/>
  <c r="E95" i="54"/>
  <c r="AT95" i="54"/>
  <c r="AW95" i="54"/>
  <c r="E96" i="54"/>
  <c r="AT96" i="54"/>
  <c r="AW96" i="54"/>
  <c r="E97" i="54"/>
  <c r="AT97" i="54"/>
  <c r="AW97" i="54"/>
  <c r="E98" i="54"/>
  <c r="AT98" i="54"/>
  <c r="AW98" i="54"/>
  <c r="E99" i="54"/>
  <c r="AT99" i="54"/>
  <c r="AW99" i="54"/>
  <c r="E100" i="54"/>
  <c r="AT100" i="54"/>
  <c r="AW100" i="54"/>
  <c r="E101" i="54"/>
  <c r="AT101" i="54"/>
  <c r="AW101" i="54"/>
  <c r="E102" i="54"/>
  <c r="AT102" i="54"/>
  <c r="AW102" i="54"/>
  <c r="E103" i="54"/>
  <c r="AT103" i="54"/>
  <c r="AW103" i="54"/>
  <c r="E104" i="54"/>
  <c r="AT104" i="54"/>
  <c r="AW104" i="54"/>
  <c r="E105" i="54"/>
  <c r="AT105" i="54"/>
  <c r="AW105" i="54"/>
  <c r="E106" i="54"/>
  <c r="AT106" i="54"/>
  <c r="AW106" i="54"/>
  <c r="E107" i="54"/>
  <c r="AT107" i="54"/>
  <c r="AW107" i="54"/>
  <c r="E108" i="54"/>
  <c r="AT108" i="54"/>
  <c r="AW108" i="54"/>
  <c r="E109" i="54"/>
  <c r="AT109" i="54"/>
  <c r="AW109" i="54"/>
  <c r="E110" i="54"/>
  <c r="AT110" i="54"/>
  <c r="AW110" i="54"/>
  <c r="E111" i="54"/>
  <c r="AT111" i="54"/>
  <c r="AW111" i="54"/>
  <c r="E112" i="54"/>
  <c r="AT112" i="54"/>
  <c r="AW112" i="54"/>
  <c r="E113" i="54"/>
  <c r="AT113" i="54"/>
  <c r="AW113" i="54"/>
  <c r="E114" i="54"/>
  <c r="AT114" i="54"/>
  <c r="AW114" i="54"/>
  <c r="E115" i="54"/>
  <c r="AT115" i="54"/>
  <c r="AW115" i="54"/>
  <c r="E116" i="54"/>
  <c r="AT116" i="54"/>
  <c r="AW116" i="54"/>
  <c r="E117" i="54"/>
  <c r="AT117" i="54"/>
  <c r="AW117" i="54"/>
  <c r="E118" i="54"/>
  <c r="AT118" i="54"/>
  <c r="AW118" i="54"/>
  <c r="E119" i="54"/>
  <c r="AT119" i="54"/>
  <c r="AW119" i="54"/>
  <c r="E120" i="54"/>
  <c r="AT120" i="54"/>
  <c r="AW120" i="54"/>
  <c r="E121" i="54"/>
  <c r="AT121" i="54"/>
  <c r="AW121" i="54"/>
  <c r="E122" i="54"/>
  <c r="AT122" i="54"/>
  <c r="AW122" i="54"/>
  <c r="E123" i="54"/>
  <c r="AT123" i="54"/>
  <c r="AW123" i="54"/>
  <c r="E124" i="54"/>
  <c r="AT124" i="54"/>
  <c r="AW124" i="54"/>
  <c r="E125" i="54"/>
  <c r="AT125" i="54"/>
  <c r="AW125" i="54"/>
  <c r="E126" i="54"/>
  <c r="AT126" i="54"/>
  <c r="AW126" i="54"/>
  <c r="E127" i="54"/>
  <c r="AT127" i="54"/>
  <c r="AW127" i="54"/>
  <c r="E128" i="54"/>
  <c r="AT128" i="54"/>
  <c r="AW128" i="54"/>
  <c r="E129" i="54"/>
  <c r="AT129" i="54"/>
  <c r="AW129" i="54"/>
  <c r="E130" i="54"/>
  <c r="AT130" i="54"/>
  <c r="AW130" i="54"/>
  <c r="E131" i="54"/>
  <c r="AT131" i="54"/>
  <c r="AW131" i="54"/>
  <c r="E132" i="54"/>
  <c r="AT132" i="54"/>
  <c r="AW132" i="54"/>
  <c r="E133" i="54"/>
  <c r="AT133" i="54"/>
  <c r="AW133" i="54"/>
  <c r="E134" i="54"/>
  <c r="AT134" i="54"/>
  <c r="AW134" i="54"/>
  <c r="E135" i="54"/>
  <c r="AT135" i="54"/>
  <c r="AW135" i="54"/>
  <c r="E136" i="54"/>
  <c r="AT136" i="54"/>
  <c r="AW136" i="54"/>
  <c r="E137" i="54"/>
  <c r="AT137" i="54"/>
  <c r="AW137" i="54"/>
  <c r="E138" i="54"/>
  <c r="AT138" i="54"/>
  <c r="AW138" i="54"/>
  <c r="E139" i="54"/>
  <c r="AT139" i="54"/>
  <c r="AW139" i="54"/>
  <c r="E140" i="54"/>
  <c r="AT140" i="54"/>
  <c r="AW140" i="54"/>
  <c r="E141" i="54"/>
  <c r="AT141" i="54"/>
  <c r="AW141" i="54"/>
  <c r="E142" i="54"/>
  <c r="AT142" i="54"/>
  <c r="AW142" i="54"/>
  <c r="E143" i="54"/>
  <c r="AT143" i="54"/>
  <c r="AW143" i="54"/>
  <c r="E144" i="54"/>
  <c r="AT144" i="54"/>
  <c r="AW144" i="54"/>
  <c r="E145" i="54"/>
  <c r="AT145" i="54"/>
  <c r="AW145" i="54"/>
  <c r="E146" i="54"/>
  <c r="AT146" i="54"/>
  <c r="AW146" i="54"/>
  <c r="E147" i="54"/>
  <c r="AT147" i="54"/>
  <c r="AW147" i="54"/>
  <c r="E148" i="54"/>
  <c r="AT148" i="54"/>
  <c r="AW148" i="54"/>
  <c r="E149" i="54"/>
  <c r="AT149" i="54"/>
  <c r="AW149" i="54"/>
  <c r="E150" i="54"/>
  <c r="AT150" i="54"/>
  <c r="AW150" i="54"/>
  <c r="E151" i="54"/>
  <c r="AT151" i="54"/>
  <c r="AW151" i="54"/>
  <c r="E152" i="54"/>
  <c r="AT152" i="54"/>
  <c r="AW152" i="54"/>
  <c r="E153" i="54"/>
  <c r="AT153" i="54"/>
  <c r="AW153" i="54"/>
  <c r="E154" i="54"/>
  <c r="AT154" i="54"/>
  <c r="AW154" i="54"/>
  <c r="E155" i="54"/>
  <c r="AT155" i="54"/>
  <c r="AW155" i="54"/>
  <c r="E156" i="54"/>
  <c r="AT156" i="54"/>
  <c r="AW156" i="54"/>
  <c r="E157" i="54"/>
  <c r="AT157" i="54"/>
  <c r="AW157" i="54"/>
  <c r="E158" i="54"/>
  <c r="AT158" i="54"/>
  <c r="AW158" i="54"/>
  <c r="E159" i="54"/>
  <c r="AT159" i="54"/>
  <c r="AW159" i="54"/>
  <c r="E160" i="54"/>
  <c r="AT160" i="54"/>
  <c r="AW160" i="54"/>
  <c r="E161" i="54"/>
  <c r="AT161" i="54"/>
  <c r="AW161" i="54"/>
  <c r="E162" i="54"/>
  <c r="AT162" i="54"/>
  <c r="AW162" i="54"/>
  <c r="E163" i="54"/>
  <c r="AT163" i="54"/>
  <c r="AW163" i="54"/>
  <c r="E164" i="54"/>
  <c r="AT164" i="54"/>
  <c r="AW164" i="54"/>
  <c r="E165" i="54"/>
  <c r="AT165" i="54"/>
  <c r="AW165" i="54"/>
  <c r="E166" i="54"/>
  <c r="AT166" i="54"/>
  <c r="AW166" i="54"/>
  <c r="E167" i="54"/>
  <c r="AT167" i="54"/>
  <c r="AW167" i="54"/>
  <c r="E168" i="54"/>
  <c r="AT168" i="54"/>
  <c r="AW168" i="54"/>
  <c r="E169" i="54"/>
  <c r="AT169" i="54"/>
  <c r="AW169" i="54"/>
  <c r="E170" i="54"/>
  <c r="AT170" i="54"/>
  <c r="AW170" i="54"/>
  <c r="E171" i="54"/>
  <c r="AT171" i="54"/>
  <c r="AW171" i="54"/>
  <c r="E172" i="54"/>
  <c r="AT172" i="54"/>
  <c r="AW172" i="54"/>
  <c r="E173" i="54"/>
  <c r="AT173" i="54"/>
  <c r="AW173" i="54"/>
  <c r="E174" i="54"/>
  <c r="AT174" i="54"/>
  <c r="AW174" i="54"/>
  <c r="E175" i="54"/>
  <c r="AT175" i="54"/>
  <c r="AW175" i="54"/>
  <c r="E176" i="54"/>
  <c r="AT176" i="54"/>
  <c r="AW176" i="54"/>
  <c r="E177" i="54"/>
  <c r="AT177" i="54"/>
  <c r="AW177" i="54"/>
  <c r="E178" i="54"/>
  <c r="AT178" i="54"/>
  <c r="AW178" i="54"/>
  <c r="E179" i="54"/>
  <c r="AT179" i="54"/>
  <c r="AW179" i="54"/>
  <c r="E180" i="54"/>
  <c r="AT180" i="54"/>
  <c r="AW180" i="54"/>
  <c r="E181" i="54"/>
  <c r="AT181" i="54"/>
  <c r="AW181" i="54"/>
  <c r="E182" i="54"/>
  <c r="AT182" i="54"/>
  <c r="AW182" i="54"/>
  <c r="E183" i="54"/>
  <c r="AT183" i="54"/>
  <c r="AW183" i="54"/>
  <c r="E184" i="54"/>
  <c r="AT184" i="54"/>
  <c r="AW184" i="54"/>
  <c r="E185" i="54"/>
  <c r="AT185" i="54"/>
  <c r="AW185" i="54"/>
  <c r="E186" i="54"/>
  <c r="AT186" i="54"/>
  <c r="AW186" i="54"/>
  <c r="E187" i="54"/>
  <c r="AT187" i="54"/>
  <c r="AW187" i="54"/>
  <c r="E188" i="54"/>
  <c r="AT188" i="54"/>
  <c r="AW188" i="54"/>
  <c r="E189" i="54"/>
  <c r="AT189" i="54"/>
  <c r="AW189" i="54"/>
  <c r="E190" i="54"/>
  <c r="AT190" i="54"/>
  <c r="AW190" i="54"/>
  <c r="E191" i="54"/>
  <c r="AT191" i="54"/>
  <c r="AW191" i="54"/>
  <c r="E192" i="54"/>
  <c r="AT192" i="54"/>
  <c r="AW192" i="54"/>
  <c r="E193" i="54"/>
  <c r="AT193" i="54"/>
  <c r="AW193" i="54"/>
  <c r="E194" i="54"/>
  <c r="AT194" i="54"/>
  <c r="AW194" i="54"/>
  <c r="E195" i="54"/>
  <c r="AT195" i="54"/>
  <c r="AW195" i="54"/>
  <c r="E196" i="54"/>
  <c r="AT196" i="54"/>
  <c r="AW196" i="54"/>
  <c r="E197" i="54"/>
  <c r="AT197" i="54"/>
  <c r="AW197" i="54"/>
  <c r="E198" i="54"/>
  <c r="AT198" i="54"/>
  <c r="AW198" i="54"/>
  <c r="E199" i="54"/>
  <c r="AT199" i="54"/>
  <c r="AW199" i="54"/>
  <c r="E200" i="54"/>
  <c r="AT200" i="54"/>
  <c r="AW200" i="54"/>
  <c r="E201" i="54"/>
  <c r="AT201" i="54"/>
  <c r="AW201" i="54"/>
  <c r="E202" i="54"/>
  <c r="AT202" i="54"/>
  <c r="AW202" i="54"/>
  <c r="E203" i="54"/>
  <c r="AT203" i="54"/>
  <c r="AW203" i="54"/>
  <c r="E204" i="54"/>
  <c r="AT204" i="54"/>
  <c r="AW204" i="54"/>
  <c r="E205" i="54"/>
  <c r="AT205" i="54"/>
  <c r="AW205" i="54"/>
  <c r="E206" i="54"/>
  <c r="AT206" i="54"/>
  <c r="AW206" i="54"/>
  <c r="E207" i="54"/>
  <c r="AT207" i="54"/>
  <c r="AW207" i="54"/>
  <c r="E208" i="54"/>
  <c r="AT208" i="54"/>
  <c r="AW208" i="54"/>
  <c r="E209" i="54"/>
  <c r="AT209" i="54"/>
  <c r="AW209" i="54"/>
  <c r="E210" i="54"/>
  <c r="AT210" i="54"/>
  <c r="AW210" i="54"/>
  <c r="E211" i="54"/>
  <c r="AT211" i="54"/>
  <c r="AW211" i="54"/>
  <c r="E212" i="54"/>
  <c r="AT212" i="54"/>
  <c r="AW212" i="54"/>
  <c r="E213" i="54"/>
  <c r="AT213" i="54"/>
  <c r="AW213" i="54"/>
  <c r="E214" i="54"/>
  <c r="AT214" i="54"/>
  <c r="AW214" i="54"/>
  <c r="E215" i="54"/>
  <c r="AT215" i="54"/>
  <c r="AW215" i="54"/>
  <c r="E216" i="54"/>
  <c r="AT216" i="54"/>
  <c r="AW216" i="54"/>
  <c r="E217" i="54"/>
  <c r="AT217" i="54"/>
  <c r="AW217" i="54"/>
  <c r="E218" i="54"/>
  <c r="AT218" i="54"/>
  <c r="AW218" i="54"/>
  <c r="E219" i="54"/>
  <c r="AT219" i="54"/>
  <c r="AW219" i="54"/>
  <c r="E220" i="54"/>
  <c r="AT220" i="54"/>
  <c r="AW220" i="54"/>
  <c r="E221" i="54"/>
  <c r="AT221" i="54"/>
  <c r="AW221" i="54"/>
  <c r="E222" i="54"/>
  <c r="AT222" i="54"/>
  <c r="AW222" i="54"/>
  <c r="E223" i="54"/>
  <c r="AT223" i="54"/>
  <c r="AW223" i="54"/>
  <c r="E224" i="54"/>
  <c r="AT224" i="54"/>
  <c r="AW224" i="54"/>
  <c r="E225" i="54"/>
  <c r="AT225" i="54"/>
  <c r="AW225" i="54"/>
  <c r="E226" i="54"/>
  <c r="AT226" i="54"/>
  <c r="AW226" i="54"/>
  <c r="E227" i="54"/>
  <c r="AT227" i="54"/>
  <c r="AW227" i="54"/>
  <c r="E228" i="54"/>
  <c r="AT228" i="54"/>
  <c r="AW228" i="54"/>
  <c r="E229" i="54"/>
  <c r="AT229" i="54"/>
  <c r="AW229" i="54"/>
  <c r="E230" i="54"/>
  <c r="AT230" i="54"/>
  <c r="AW230" i="54"/>
  <c r="E231" i="54"/>
  <c r="AT231" i="54"/>
  <c r="AW231" i="54"/>
  <c r="E232" i="54"/>
  <c r="AT232" i="54"/>
  <c r="AW232" i="54"/>
  <c r="E233" i="54"/>
  <c r="AT233" i="54"/>
  <c r="AW233" i="54"/>
  <c r="E234" i="54"/>
  <c r="AT234" i="54"/>
  <c r="AW234" i="54"/>
  <c r="E235" i="54"/>
  <c r="AT235" i="54"/>
  <c r="AW235" i="54"/>
  <c r="E236" i="54"/>
  <c r="AT236" i="54"/>
  <c r="AW236" i="54"/>
  <c r="E237" i="54"/>
  <c r="AT237" i="54"/>
  <c r="AW237" i="54"/>
  <c r="E238" i="54"/>
  <c r="AT238" i="54"/>
  <c r="AW238" i="54"/>
  <c r="E239" i="54"/>
  <c r="AT239" i="54"/>
  <c r="AW239" i="54"/>
  <c r="E240" i="54"/>
  <c r="AT240" i="54"/>
  <c r="AW240" i="54"/>
  <c r="E241" i="54"/>
  <c r="AT241" i="54"/>
  <c r="AW241" i="54"/>
  <c r="E242" i="54"/>
  <c r="AT242" i="54"/>
  <c r="AW242" i="54"/>
  <c r="E243" i="54"/>
  <c r="AT243" i="54"/>
  <c r="AW243" i="54"/>
  <c r="E244" i="54"/>
  <c r="AT244" i="54"/>
  <c r="AW244" i="54"/>
  <c r="E245" i="54"/>
  <c r="AT245" i="54"/>
  <c r="AW245" i="54"/>
  <c r="E246" i="54"/>
  <c r="AT246" i="54"/>
  <c r="AW246" i="54"/>
  <c r="E247" i="54"/>
  <c r="AT247" i="54"/>
  <c r="AW247" i="54"/>
  <c r="E248" i="54"/>
  <c r="AT248" i="54"/>
  <c r="AW248" i="54"/>
  <c r="E249" i="54"/>
  <c r="AT249" i="54"/>
  <c r="AW249" i="54"/>
  <c r="E250" i="54"/>
  <c r="AT250" i="54"/>
  <c r="AW250" i="54"/>
  <c r="E251" i="54"/>
  <c r="AT251" i="54"/>
  <c r="AW251" i="54"/>
  <c r="E252" i="54"/>
  <c r="AT252" i="54"/>
  <c r="AW252" i="54"/>
  <c r="E253" i="54"/>
  <c r="AT253" i="54"/>
  <c r="AW253" i="54"/>
  <c r="E254" i="54"/>
  <c r="AT254" i="54"/>
  <c r="AW254" i="54"/>
  <c r="E255" i="54"/>
  <c r="AT255" i="54"/>
  <c r="AW255" i="54"/>
  <c r="E256" i="54"/>
  <c r="AT256" i="54"/>
  <c r="AW256" i="54"/>
  <c r="E257" i="54"/>
  <c r="AT257" i="54"/>
  <c r="AW257" i="54"/>
  <c r="E258" i="54"/>
  <c r="AT258" i="54"/>
  <c r="AW258" i="54"/>
  <c r="E259" i="54"/>
  <c r="AT259" i="54"/>
  <c r="AW259" i="54"/>
  <c r="E260" i="54"/>
  <c r="AT260" i="54"/>
  <c r="AW260" i="54"/>
  <c r="E261" i="54"/>
  <c r="AT261" i="54"/>
  <c r="AW261" i="54"/>
  <c r="E262" i="54"/>
  <c r="AT262" i="54"/>
  <c r="AW262" i="54"/>
  <c r="E263" i="54"/>
  <c r="AT263" i="54"/>
  <c r="AW263" i="54"/>
  <c r="E264" i="54"/>
  <c r="AT264" i="54"/>
  <c r="AW264" i="54"/>
  <c r="E265" i="54"/>
  <c r="AT265" i="54"/>
  <c r="AW265" i="54"/>
  <c r="E266" i="54"/>
  <c r="AT266" i="54"/>
  <c r="AW266" i="54"/>
  <c r="E267" i="54"/>
  <c r="AT267" i="54"/>
  <c r="AW267" i="54"/>
  <c r="E268" i="54"/>
  <c r="AT268" i="54"/>
  <c r="AW268" i="54"/>
  <c r="E269" i="54"/>
  <c r="AT269" i="54"/>
  <c r="AW269" i="54"/>
  <c r="E270" i="54"/>
  <c r="AT270" i="54"/>
  <c r="AW270" i="54"/>
  <c r="E271" i="54"/>
  <c r="AT271" i="54"/>
  <c r="AW271" i="54"/>
  <c r="E272" i="54"/>
  <c r="AT272" i="54"/>
  <c r="AW272" i="54"/>
  <c r="E273" i="54"/>
  <c r="AT273" i="54"/>
  <c r="AW273" i="54"/>
  <c r="E274" i="54"/>
  <c r="AT274" i="54"/>
  <c r="AW274" i="54"/>
  <c r="E275" i="54"/>
  <c r="AT275" i="54"/>
  <c r="AW275" i="54"/>
  <c r="E276" i="54"/>
  <c r="AT276" i="54"/>
  <c r="AW276" i="54"/>
  <c r="E277" i="54"/>
  <c r="AT277" i="54"/>
  <c r="AW277" i="54"/>
  <c r="E278" i="54"/>
  <c r="AT278" i="54"/>
  <c r="AW278" i="54"/>
  <c r="E279" i="54"/>
  <c r="AT279" i="54"/>
  <c r="AW279" i="54"/>
  <c r="E280" i="54"/>
  <c r="AT280" i="54"/>
  <c r="AW280" i="54"/>
  <c r="E281" i="54"/>
  <c r="AT281" i="54"/>
  <c r="AW281" i="54"/>
  <c r="E282" i="54"/>
  <c r="AT282" i="54"/>
  <c r="AW282" i="54"/>
  <c r="E283" i="54"/>
  <c r="AT283" i="54"/>
  <c r="AW283" i="54"/>
  <c r="E284" i="54"/>
  <c r="AT284" i="54"/>
  <c r="AW284" i="54"/>
  <c r="E285" i="54"/>
  <c r="AT285" i="54"/>
  <c r="AW285" i="54"/>
  <c r="E286" i="54"/>
  <c r="AT286" i="54"/>
  <c r="AW286" i="54"/>
  <c r="E287" i="54"/>
  <c r="AT287" i="54"/>
  <c r="AW287" i="54"/>
  <c r="E288" i="54"/>
  <c r="AT288" i="54"/>
  <c r="AW288" i="54"/>
  <c r="E289" i="54"/>
  <c r="AT289" i="54"/>
  <c r="AW289" i="54"/>
  <c r="E290" i="54"/>
  <c r="AT290" i="54"/>
  <c r="AW290" i="54"/>
  <c r="E291" i="54"/>
  <c r="AT291" i="54"/>
  <c r="AW291" i="54"/>
  <c r="E292" i="54"/>
  <c r="AT292" i="54"/>
  <c r="AW292" i="54"/>
  <c r="E293" i="54"/>
  <c r="AT293" i="54"/>
  <c r="AW293" i="54"/>
  <c r="E294" i="54"/>
  <c r="AT294" i="54"/>
  <c r="AW294" i="54"/>
  <c r="E295" i="54"/>
  <c r="AT295" i="54"/>
  <c r="AW295" i="54"/>
  <c r="E296" i="54"/>
  <c r="AT296" i="54"/>
  <c r="AW296" i="54"/>
  <c r="E297" i="54"/>
  <c r="AT297" i="54"/>
  <c r="AW297" i="54"/>
  <c r="E298" i="54"/>
  <c r="AT298" i="54"/>
  <c r="AW298" i="54"/>
  <c r="E299" i="54"/>
  <c r="AT299" i="54"/>
  <c r="AW299" i="54"/>
  <c r="E300" i="54"/>
  <c r="AT300" i="54"/>
  <c r="AW300" i="54"/>
  <c r="E301" i="54"/>
  <c r="AT301" i="54"/>
  <c r="AW301" i="54"/>
  <c r="E302" i="54"/>
  <c r="AT302" i="54"/>
  <c r="AW302" i="54"/>
  <c r="E303" i="54"/>
  <c r="AT303" i="54"/>
  <c r="AW303" i="54"/>
  <c r="E304" i="54"/>
  <c r="AT304" i="54"/>
  <c r="AW304" i="54"/>
  <c r="E305" i="54"/>
  <c r="AT305" i="54"/>
  <c r="AW305" i="54"/>
  <c r="E306" i="54"/>
  <c r="AT306" i="54"/>
  <c r="AW306" i="54"/>
  <c r="E307" i="54"/>
  <c r="AT307" i="54"/>
  <c r="AW307" i="54"/>
  <c r="E308" i="54"/>
  <c r="AT308" i="54"/>
  <c r="AW308" i="54"/>
  <c r="E309" i="54"/>
  <c r="AT309" i="54"/>
  <c r="AW309" i="54"/>
  <c r="E310" i="54"/>
  <c r="AT310" i="54"/>
  <c r="AW310" i="54"/>
  <c r="E311" i="54"/>
  <c r="AT311" i="54"/>
  <c r="AW311" i="54"/>
  <c r="E312" i="54"/>
  <c r="AT312" i="54"/>
  <c r="AW312" i="54"/>
  <c r="E313" i="54"/>
  <c r="AT313" i="54"/>
  <c r="AW313" i="54"/>
  <c r="E314" i="54"/>
  <c r="AT314" i="54"/>
  <c r="AW314" i="54"/>
  <c r="E315" i="54"/>
  <c r="AT315" i="54"/>
  <c r="AW315" i="54"/>
  <c r="E316" i="54"/>
  <c r="AT316" i="54"/>
  <c r="AW316" i="54"/>
  <c r="E317" i="54"/>
  <c r="AT317" i="54"/>
  <c r="AW317" i="54"/>
  <c r="E318" i="54"/>
  <c r="AT318" i="54"/>
  <c r="AW318" i="54"/>
  <c r="E319" i="54"/>
  <c r="AT319" i="54"/>
  <c r="AW319" i="54"/>
  <c r="E320" i="54"/>
  <c r="AT320" i="54"/>
  <c r="AW320" i="54"/>
  <c r="E321" i="54"/>
  <c r="AT321" i="54"/>
  <c r="AW321" i="54"/>
  <c r="E322" i="54"/>
  <c r="AT322" i="54"/>
  <c r="AW322" i="54"/>
  <c r="E323" i="54"/>
  <c r="AT323" i="54"/>
  <c r="AW323" i="54"/>
  <c r="E324" i="54"/>
  <c r="AT324" i="54"/>
  <c r="AW324" i="54"/>
  <c r="E325" i="54"/>
  <c r="AT325" i="54"/>
  <c r="AW325" i="54"/>
  <c r="E326" i="54"/>
  <c r="AT326" i="54"/>
  <c r="AW326" i="54"/>
  <c r="E327" i="54"/>
  <c r="AT327" i="54"/>
  <c r="AW327" i="54"/>
  <c r="E328" i="54"/>
  <c r="AT328" i="54"/>
  <c r="AW328" i="54"/>
  <c r="E329" i="54"/>
  <c r="AT329" i="54"/>
  <c r="AW329" i="54"/>
  <c r="E330" i="54"/>
  <c r="AT330" i="54"/>
  <c r="AW330" i="54"/>
  <c r="E331" i="54"/>
  <c r="AT331" i="54"/>
  <c r="AW331" i="54"/>
  <c r="E332" i="54"/>
  <c r="AT332" i="54"/>
  <c r="AW332" i="54"/>
  <c r="E333" i="54"/>
  <c r="AT333" i="54"/>
  <c r="AW333" i="54"/>
  <c r="E334" i="54"/>
  <c r="AT334" i="54"/>
  <c r="AW334" i="54"/>
  <c r="E335" i="54"/>
  <c r="AT335" i="54"/>
  <c r="AW335" i="54"/>
  <c r="E336" i="54"/>
  <c r="AT336" i="54"/>
  <c r="AW336" i="54"/>
  <c r="E337" i="54"/>
  <c r="AT337" i="54"/>
  <c r="AW337" i="54"/>
  <c r="E338" i="54"/>
  <c r="AT338" i="54"/>
  <c r="AW338" i="54"/>
  <c r="E339" i="54"/>
  <c r="AT339" i="54"/>
  <c r="AW339" i="54"/>
  <c r="E340" i="54"/>
  <c r="AT340" i="54"/>
  <c r="AW340" i="54"/>
  <c r="E341" i="54"/>
  <c r="AT341" i="54"/>
  <c r="AW341" i="54"/>
  <c r="E342" i="54"/>
  <c r="AT342" i="54"/>
  <c r="AW342" i="54"/>
  <c r="E343" i="54"/>
  <c r="AT343" i="54"/>
  <c r="AW343" i="54"/>
  <c r="E344" i="54"/>
  <c r="AT344" i="54"/>
  <c r="AW344" i="54"/>
  <c r="E345" i="54"/>
  <c r="AT345" i="54"/>
  <c r="AW345" i="54"/>
  <c r="E346" i="54"/>
  <c r="AT346" i="54"/>
  <c r="AW346" i="54"/>
  <c r="E347" i="54"/>
  <c r="AT347" i="54"/>
  <c r="AW347" i="54"/>
  <c r="E348" i="54"/>
  <c r="AT348" i="54"/>
  <c r="AW348" i="54"/>
  <c r="E349" i="54"/>
  <c r="AT349" i="54"/>
  <c r="AW349" i="54"/>
  <c r="E350" i="54"/>
  <c r="AT350" i="54"/>
  <c r="AW350" i="54"/>
  <c r="E351" i="54"/>
  <c r="AT351" i="54"/>
  <c r="AW351" i="54"/>
  <c r="E352" i="54"/>
  <c r="AT352" i="54"/>
  <c r="AW352" i="54"/>
  <c r="E353" i="54"/>
  <c r="AT353" i="54"/>
  <c r="AW353" i="54"/>
  <c r="E354" i="54"/>
  <c r="AT354" i="54"/>
  <c r="AW354" i="54"/>
  <c r="E355" i="54"/>
  <c r="AT355" i="54"/>
  <c r="AW355" i="54"/>
  <c r="E356" i="54"/>
  <c r="AT356" i="54"/>
  <c r="AW356" i="54"/>
  <c r="E357" i="54"/>
  <c r="AT357" i="54"/>
  <c r="AW357" i="54"/>
  <c r="E358" i="54"/>
  <c r="AT358" i="54"/>
  <c r="AW358" i="54"/>
  <c r="E359" i="54"/>
  <c r="AT359" i="54"/>
  <c r="AW359" i="54"/>
  <c r="E360" i="54"/>
  <c r="AT360" i="54"/>
  <c r="AW360" i="54"/>
  <c r="E361" i="54"/>
  <c r="AT361" i="54"/>
  <c r="AW361" i="54"/>
  <c r="E362" i="54"/>
  <c r="AT362" i="54"/>
  <c r="AW362" i="54"/>
  <c r="E363" i="54"/>
  <c r="AT363" i="54"/>
  <c r="AW363" i="54"/>
  <c r="E364" i="54"/>
  <c r="AT364" i="54"/>
  <c r="AW364" i="54"/>
  <c r="E365" i="54"/>
  <c r="AT365" i="54"/>
  <c r="AW365" i="54"/>
  <c r="E366" i="54"/>
  <c r="AT366" i="54"/>
  <c r="AW366" i="54"/>
  <c r="E367" i="54"/>
  <c r="AT367" i="54"/>
  <c r="AW367" i="54"/>
  <c r="E368" i="54"/>
  <c r="AT368" i="54"/>
  <c r="AW368" i="54"/>
  <c r="E369" i="54"/>
  <c r="AT369" i="54"/>
  <c r="AW369" i="54"/>
  <c r="E370" i="54"/>
  <c r="AT370" i="54"/>
  <c r="AW370" i="54"/>
  <c r="E371" i="54"/>
  <c r="AT371" i="54"/>
  <c r="AW371" i="54"/>
  <c r="E372" i="54"/>
  <c r="AT372" i="54"/>
  <c r="AW372" i="54"/>
  <c r="E373" i="54"/>
  <c r="AT373" i="54"/>
  <c r="AW373" i="54"/>
  <c r="E374" i="54"/>
  <c r="AT374" i="54"/>
  <c r="AW374" i="54"/>
  <c r="E375" i="54"/>
  <c r="AT375" i="54"/>
  <c r="AW375" i="54"/>
  <c r="E376" i="54"/>
  <c r="AT376" i="54"/>
  <c r="AW376" i="54"/>
  <c r="E377" i="54"/>
  <c r="AT377" i="54"/>
  <c r="AW377" i="54"/>
  <c r="E378" i="54"/>
  <c r="AT378" i="54"/>
  <c r="AW378" i="54"/>
  <c r="E379" i="54"/>
  <c r="AT379" i="54"/>
  <c r="AW379" i="54"/>
  <c r="E380" i="54"/>
  <c r="AT380" i="54"/>
  <c r="AW380" i="54"/>
  <c r="E381" i="54"/>
  <c r="AT381" i="54"/>
  <c r="AW381" i="54"/>
  <c r="E382" i="54"/>
  <c r="AT382" i="54"/>
  <c r="AW382" i="54"/>
  <c r="E383" i="54"/>
  <c r="AT383" i="54"/>
  <c r="AW383" i="54"/>
  <c r="E384" i="54"/>
  <c r="AT384" i="54"/>
  <c r="AW384" i="54"/>
  <c r="E385" i="54"/>
  <c r="AT385" i="54"/>
  <c r="AW385" i="54"/>
  <c r="E386" i="54"/>
  <c r="AT386" i="54"/>
  <c r="AW386" i="54"/>
  <c r="E387" i="54"/>
  <c r="AT387" i="54"/>
  <c r="AW387" i="54"/>
  <c r="E388" i="54"/>
  <c r="AT388" i="54"/>
  <c r="AW388" i="54"/>
  <c r="E389" i="54"/>
  <c r="AT389" i="54"/>
  <c r="AW389" i="54"/>
  <c r="E390" i="54"/>
  <c r="AT390" i="54"/>
  <c r="AW390" i="54"/>
  <c r="E391" i="54"/>
  <c r="AT391" i="54"/>
  <c r="AW391" i="54"/>
  <c r="E392" i="54"/>
  <c r="AT392" i="54"/>
  <c r="AW392" i="54"/>
  <c r="E393" i="54"/>
  <c r="AT393" i="54"/>
  <c r="AW393" i="54"/>
  <c r="E394" i="54"/>
  <c r="AT394" i="54"/>
  <c r="AW394" i="54"/>
  <c r="E395" i="54"/>
  <c r="AT395" i="54"/>
  <c r="AW395" i="54"/>
  <c r="E396" i="54"/>
  <c r="AT396" i="54"/>
  <c r="AW396" i="54"/>
  <c r="E397" i="54"/>
  <c r="AT397" i="54"/>
  <c r="AW397" i="54"/>
  <c r="E398" i="54"/>
  <c r="AT398" i="54"/>
  <c r="AW398" i="54"/>
  <c r="E399" i="54"/>
  <c r="AT399" i="54"/>
  <c r="AW399" i="54"/>
  <c r="E400" i="54"/>
  <c r="AT400" i="54"/>
  <c r="AW400" i="54"/>
  <c r="E401" i="54"/>
  <c r="AT401" i="54"/>
  <c r="AW401" i="54"/>
  <c r="E402" i="54"/>
  <c r="AT402" i="54"/>
  <c r="AW402" i="54"/>
  <c r="E403" i="54"/>
  <c r="AT403" i="54"/>
  <c r="AW403" i="54"/>
  <c r="E404" i="54"/>
  <c r="AT404" i="54"/>
  <c r="AW404" i="54"/>
  <c r="E405" i="54"/>
  <c r="AT405" i="54"/>
  <c r="AW405" i="54"/>
  <c r="E406" i="54"/>
  <c r="AT406" i="54"/>
  <c r="AW406" i="54"/>
  <c r="E407" i="54"/>
  <c r="AT407" i="54"/>
  <c r="AW407" i="54"/>
  <c r="E408" i="54"/>
  <c r="AT408" i="54"/>
  <c r="AW408" i="54"/>
  <c r="E409" i="54"/>
  <c r="AT409" i="54"/>
  <c r="AW409" i="54"/>
  <c r="E410" i="54"/>
  <c r="AT410" i="54"/>
  <c r="AW410" i="54"/>
  <c r="E411" i="54"/>
  <c r="AT411" i="54"/>
  <c r="AW411" i="54"/>
  <c r="E412" i="54"/>
  <c r="AT412" i="54"/>
  <c r="AW412" i="54"/>
  <c r="E413" i="54"/>
  <c r="AT413" i="54"/>
  <c r="AW413" i="54"/>
  <c r="E414" i="54"/>
  <c r="AT414" i="54"/>
  <c r="AW414" i="54"/>
  <c r="E415" i="54"/>
  <c r="AT415" i="54"/>
  <c r="AW415" i="54"/>
  <c r="E416" i="54"/>
  <c r="AT416" i="54"/>
  <c r="AW416" i="54"/>
  <c r="E417" i="54"/>
  <c r="AT417" i="54"/>
  <c r="AW417" i="54"/>
  <c r="E418" i="54"/>
  <c r="AT418" i="54"/>
  <c r="AW418" i="54"/>
  <c r="E419" i="54"/>
  <c r="AT419" i="54"/>
  <c r="AW419" i="54"/>
  <c r="E420" i="54"/>
  <c r="AT420" i="54"/>
  <c r="AW420" i="54"/>
  <c r="E421" i="54"/>
  <c r="AT421" i="54"/>
  <c r="AW421" i="54"/>
  <c r="E422" i="54"/>
  <c r="AT422" i="54"/>
  <c r="AW422" i="54"/>
  <c r="E423" i="54"/>
  <c r="AT423" i="54"/>
  <c r="AW423" i="54"/>
  <c r="E424" i="54"/>
  <c r="AT424" i="54"/>
  <c r="AW424" i="54"/>
  <c r="E425" i="54"/>
  <c r="AT425" i="54"/>
  <c r="AW425" i="54"/>
  <c r="E426" i="54"/>
  <c r="AT426" i="54"/>
  <c r="AW426" i="54"/>
  <c r="E427" i="54"/>
  <c r="AT427" i="54"/>
  <c r="AW427" i="54"/>
  <c r="E428" i="54"/>
  <c r="AT428" i="54"/>
  <c r="AW428" i="54"/>
  <c r="E429" i="54"/>
  <c r="AT429" i="54"/>
  <c r="AW429" i="54"/>
  <c r="E430" i="54"/>
  <c r="AT430" i="54"/>
  <c r="AW430" i="54"/>
  <c r="E431" i="54"/>
  <c r="AT431" i="54"/>
  <c r="AW431" i="54"/>
  <c r="E432" i="54"/>
  <c r="AT432" i="54"/>
  <c r="AW432" i="54"/>
  <c r="E433" i="54"/>
  <c r="AT433" i="54"/>
  <c r="AW433" i="54"/>
  <c r="E434" i="54"/>
  <c r="AT434" i="54"/>
  <c r="AW434" i="54"/>
  <c r="E435" i="54"/>
  <c r="AT435" i="54"/>
  <c r="AW435" i="54"/>
  <c r="E436" i="54"/>
  <c r="AT436" i="54"/>
  <c r="AW436" i="54"/>
  <c r="E437" i="54"/>
  <c r="AT437" i="54"/>
  <c r="AW437" i="54"/>
  <c r="E438" i="54"/>
  <c r="AT438" i="54"/>
  <c r="AW438" i="54"/>
  <c r="E439" i="54"/>
  <c r="AT439" i="54"/>
  <c r="AW439" i="54"/>
  <c r="E440" i="54"/>
  <c r="AT440" i="54"/>
  <c r="AW440" i="54"/>
  <c r="E441" i="54"/>
  <c r="AT441" i="54"/>
  <c r="AW441" i="54"/>
  <c r="E442" i="54"/>
  <c r="AT442" i="54"/>
  <c r="AW442" i="54"/>
  <c r="E443" i="54"/>
  <c r="AT443" i="54"/>
  <c r="AW443" i="54"/>
  <c r="E444" i="54"/>
  <c r="AT444" i="54"/>
  <c r="AW444" i="54"/>
  <c r="E445" i="54"/>
  <c r="AT445" i="54"/>
  <c r="AW445" i="54"/>
  <c r="E446" i="54"/>
  <c r="AT446" i="54"/>
  <c r="AW446" i="54"/>
  <c r="E447" i="54"/>
  <c r="AT447" i="54"/>
  <c r="AW447" i="54"/>
  <c r="E448" i="54"/>
  <c r="AT448" i="54"/>
  <c r="AW448" i="54"/>
  <c r="E449" i="54"/>
  <c r="AT449" i="54"/>
  <c r="AW449" i="54"/>
  <c r="E450" i="54"/>
  <c r="AT450" i="54"/>
  <c r="AW450" i="54"/>
  <c r="E451" i="54"/>
  <c r="AT451" i="54"/>
  <c r="AW451" i="54"/>
  <c r="E452" i="54"/>
  <c r="AT452" i="54"/>
  <c r="AW452" i="54"/>
  <c r="E453" i="54"/>
  <c r="AT453" i="54"/>
  <c r="AW453" i="54"/>
  <c r="E454" i="54"/>
  <c r="AT454" i="54"/>
  <c r="AW454" i="54"/>
  <c r="E455" i="54"/>
  <c r="AT455" i="54"/>
  <c r="AW455" i="54"/>
  <c r="E456" i="54"/>
  <c r="AT456" i="54"/>
  <c r="AW456" i="54"/>
  <c r="E457" i="54"/>
  <c r="AT457" i="54"/>
  <c r="AW457" i="54"/>
  <c r="E458" i="54"/>
  <c r="AT458" i="54"/>
  <c r="AW458" i="54"/>
  <c r="E459" i="54"/>
  <c r="AT459" i="54"/>
  <c r="AW459" i="54"/>
  <c r="E460" i="54"/>
  <c r="AT460" i="54"/>
  <c r="AW460" i="54"/>
  <c r="E461" i="54"/>
  <c r="AT461" i="54"/>
  <c r="AW461" i="54"/>
  <c r="E462" i="54"/>
  <c r="AT462" i="54"/>
  <c r="AW462" i="54"/>
  <c r="E463" i="54"/>
  <c r="AT463" i="54"/>
  <c r="AW463" i="54"/>
  <c r="E464" i="54"/>
  <c r="AT464" i="54"/>
  <c r="AW464" i="54"/>
  <c r="E465" i="54"/>
  <c r="AT465" i="54"/>
  <c r="AW465" i="54"/>
  <c r="E466" i="54"/>
  <c r="AT466" i="54"/>
  <c r="AW466" i="54"/>
  <c r="F467" i="54"/>
  <c r="G467" i="54"/>
  <c r="H467" i="54"/>
  <c r="I467" i="54"/>
  <c r="J467" i="54"/>
  <c r="K467" i="54"/>
  <c r="L467" i="54"/>
  <c r="M467" i="54"/>
  <c r="N467" i="54"/>
  <c r="O467" i="54"/>
  <c r="P467" i="54"/>
  <c r="Q467" i="54"/>
  <c r="R467" i="54"/>
  <c r="S467" i="54"/>
  <c r="T467" i="54"/>
  <c r="U467" i="54"/>
  <c r="V467" i="54"/>
  <c r="W467" i="54"/>
  <c r="X467" i="54"/>
  <c r="Y467" i="54"/>
  <c r="Z467" i="54"/>
  <c r="AA467" i="54"/>
  <c r="AB467" i="54"/>
  <c r="AC467" i="54"/>
  <c r="AD467" i="54"/>
  <c r="AE467" i="54"/>
  <c r="AF467" i="54"/>
  <c r="AG467" i="54"/>
  <c r="AH467" i="54"/>
  <c r="AI467" i="54"/>
  <c r="AJ467" i="54"/>
  <c r="AK467" i="54"/>
  <c r="AL467" i="54"/>
  <c r="AM467" i="54"/>
  <c r="AN467" i="54"/>
  <c r="AO467" i="54"/>
  <c r="AP467" i="54"/>
  <c r="AQ467" i="54"/>
  <c r="AR467" i="54"/>
  <c r="AS467" i="54"/>
  <c r="AS468" i="54" s="1"/>
  <c r="F469" i="54"/>
  <c r="H469" i="54"/>
  <c r="J469" i="54"/>
  <c r="L469" i="54"/>
  <c r="N469" i="54"/>
  <c r="P469" i="54"/>
  <c r="R469" i="54"/>
  <c r="T469" i="54"/>
  <c r="V469" i="54"/>
  <c r="X469" i="54"/>
  <c r="Z469" i="54"/>
  <c r="AB469" i="54"/>
  <c r="AD469" i="54"/>
  <c r="AF469" i="54"/>
  <c r="AH469" i="54"/>
  <c r="AJ469" i="54"/>
  <c r="AL469" i="54"/>
  <c r="AN469" i="54"/>
  <c r="AP469" i="54"/>
  <c r="AR469" i="54"/>
  <c r="F471" i="54"/>
  <c r="G471" i="54"/>
  <c r="H471" i="54" s="1"/>
  <c r="J471" i="54"/>
  <c r="AR475" i="54"/>
  <c r="AS476" i="54"/>
  <c r="AS477" i="54"/>
  <c r="A2" i="10"/>
  <c r="D9" i="10"/>
  <c r="E9" i="10"/>
  <c r="A10" i="10"/>
  <c r="A11" i="10" s="1"/>
  <c r="D10" i="10"/>
  <c r="E10" i="10"/>
  <c r="D11" i="10"/>
  <c r="E11" i="10"/>
  <c r="D12" i="10"/>
  <c r="E12" i="10"/>
  <c r="D13" i="10"/>
  <c r="E13" i="10"/>
  <c r="D14" i="10"/>
  <c r="F14" i="10" s="1"/>
  <c r="B18" i="10"/>
  <c r="F19" i="10"/>
  <c r="B21" i="10"/>
  <c r="B22" i="10"/>
  <c r="F22" i="10"/>
  <c r="F24" i="10"/>
  <c r="D9" i="50"/>
  <c r="E9" i="50" s="1"/>
  <c r="F9" i="50" s="1"/>
  <c r="G9" i="50" s="1"/>
  <c r="H9" i="50" s="1"/>
  <c r="I9" i="50" s="1"/>
  <c r="E11" i="50"/>
  <c r="E12" i="50" s="1"/>
  <c r="E13" i="50" s="1"/>
  <c r="E14" i="50" s="1"/>
  <c r="H14" i="50" s="1"/>
  <c r="G11" i="50"/>
  <c r="A12" i="50"/>
  <c r="A13" i="50" s="1"/>
  <c r="A14" i="50" s="1"/>
  <c r="G12" i="50"/>
  <c r="G13" i="50"/>
  <c r="F16" i="50"/>
  <c r="F17" i="50" s="1"/>
  <c r="G16" i="50"/>
  <c r="G17" i="50" s="1"/>
  <c r="H16" i="50"/>
  <c r="H17" i="50" s="1"/>
  <c r="I16" i="50"/>
  <c r="I17" i="50" s="1"/>
  <c r="J16" i="50"/>
  <c r="J17" i="50" s="1"/>
  <c r="L16" i="50"/>
  <c r="L17" i="50" s="1"/>
  <c r="A17" i="50"/>
  <c r="E8" i="53"/>
  <c r="E9" i="53" s="1"/>
  <c r="G8" i="53"/>
  <c r="A9" i="53"/>
  <c r="A10" i="53" s="1"/>
  <c r="A11" i="53" s="1"/>
  <c r="A12" i="53" s="1"/>
  <c r="A13" i="53" s="1"/>
  <c r="A14" i="53" s="1"/>
  <c r="A15" i="53" s="1"/>
  <c r="A16" i="53" s="1"/>
  <c r="A17" i="53" s="1"/>
  <c r="A18" i="53" s="1"/>
  <c r="A19" i="53" s="1"/>
  <c r="A20" i="53" s="1"/>
  <c r="A21" i="53" s="1"/>
  <c r="A22" i="53" s="1"/>
  <c r="A23" i="53" s="1"/>
  <c r="A24" i="53" s="1"/>
  <c r="A25" i="53" s="1"/>
  <c r="A26" i="53" s="1"/>
  <c r="A27" i="53" s="1"/>
  <c r="A28" i="53" s="1"/>
  <c r="A29" i="53" s="1"/>
  <c r="A30" i="53" s="1"/>
  <c r="A31" i="53" s="1"/>
  <c r="A32" i="53" s="1"/>
  <c r="A33" i="53" s="1"/>
  <c r="A34" i="53" s="1"/>
  <c r="A35" i="53" s="1"/>
  <c r="A36" i="53" s="1"/>
  <c r="A37" i="53" s="1"/>
  <c r="A38" i="53" s="1"/>
  <c r="A39" i="53" s="1"/>
  <c r="A40" i="53" s="1"/>
  <c r="A41" i="53" s="1"/>
  <c r="A42" i="53" s="1"/>
  <c r="A43" i="53" s="1"/>
  <c r="A44" i="53" s="1"/>
  <c r="A45" i="53" s="1"/>
  <c r="A46" i="53" s="1"/>
  <c r="A47" i="53" s="1"/>
  <c r="A48" i="53" s="1"/>
  <c r="A49" i="53" s="1"/>
  <c r="A50" i="53" s="1"/>
  <c r="A51" i="53" s="1"/>
  <c r="A52" i="53" s="1"/>
  <c r="A53" i="53" s="1"/>
  <c r="A54" i="53" s="1"/>
  <c r="A55" i="53" s="1"/>
  <c r="A56" i="53" s="1"/>
  <c r="A57" i="53" s="1"/>
  <c r="A58" i="53" s="1"/>
  <c r="A59" i="53" s="1"/>
  <c r="A60" i="53" s="1"/>
  <c r="G9" i="53"/>
  <c r="G10" i="53"/>
  <c r="G11" i="53"/>
  <c r="G12" i="53"/>
  <c r="G13" i="53"/>
  <c r="G14" i="53"/>
  <c r="G15" i="53"/>
  <c r="G16" i="53"/>
  <c r="G17" i="53"/>
  <c r="G18" i="53"/>
  <c r="G19" i="53"/>
  <c r="G20" i="53"/>
  <c r="G21" i="53"/>
  <c r="G22" i="53"/>
  <c r="G23" i="53"/>
  <c r="G24" i="53"/>
  <c r="G25" i="53"/>
  <c r="G26" i="53"/>
  <c r="G27" i="53"/>
  <c r="G28" i="53"/>
  <c r="G29" i="53"/>
  <c r="G30" i="53"/>
  <c r="G31" i="53"/>
  <c r="G32" i="53"/>
  <c r="G33" i="53"/>
  <c r="G34" i="53"/>
  <c r="G35" i="53"/>
  <c r="G36" i="53"/>
  <c r="G37" i="53"/>
  <c r="G38" i="53"/>
  <c r="G39" i="53"/>
  <c r="G40" i="53"/>
  <c r="G41" i="53"/>
  <c r="G42" i="53"/>
  <c r="G43" i="53"/>
  <c r="G44" i="53"/>
  <c r="G45" i="53"/>
  <c r="G46" i="53"/>
  <c r="G47" i="53"/>
  <c r="G48" i="53"/>
  <c r="G49" i="53"/>
  <c r="G50" i="53"/>
  <c r="G51" i="53"/>
  <c r="G52" i="53"/>
  <c r="G53" i="53"/>
  <c r="G54" i="53"/>
  <c r="G55" i="53"/>
  <c r="G56" i="53"/>
  <c r="G57" i="53"/>
  <c r="G58" i="53"/>
  <c r="G59" i="53"/>
  <c r="G60" i="53"/>
  <c r="G61" i="53"/>
  <c r="G62" i="53"/>
  <c r="G63" i="53"/>
  <c r="G64" i="53"/>
  <c r="G65" i="53"/>
  <c r="G66" i="53"/>
  <c r="G67" i="53"/>
  <c r="G68" i="53"/>
  <c r="G69" i="53"/>
  <c r="G70" i="53"/>
  <c r="G71" i="53"/>
  <c r="G72" i="53"/>
  <c r="G73" i="53"/>
  <c r="G74" i="53"/>
  <c r="G75" i="53"/>
  <c r="G76" i="53"/>
  <c r="G77" i="53"/>
  <c r="G78" i="53"/>
  <c r="G79" i="53"/>
  <c r="G80" i="53"/>
  <c r="G81" i="53"/>
  <c r="G82" i="53"/>
  <c r="G83" i="53"/>
  <c r="G84" i="53"/>
  <c r="G85" i="53"/>
  <c r="G86" i="53"/>
  <c r="G87" i="53"/>
  <c r="G88" i="53"/>
  <c r="G89" i="53"/>
  <c r="G90" i="53"/>
  <c r="G91" i="53"/>
  <c r="G92" i="53"/>
  <c r="G93" i="53"/>
  <c r="G94" i="53"/>
  <c r="G95" i="53"/>
  <c r="G96" i="53"/>
  <c r="H98" i="53"/>
  <c r="B2" i="31"/>
  <c r="E8" i="31"/>
  <c r="E9" i="31" s="1"/>
  <c r="A9" i="31"/>
  <c r="A10" i="31" s="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G9" i="31"/>
  <c r="G10" i="31"/>
  <c r="G11" i="31"/>
  <c r="G12" i="31"/>
  <c r="G13" i="31"/>
  <c r="G14" i="31"/>
  <c r="G15" i="31"/>
  <c r="G16" i="31"/>
  <c r="G17" i="31"/>
  <c r="G18" i="31"/>
  <c r="G19" i="31"/>
  <c r="G20" i="31"/>
  <c r="G21" i="31"/>
  <c r="G22" i="31"/>
  <c r="G23" i="31"/>
  <c r="G24" i="31"/>
  <c r="G25" i="31"/>
  <c r="G26" i="31"/>
  <c r="G27" i="31"/>
  <c r="G28" i="31"/>
  <c r="G29" i="31"/>
  <c r="G30" i="31"/>
  <c r="G31" i="31"/>
  <c r="G32" i="31"/>
  <c r="G33" i="31"/>
  <c r="I36" i="31"/>
  <c r="B39" i="31"/>
  <c r="B103" i="53" s="1"/>
  <c r="B44" i="31"/>
  <c r="B108" i="53" s="1"/>
  <c r="D477" i="54" s="1"/>
  <c r="C5" i="14"/>
  <c r="E5" i="14"/>
  <c r="H5" i="14"/>
  <c r="H10" i="14"/>
  <c r="H13" i="14"/>
  <c r="H24" i="14" s="1"/>
  <c r="C15" i="14"/>
  <c r="C16" i="14"/>
  <c r="C17" i="14"/>
  <c r="E17" i="14"/>
  <c r="G17" i="14" s="1"/>
  <c r="C18" i="14"/>
  <c r="E18" i="14"/>
  <c r="I18" i="14" s="1"/>
  <c r="C19" i="14"/>
  <c r="E19" i="14"/>
  <c r="C20" i="14"/>
  <c r="E20" i="14"/>
  <c r="I20" i="14" s="1"/>
  <c r="C21" i="14"/>
  <c r="E21" i="14"/>
  <c r="I21" i="14" s="1"/>
  <c r="C22" i="14"/>
  <c r="E22" i="14"/>
  <c r="C23" i="14"/>
  <c r="E23" i="14"/>
  <c r="G23" i="14" s="1"/>
  <c r="C26" i="14"/>
  <c r="E26" i="14"/>
  <c r="F35" i="14"/>
  <c r="B38" i="14"/>
  <c r="F38" i="14"/>
  <c r="F40" i="14"/>
  <c r="N43" i="14"/>
  <c r="O43" i="14"/>
  <c r="Q43" i="14"/>
  <c r="R43" i="14"/>
  <c r="T43" i="14"/>
  <c r="U43" i="14"/>
  <c r="W43" i="14"/>
  <c r="X43" i="14"/>
  <c r="N44" i="14"/>
  <c r="O44" i="14"/>
  <c r="Q44" i="14"/>
  <c r="R44" i="14"/>
  <c r="T44" i="14"/>
  <c r="U44" i="14"/>
  <c r="W44" i="14"/>
  <c r="X44" i="14"/>
  <c r="N45" i="14"/>
  <c r="O45" i="14"/>
  <c r="R45" i="14"/>
  <c r="T45" i="14"/>
  <c r="U45" i="14"/>
  <c r="W45" i="14"/>
  <c r="X45" i="14"/>
  <c r="N46" i="14"/>
  <c r="O46" i="14"/>
  <c r="T46" i="14"/>
  <c r="U46" i="14"/>
  <c r="W46" i="14"/>
  <c r="X46" i="14"/>
  <c r="N47" i="14"/>
  <c r="O47" i="14"/>
  <c r="T47" i="14"/>
  <c r="U47" i="14"/>
  <c r="W47" i="14"/>
  <c r="X47" i="14"/>
  <c r="N48" i="14"/>
  <c r="O48" i="14"/>
  <c r="T48" i="14"/>
  <c r="U48" i="14"/>
  <c r="W48" i="14"/>
  <c r="X48" i="14"/>
  <c r="N49" i="14"/>
  <c r="O49" i="14"/>
  <c r="T49" i="14"/>
  <c r="U49" i="14"/>
  <c r="N50" i="14"/>
  <c r="O50" i="14"/>
  <c r="T50" i="14"/>
  <c r="U50" i="14"/>
  <c r="N51" i="14"/>
  <c r="O51" i="14"/>
  <c r="T51" i="14"/>
  <c r="U51" i="14"/>
  <c r="N52" i="14"/>
  <c r="O52" i="14"/>
  <c r="T52" i="14"/>
  <c r="U52" i="14"/>
  <c r="N53" i="14"/>
  <c r="O53" i="14"/>
  <c r="T53" i="14"/>
  <c r="U53" i="14"/>
  <c r="N54" i="14"/>
  <c r="O54" i="14"/>
  <c r="N55" i="14"/>
  <c r="O55" i="14"/>
  <c r="N56" i="14"/>
  <c r="O56" i="14"/>
  <c r="N57" i="14"/>
  <c r="O57" i="14"/>
  <c r="N58" i="14"/>
  <c r="O58" i="14"/>
  <c r="N59" i="14"/>
  <c r="O59" i="14"/>
  <c r="N60" i="14"/>
  <c r="O60" i="14"/>
  <c r="N61" i="14"/>
  <c r="O61" i="14"/>
  <c r="N62" i="14"/>
  <c r="O62" i="14"/>
  <c r="N63" i="14"/>
  <c r="O63" i="14"/>
  <c r="N64" i="14"/>
  <c r="O64" i="14"/>
  <c r="N65" i="14"/>
  <c r="O65" i="14"/>
  <c r="N66" i="14"/>
  <c r="O66" i="14"/>
  <c r="N67" i="14"/>
  <c r="O67" i="14"/>
  <c r="N68" i="14"/>
  <c r="O68" i="14"/>
  <c r="N69" i="14"/>
  <c r="O69" i="14"/>
  <c r="N70" i="14"/>
  <c r="O70" i="14"/>
  <c r="N71" i="14"/>
  <c r="O71" i="14"/>
  <c r="N72" i="14"/>
  <c r="O72" i="14"/>
  <c r="N73" i="14"/>
  <c r="O73" i="14"/>
  <c r="N74" i="14"/>
  <c r="O74" i="14"/>
  <c r="C4" i="11"/>
  <c r="E4" i="11"/>
  <c r="C7" i="11"/>
  <c r="E7" i="11"/>
  <c r="A8" i="11"/>
  <c r="A9" i="11" s="1"/>
  <c r="A10" i="11" s="1"/>
  <c r="C8" i="11"/>
  <c r="E8" i="11"/>
  <c r="C9" i="11"/>
  <c r="E9" i="11"/>
  <c r="C10" i="11"/>
  <c r="E10" i="11"/>
  <c r="G15" i="11"/>
  <c r="G18" i="11"/>
  <c r="G20" i="11"/>
  <c r="C4" i="6"/>
  <c r="E4" i="6"/>
  <c r="C7" i="6"/>
  <c r="E7" i="6"/>
  <c r="G7" i="6" s="1"/>
  <c r="C8" i="6"/>
  <c r="E8" i="6"/>
  <c r="F8" i="6" s="1"/>
  <c r="C9" i="6"/>
  <c r="E9" i="6"/>
  <c r="C10" i="6"/>
  <c r="E10" i="6"/>
  <c r="F10" i="6" s="1"/>
  <c r="C11" i="6"/>
  <c r="E11" i="6"/>
  <c r="C12" i="6"/>
  <c r="E12" i="6"/>
  <c r="C13" i="6"/>
  <c r="E13" i="6"/>
  <c r="C14" i="6"/>
  <c r="E14" i="6"/>
  <c r="C15" i="6"/>
  <c r="E15" i="6"/>
  <c r="G15" i="6" s="1"/>
  <c r="C16" i="6"/>
  <c r="E16" i="6"/>
  <c r="C17" i="6"/>
  <c r="E17" i="6"/>
  <c r="C18" i="6"/>
  <c r="E18" i="6"/>
  <c r="C19" i="6"/>
  <c r="E19" i="6"/>
  <c r="C20" i="6"/>
  <c r="E20" i="6"/>
  <c r="C21" i="6"/>
  <c r="E21" i="6"/>
  <c r="C22" i="6"/>
  <c r="E22" i="6"/>
  <c r="C23" i="6"/>
  <c r="E23" i="6"/>
  <c r="C25" i="6"/>
  <c r="E25" i="6"/>
  <c r="F29" i="6"/>
  <c r="F32" i="6"/>
  <c r="F34" i="6"/>
  <c r="A2" i="5"/>
  <c r="B6" i="5"/>
  <c r="C6" i="5"/>
  <c r="D6" i="5"/>
  <c r="E6" i="5"/>
  <c r="F6" i="5"/>
  <c r="G6" i="5"/>
  <c r="H6" i="5"/>
  <c r="I6" i="5"/>
  <c r="J6" i="5"/>
  <c r="K6" i="5"/>
  <c r="K26" i="5" s="1"/>
  <c r="C7" i="5"/>
  <c r="D7" i="5"/>
  <c r="E7" i="5"/>
  <c r="F7" i="5"/>
  <c r="G7" i="5"/>
  <c r="H7" i="5"/>
  <c r="I7" i="5"/>
  <c r="J7" i="5"/>
  <c r="K7" i="5"/>
  <c r="L8" i="5"/>
  <c r="L9" i="5"/>
  <c r="L10" i="5"/>
  <c r="L11" i="5"/>
  <c r="L12" i="5"/>
  <c r="L13" i="5"/>
  <c r="C14" i="5"/>
  <c r="E14" i="5"/>
  <c r="F14" i="5"/>
  <c r="H14" i="5"/>
  <c r="I14" i="5"/>
  <c r="J14" i="5"/>
  <c r="K14" i="5"/>
  <c r="L15" i="5"/>
  <c r="G16" i="5"/>
  <c r="L16" i="5" s="1"/>
  <c r="L17" i="5"/>
  <c r="L18" i="5"/>
  <c r="B19" i="5"/>
  <c r="B22" i="5"/>
  <c r="D22" i="5"/>
  <c r="E22" i="5"/>
  <c r="F22" i="5"/>
  <c r="G22" i="5"/>
  <c r="H22" i="5"/>
  <c r="H26" i="5" s="1"/>
  <c r="I22" i="5"/>
  <c r="J22" i="5"/>
  <c r="B23" i="5"/>
  <c r="D23" i="5"/>
  <c r="E23" i="5"/>
  <c r="F23" i="5"/>
  <c r="G23" i="5"/>
  <c r="H23" i="5"/>
  <c r="I23" i="5"/>
  <c r="J23" i="5"/>
  <c r="K24" i="5"/>
  <c r="B26" i="5"/>
  <c r="B27" i="5"/>
  <c r="B30" i="5"/>
  <c r="B37" i="55" s="1"/>
  <c r="H31" i="5"/>
  <c r="B33" i="5"/>
  <c r="B40" i="55" s="1"/>
  <c r="B34" i="5"/>
  <c r="B41" i="55" s="1"/>
  <c r="H34" i="5"/>
  <c r="H36" i="5"/>
  <c r="C4" i="4"/>
  <c r="E4" i="4"/>
  <c r="C7" i="4"/>
  <c r="E7" i="4"/>
  <c r="C8" i="4"/>
  <c r="E8" i="4"/>
  <c r="E9" i="4"/>
  <c r="G10" i="4"/>
  <c r="C11" i="4"/>
  <c r="E11" i="4"/>
  <c r="C12" i="4"/>
  <c r="E12" i="4"/>
  <c r="C13" i="4"/>
  <c r="E13" i="4"/>
  <c r="C16" i="4"/>
  <c r="E16" i="4"/>
  <c r="C17" i="4"/>
  <c r="E17" i="4"/>
  <c r="C18" i="4"/>
  <c r="E18" i="4"/>
  <c r="C19" i="4"/>
  <c r="E19" i="4"/>
  <c r="C22" i="4"/>
  <c r="E22" i="4"/>
  <c r="C25" i="4"/>
  <c r="E25" i="4"/>
  <c r="C26" i="4"/>
  <c r="E26" i="4"/>
  <c r="C27" i="4"/>
  <c r="E27" i="4"/>
  <c r="C28" i="4"/>
  <c r="E28" i="4"/>
  <c r="C29" i="4"/>
  <c r="E29" i="4"/>
  <c r="B38" i="31"/>
  <c r="B102" i="53" s="1"/>
  <c r="F35" i="4"/>
  <c r="F39" i="31" s="1"/>
  <c r="F103" i="53" s="1"/>
  <c r="T472" i="54" s="1"/>
  <c r="B41" i="31"/>
  <c r="B105" i="53" s="1"/>
  <c r="D474" i="54" s="1"/>
  <c r="B42" i="31"/>
  <c r="B106" i="53" s="1"/>
  <c r="D475" i="54" s="1"/>
  <c r="F38" i="4"/>
  <c r="F42" i="31" s="1"/>
  <c r="F106" i="53" s="1"/>
  <c r="T475" i="54" s="1"/>
  <c r="F40" i="4"/>
  <c r="F44" i="31" s="1"/>
  <c r="F108" i="53" s="1"/>
  <c r="T477" i="54" s="1"/>
  <c r="G19" i="14"/>
  <c r="I19" i="14"/>
  <c r="U75" i="14" l="1"/>
  <c r="E11" i="14" s="1"/>
  <c r="L11" i="14" s="1"/>
  <c r="G11" i="6"/>
  <c r="F12" i="6"/>
  <c r="G21" i="14"/>
  <c r="J26" i="5"/>
  <c r="I23" i="14"/>
  <c r="C13" i="14"/>
  <c r="D19" i="14" s="1"/>
  <c r="I17" i="14"/>
  <c r="G18" i="14"/>
  <c r="X75" i="14"/>
  <c r="E12" i="14" s="1"/>
  <c r="I12" i="14" s="1"/>
  <c r="J24" i="5"/>
  <c r="I24" i="5"/>
  <c r="F24" i="5"/>
  <c r="E24" i="5"/>
  <c r="E11" i="11"/>
  <c r="D24" i="5"/>
  <c r="J18" i="6"/>
  <c r="G22" i="14"/>
  <c r="H14" i="4"/>
  <c r="H15" i="4" s="1"/>
  <c r="I22" i="14"/>
  <c r="J19" i="6"/>
  <c r="R75" i="14"/>
  <c r="E9" i="14" s="1"/>
  <c r="I9" i="14" s="1"/>
  <c r="AV5" i="54"/>
  <c r="H24" i="5"/>
  <c r="Q75" i="14"/>
  <c r="C9" i="14" s="1"/>
  <c r="AU67" i="54"/>
  <c r="AU9" i="54"/>
  <c r="I26" i="5"/>
  <c r="AV302" i="54"/>
  <c r="AV208" i="54"/>
  <c r="AV200" i="54"/>
  <c r="AV192" i="54"/>
  <c r="AU155" i="54"/>
  <c r="AU147" i="54"/>
  <c r="AU131" i="54"/>
  <c r="AU123" i="54"/>
  <c r="AU91" i="54"/>
  <c r="AU83" i="54"/>
  <c r="AV183" i="54"/>
  <c r="AU154" i="54"/>
  <c r="AU58" i="54"/>
  <c r="AU34" i="54"/>
  <c r="AU12" i="54"/>
  <c r="AV309" i="54"/>
  <c r="AU8" i="54"/>
  <c r="AU170" i="54"/>
  <c r="AU90" i="54"/>
  <c r="AU82" i="54"/>
  <c r="AU74" i="54"/>
  <c r="AU26" i="54"/>
  <c r="AU18" i="54"/>
  <c r="AV340" i="54"/>
  <c r="AV414" i="54"/>
  <c r="AV406" i="54"/>
  <c r="H12" i="50"/>
  <c r="AV432" i="54"/>
  <c r="AV411" i="54"/>
  <c r="AV400" i="54"/>
  <c r="AV368" i="54"/>
  <c r="AV434" i="54"/>
  <c r="AV426" i="54"/>
  <c r="AV410" i="54"/>
  <c r="AV338" i="54"/>
  <c r="AV330" i="54"/>
  <c r="AV322" i="54"/>
  <c r="AV277" i="54"/>
  <c r="AV261" i="54"/>
  <c r="AV210" i="54"/>
  <c r="AV205" i="54"/>
  <c r="AU168" i="54"/>
  <c r="AU120" i="54"/>
  <c r="AU104" i="54"/>
  <c r="AV98" i="54"/>
  <c r="AV34" i="54"/>
  <c r="AU32" i="54"/>
  <c r="AV26" i="54"/>
  <c r="AV13" i="54"/>
  <c r="AU11" i="54"/>
  <c r="AV436" i="54"/>
  <c r="AU138" i="54"/>
  <c r="AU98" i="54"/>
  <c r="AU13" i="54"/>
  <c r="AV12" i="54"/>
  <c r="AV358" i="54"/>
  <c r="AV318" i="54"/>
  <c r="AV294" i="54"/>
  <c r="AV286" i="54"/>
  <c r="AV278" i="54"/>
  <c r="AU132" i="54"/>
  <c r="AU129" i="54"/>
  <c r="AU124" i="54"/>
  <c r="H8" i="31"/>
  <c r="AV267" i="54"/>
  <c r="AU126" i="54"/>
  <c r="AU46" i="54"/>
  <c r="AU22" i="54"/>
  <c r="AV456" i="54"/>
  <c r="AV347" i="54"/>
  <c r="AV336" i="54"/>
  <c r="AV254" i="54"/>
  <c r="AV246" i="54"/>
  <c r="AV238" i="54"/>
  <c r="AV230" i="54"/>
  <c r="AV214" i="54"/>
  <c r="AV190" i="54"/>
  <c r="AV182" i="54"/>
  <c r="AV174" i="54"/>
  <c r="AU169" i="54"/>
  <c r="AU92" i="54"/>
  <c r="AU84" i="54"/>
  <c r="AU68" i="54"/>
  <c r="AU60" i="54"/>
  <c r="AU49" i="54"/>
  <c r="AU44" i="54"/>
  <c r="AV344" i="54"/>
  <c r="AV264" i="54"/>
  <c r="AU51" i="54"/>
  <c r="AV45" i="54"/>
  <c r="AU43" i="54"/>
  <c r="AV404" i="54"/>
  <c r="AV388" i="54"/>
  <c r="AV380" i="54"/>
  <c r="AV364" i="54"/>
  <c r="AV298" i="54"/>
  <c r="AV290" i="54"/>
  <c r="AV242" i="54"/>
  <c r="AV226" i="54"/>
  <c r="AU133" i="54"/>
  <c r="AU122" i="54"/>
  <c r="AU109" i="54"/>
  <c r="AU106" i="54"/>
  <c r="AU101" i="54"/>
  <c r="AU96" i="54"/>
  <c r="AV90" i="54"/>
  <c r="AV82" i="54"/>
  <c r="AU80" i="54"/>
  <c r="AU64" i="54"/>
  <c r="AV58" i="54"/>
  <c r="H9" i="53"/>
  <c r="AU167" i="54"/>
  <c r="AU143" i="54"/>
  <c r="AU135" i="54"/>
  <c r="AV132" i="54"/>
  <c r="AU45" i="54"/>
  <c r="AU42" i="54"/>
  <c r="AU37" i="54"/>
  <c r="D43" i="24"/>
  <c r="AV462" i="54"/>
  <c r="AV446" i="54"/>
  <c r="AV398" i="54"/>
  <c r="AV382" i="54"/>
  <c r="AV374" i="54"/>
  <c r="AV366" i="54"/>
  <c r="AV350" i="54"/>
  <c r="AV342" i="54"/>
  <c r="AV292" i="54"/>
  <c r="AV276" i="54"/>
  <c r="AV252" i="54"/>
  <c r="AV236" i="54"/>
  <c r="AV220" i="54"/>
  <c r="AU95" i="54"/>
  <c r="AV92" i="54"/>
  <c r="AU79" i="54"/>
  <c r="AV76" i="54"/>
  <c r="AU71" i="54"/>
  <c r="AV68" i="54"/>
  <c r="AU31" i="54"/>
  <c r="AV28" i="54"/>
  <c r="H13" i="50"/>
  <c r="F12" i="10"/>
  <c r="AV454" i="54"/>
  <c r="AV428" i="54"/>
  <c r="AV420" i="54"/>
  <c r="AV412" i="54"/>
  <c r="AV346" i="54"/>
  <c r="AV325" i="54"/>
  <c r="AV299" i="54"/>
  <c r="AV296" i="54"/>
  <c r="AV288" i="54"/>
  <c r="AV270" i="54"/>
  <c r="AV215" i="54"/>
  <c r="AV202" i="54"/>
  <c r="AV194" i="54"/>
  <c r="AV178" i="54"/>
  <c r="AV167" i="54"/>
  <c r="AU160" i="54"/>
  <c r="AU157" i="54"/>
  <c r="AV154" i="54"/>
  <c r="AU152" i="54"/>
  <c r="AU128" i="54"/>
  <c r="AV122" i="54"/>
  <c r="AU115" i="54"/>
  <c r="AV109" i="54"/>
  <c r="AU107" i="54"/>
  <c r="AU86" i="54"/>
  <c r="AU78" i="54"/>
  <c r="AU62" i="54"/>
  <c r="AU28" i="54"/>
  <c r="AU25" i="54"/>
  <c r="AU20" i="54"/>
  <c r="C202" i="33"/>
  <c r="C238" i="33" s="1"/>
  <c r="F12" i="46"/>
  <c r="AV159" i="54"/>
  <c r="AU130" i="54"/>
  <c r="AV114" i="54"/>
  <c r="AV85" i="54"/>
  <c r="AV69" i="54"/>
  <c r="I15" i="22"/>
  <c r="L15" i="22" s="1"/>
  <c r="H35" i="24"/>
  <c r="D202" i="33"/>
  <c r="D238" i="33" s="1"/>
  <c r="AV459" i="54"/>
  <c r="AV443" i="54"/>
  <c r="AV430" i="54"/>
  <c r="AV356" i="54"/>
  <c r="AV348" i="54"/>
  <c r="AV222" i="54"/>
  <c r="AV204" i="54"/>
  <c r="AV188" i="54"/>
  <c r="AU159" i="54"/>
  <c r="AU151" i="54"/>
  <c r="AU148" i="54"/>
  <c r="AV145" i="54"/>
  <c r="AU114" i="54"/>
  <c r="AU111" i="54"/>
  <c r="AV108" i="54"/>
  <c r="AU85" i="54"/>
  <c r="AU69" i="54"/>
  <c r="AU66" i="54"/>
  <c r="AU56" i="54"/>
  <c r="AV50" i="54"/>
  <c r="AU40" i="54"/>
  <c r="AU27" i="54"/>
  <c r="AV21" i="54"/>
  <c r="AU19" i="54"/>
  <c r="AV466" i="54"/>
  <c r="AV453" i="54"/>
  <c r="AV379" i="54"/>
  <c r="AV316" i="54"/>
  <c r="AV308" i="54"/>
  <c r="AV274" i="54"/>
  <c r="AV266" i="54"/>
  <c r="AV258" i="54"/>
  <c r="AV253" i="54"/>
  <c r="AV224" i="54"/>
  <c r="AV198" i="54"/>
  <c r="F13" i="10"/>
  <c r="AV421" i="54"/>
  <c r="AV334" i="54"/>
  <c r="AV310" i="54"/>
  <c r="AV260" i="54"/>
  <c r="AV234" i="54"/>
  <c r="AV195" i="54"/>
  <c r="AV179" i="54"/>
  <c r="AV168" i="54"/>
  <c r="AU166" i="54"/>
  <c r="AU161" i="54"/>
  <c r="AU145" i="54"/>
  <c r="AU137" i="54"/>
  <c r="AU113" i="54"/>
  <c r="AU108" i="54"/>
  <c r="AU50" i="54"/>
  <c r="AU47" i="54"/>
  <c r="AV44" i="54"/>
  <c r="AU21" i="54"/>
  <c r="K9" i="46"/>
  <c r="AU89" i="54"/>
  <c r="AU65" i="54"/>
  <c r="AV460" i="54"/>
  <c r="AV452" i="54"/>
  <c r="AV444" i="54"/>
  <c r="AV394" i="54"/>
  <c r="AV370" i="54"/>
  <c r="AV362" i="54"/>
  <c r="AV357" i="54"/>
  <c r="AV328" i="54"/>
  <c r="AV315" i="54"/>
  <c r="AV218" i="54"/>
  <c r="AU163" i="54"/>
  <c r="AU110" i="54"/>
  <c r="AU102" i="54"/>
  <c r="H9" i="31"/>
  <c r="E10" i="31"/>
  <c r="H10" i="31" s="1"/>
  <c r="AV464" i="54"/>
  <c r="AV438" i="54"/>
  <c r="AV418" i="54"/>
  <c r="AV405" i="54"/>
  <c r="AV395" i="54"/>
  <c r="AV372" i="54"/>
  <c r="AV354" i="54"/>
  <c r="AV341" i="54"/>
  <c r="AV331" i="54"/>
  <c r="AV320" i="54"/>
  <c r="AV300" i="54"/>
  <c r="AV282" i="54"/>
  <c r="AV256" i="54"/>
  <c r="AV231" i="54"/>
  <c r="AV221" i="54"/>
  <c r="AV211" i="54"/>
  <c r="AV206" i="54"/>
  <c r="AV186" i="54"/>
  <c r="AV176" i="54"/>
  <c r="AU171" i="54"/>
  <c r="AV160" i="54"/>
  <c r="AU158" i="54"/>
  <c r="AU153" i="54"/>
  <c r="AU140" i="54"/>
  <c r="AV137" i="54"/>
  <c r="AU127" i="54"/>
  <c r="AV124" i="54"/>
  <c r="AU117" i="54"/>
  <c r="AU112" i="54"/>
  <c r="AV106" i="54"/>
  <c r="AV101" i="54"/>
  <c r="AU99" i="54"/>
  <c r="AU94" i="54"/>
  <c r="AU81" i="54"/>
  <c r="AU76" i="54"/>
  <c r="AU63" i="54"/>
  <c r="AV60" i="54"/>
  <c r="AU53" i="54"/>
  <c r="AU48" i="54"/>
  <c r="AV42" i="54"/>
  <c r="AV37" i="54"/>
  <c r="AU35" i="54"/>
  <c r="AU30" i="54"/>
  <c r="AU17" i="54"/>
  <c r="AU7" i="54"/>
  <c r="AU5" i="54"/>
  <c r="J19" i="22"/>
  <c r="I17" i="22"/>
  <c r="L17" i="22" s="1"/>
  <c r="J11" i="22"/>
  <c r="I9" i="22"/>
  <c r="L9" i="22" s="1"/>
  <c r="H8" i="53"/>
  <c r="F10" i="10"/>
  <c r="AV448" i="54"/>
  <c r="AV384" i="54"/>
  <c r="AU173" i="54"/>
  <c r="AV170" i="54"/>
  <c r="AV152" i="54"/>
  <c r="AU150" i="54"/>
  <c r="AU119" i="54"/>
  <c r="AV116" i="54"/>
  <c r="AV93" i="54"/>
  <c r="AU73" i="54"/>
  <c r="AU55" i="54"/>
  <c r="AV52" i="54"/>
  <c r="AV29" i="54"/>
  <c r="I13" i="9"/>
  <c r="K10" i="46"/>
  <c r="C18" i="48"/>
  <c r="C19" i="48" s="1"/>
  <c r="AV422" i="54"/>
  <c r="AV402" i="54"/>
  <c r="AV389" i="54"/>
  <c r="AV304" i="54"/>
  <c r="AV284" i="54"/>
  <c r="AV243" i="54"/>
  <c r="AU165" i="54"/>
  <c r="AV162" i="54"/>
  <c r="AV144" i="54"/>
  <c r="AU142" i="54"/>
  <c r="AU134" i="54"/>
  <c r="AU121" i="54"/>
  <c r="AU116" i="54"/>
  <c r="AU103" i="54"/>
  <c r="AV100" i="54"/>
  <c r="AU93" i="54"/>
  <c r="AU88" i="54"/>
  <c r="AV77" i="54"/>
  <c r="AU75" i="54"/>
  <c r="AU70" i="54"/>
  <c r="AU57" i="54"/>
  <c r="AU52" i="54"/>
  <c r="AU39" i="54"/>
  <c r="AV36" i="54"/>
  <c r="AU29" i="54"/>
  <c r="AU24" i="54"/>
  <c r="AU14" i="54"/>
  <c r="J18" i="22"/>
  <c r="J16" i="22"/>
  <c r="J10" i="22"/>
  <c r="H42" i="24"/>
  <c r="F202" i="33"/>
  <c r="F238" i="33" s="1"/>
  <c r="B202" i="33"/>
  <c r="B238" i="33" s="1"/>
  <c r="J12" i="46"/>
  <c r="AV458" i="54"/>
  <c r="AV450" i="54"/>
  <c r="AV437" i="54"/>
  <c r="AV427" i="54"/>
  <c r="AV386" i="54"/>
  <c r="AV381" i="54"/>
  <c r="AV363" i="54"/>
  <c r="AV314" i="54"/>
  <c r="AV268" i="54"/>
  <c r="E467" i="54"/>
  <c r="AV250" i="54"/>
  <c r="AV240" i="54"/>
  <c r="AU172" i="54"/>
  <c r="AV169" i="54"/>
  <c r="AU162" i="54"/>
  <c r="AV151" i="54"/>
  <c r="AU149" i="54"/>
  <c r="AV146" i="54"/>
  <c r="AU144" i="54"/>
  <c r="AU139" i="54"/>
  <c r="AU136" i="54"/>
  <c r="AV133" i="54"/>
  <c r="AV74" i="54"/>
  <c r="AU6" i="54"/>
  <c r="J8" i="22"/>
  <c r="E202" i="33"/>
  <c r="E238" i="33" s="1"/>
  <c r="H25" i="14"/>
  <c r="H27" i="14" s="1"/>
  <c r="D15" i="10"/>
  <c r="AV442" i="54"/>
  <c r="AV416" i="54"/>
  <c r="AV396" i="54"/>
  <c r="AV378" i="54"/>
  <c r="AV373" i="54"/>
  <c r="AV352" i="54"/>
  <c r="AV332" i="54"/>
  <c r="AV324" i="54"/>
  <c r="AV306" i="54"/>
  <c r="AV293" i="54"/>
  <c r="AV283" i="54"/>
  <c r="AV280" i="54"/>
  <c r="AV262" i="54"/>
  <c r="AV247" i="54"/>
  <c r="AV237" i="54"/>
  <c r="AV232" i="54"/>
  <c r="AV227" i="54"/>
  <c r="AU164" i="54"/>
  <c r="AV161" i="54"/>
  <c r="AV143" i="54"/>
  <c r="AU141" i="54"/>
  <c r="AV138" i="54"/>
  <c r="AV130" i="54"/>
  <c r="AV125" i="54"/>
  <c r="AU118" i="54"/>
  <c r="AU105" i="54"/>
  <c r="AU100" i="54"/>
  <c r="AU87" i="54"/>
  <c r="AV84" i="54"/>
  <c r="AU77" i="54"/>
  <c r="AU72" i="54"/>
  <c r="AV66" i="54"/>
  <c r="AV61" i="54"/>
  <c r="AU59" i="54"/>
  <c r="AU54" i="54"/>
  <c r="AU41" i="54"/>
  <c r="AU36" i="54"/>
  <c r="AU23" i="54"/>
  <c r="AV20" i="54"/>
  <c r="AU16" i="54"/>
  <c r="H31" i="24"/>
  <c r="AV390" i="54"/>
  <c r="AV326" i="54"/>
  <c r="AV272" i="54"/>
  <c r="AV199" i="54"/>
  <c r="AV189" i="54"/>
  <c r="AU156" i="54"/>
  <c r="AV153" i="54"/>
  <c r="AU146" i="54"/>
  <c r="AV117" i="54"/>
  <c r="AU97" i="54"/>
  <c r="AV53" i="54"/>
  <c r="AU33" i="54"/>
  <c r="AU125" i="54"/>
  <c r="AU61" i="54"/>
  <c r="AU38" i="54"/>
  <c r="H12" i="35"/>
  <c r="G21" i="6"/>
  <c r="G17" i="6"/>
  <c r="G13" i="6"/>
  <c r="C6" i="4"/>
  <c r="K19" i="5"/>
  <c r="K27" i="5" s="1"/>
  <c r="D26" i="5"/>
  <c r="T75" i="14"/>
  <c r="C11" i="14" s="1"/>
  <c r="G11" i="14" s="1"/>
  <c r="W75" i="14"/>
  <c r="C12" i="14" s="1"/>
  <c r="F26" i="5"/>
  <c r="L6" i="5"/>
  <c r="C26" i="6"/>
  <c r="A61" i="53"/>
  <c r="A62" i="53" s="1"/>
  <c r="A63" i="53" s="1"/>
  <c r="A64" i="53" s="1"/>
  <c r="A65" i="53" s="1"/>
  <c r="A66" i="53" s="1"/>
  <c r="A67" i="53" s="1"/>
  <c r="A68" i="53" s="1"/>
  <c r="A69" i="53" s="1"/>
  <c r="A70" i="53" s="1"/>
  <c r="A71" i="53" s="1"/>
  <c r="A72" i="53" s="1"/>
  <c r="A73" i="53" s="1"/>
  <c r="A74" i="53" s="1"/>
  <c r="A75" i="53" s="1"/>
  <c r="A76" i="53" s="1"/>
  <c r="A77" i="53" s="1"/>
  <c r="A78" i="53" s="1"/>
  <c r="A79" i="53" s="1"/>
  <c r="A80" i="53" s="1"/>
  <c r="A81" i="53" s="1"/>
  <c r="A82" i="53" s="1"/>
  <c r="A83" i="53" s="1"/>
  <c r="A84" i="53" s="1"/>
  <c r="A85" i="53" s="1"/>
  <c r="A86" i="53" s="1"/>
  <c r="A87" i="53" s="1"/>
  <c r="A88" i="53" s="1"/>
  <c r="A89" i="53" s="1"/>
  <c r="A90" i="53" s="1"/>
  <c r="A91" i="53" s="1"/>
  <c r="A92" i="53" s="1"/>
  <c r="A93" i="53" s="1"/>
  <c r="A94" i="53" s="1"/>
  <c r="A95" i="53" s="1"/>
  <c r="A96" i="53" s="1"/>
  <c r="A97" i="53" s="1"/>
  <c r="A98" i="53"/>
  <c r="L22" i="5"/>
  <c r="G9" i="6"/>
  <c r="L14" i="5"/>
  <c r="C19" i="5"/>
  <c r="C20" i="5" s="1"/>
  <c r="AV461" i="54"/>
  <c r="AV408" i="54"/>
  <c r="AV333" i="54"/>
  <c r="C34" i="55"/>
  <c r="D12" i="6"/>
  <c r="D8" i="6"/>
  <c r="AV413" i="54"/>
  <c r="AV360" i="54"/>
  <c r="AV285" i="54"/>
  <c r="AV440" i="54"/>
  <c r="AV365" i="54"/>
  <c r="AV312" i="54"/>
  <c r="H11" i="50"/>
  <c r="F11" i="10"/>
  <c r="AV445" i="54"/>
  <c r="AV392" i="54"/>
  <c r="AV317" i="54"/>
  <c r="AV397" i="54"/>
  <c r="AV269" i="54"/>
  <c r="G14" i="5"/>
  <c r="G19" i="5" s="1"/>
  <c r="G27" i="5" s="1"/>
  <c r="L7" i="5"/>
  <c r="F19" i="5"/>
  <c r="F20" i="5" s="1"/>
  <c r="D10" i="6"/>
  <c r="E10" i="53"/>
  <c r="AV424" i="54"/>
  <c r="AV349" i="54"/>
  <c r="AV467" i="54"/>
  <c r="AV429" i="54"/>
  <c r="AV376" i="54"/>
  <c r="AV301" i="54"/>
  <c r="AV248" i="54"/>
  <c r="AV216" i="54"/>
  <c r="AV184" i="54"/>
  <c r="AV463" i="54"/>
  <c r="AV447" i="54"/>
  <c r="AV431" i="54"/>
  <c r="AV415" i="54"/>
  <c r="AV399" i="54"/>
  <c r="AV383" i="54"/>
  <c r="AV367" i="54"/>
  <c r="AV351" i="54"/>
  <c r="AV335" i="54"/>
  <c r="AV319" i="54"/>
  <c r="AV303" i="54"/>
  <c r="AV287" i="54"/>
  <c r="AV271" i="54"/>
  <c r="AV255" i="54"/>
  <c r="AV233" i="54"/>
  <c r="AV228" i="54"/>
  <c r="AV201" i="54"/>
  <c r="AV196" i="54"/>
  <c r="AV465" i="54"/>
  <c r="AV449" i="54"/>
  <c r="AV433" i="54"/>
  <c r="AV417" i="54"/>
  <c r="AV401" i="54"/>
  <c r="AV385" i="54"/>
  <c r="AV369" i="54"/>
  <c r="AV353" i="54"/>
  <c r="AV337" i="54"/>
  <c r="AV321" i="54"/>
  <c r="AV305" i="54"/>
  <c r="AV289" i="54"/>
  <c r="AV273" i="54"/>
  <c r="AV257" i="54"/>
  <c r="AV245" i="54"/>
  <c r="J21" i="22"/>
  <c r="I21" i="22"/>
  <c r="L21" i="22" s="1"/>
  <c r="J13" i="22"/>
  <c r="I13" i="22"/>
  <c r="L13" i="22" s="1"/>
  <c r="AV451" i="54"/>
  <c r="AV435" i="54"/>
  <c r="AV419" i="54"/>
  <c r="AV403" i="54"/>
  <c r="AV387" i="54"/>
  <c r="AV371" i="54"/>
  <c r="AV355" i="54"/>
  <c r="AV339" i="54"/>
  <c r="AV323" i="54"/>
  <c r="AV307" i="54"/>
  <c r="AV291" i="54"/>
  <c r="AV275" i="54"/>
  <c r="AV259" i="54"/>
  <c r="AV455" i="54"/>
  <c r="AV439" i="54"/>
  <c r="AV423" i="54"/>
  <c r="AV407" i="54"/>
  <c r="AV391" i="54"/>
  <c r="AV375" i="54"/>
  <c r="AV359" i="54"/>
  <c r="AV343" i="54"/>
  <c r="AV327" i="54"/>
  <c r="AV311" i="54"/>
  <c r="AV295" i="54"/>
  <c r="AV279" i="54"/>
  <c r="AV263" i="54"/>
  <c r="AV249" i="54"/>
  <c r="AV244" i="54"/>
  <c r="AV217" i="54"/>
  <c r="AV212" i="54"/>
  <c r="AV185" i="54"/>
  <c r="AV180" i="54"/>
  <c r="AU15" i="54"/>
  <c r="G202" i="33"/>
  <c r="G238" i="33" s="1"/>
  <c r="F9" i="10"/>
  <c r="AV457" i="54"/>
  <c r="AV441" i="54"/>
  <c r="AV425" i="54"/>
  <c r="AV409" i="54"/>
  <c r="AV393" i="54"/>
  <c r="AV377" i="54"/>
  <c r="AV361" i="54"/>
  <c r="AV345" i="54"/>
  <c r="AV329" i="54"/>
  <c r="AV313" i="54"/>
  <c r="AV297" i="54"/>
  <c r="AV281" i="54"/>
  <c r="AV265" i="54"/>
  <c r="AV172" i="54"/>
  <c r="AV251" i="54"/>
  <c r="AV235" i="54"/>
  <c r="AV219" i="54"/>
  <c r="AV203" i="54"/>
  <c r="AV187" i="54"/>
  <c r="AV18" i="54"/>
  <c r="AV10" i="54"/>
  <c r="D34" i="55"/>
  <c r="E14" i="44"/>
  <c r="E19" i="44" s="1"/>
  <c r="H143" i="58"/>
  <c r="AV239" i="54"/>
  <c r="AV223" i="54"/>
  <c r="AV207" i="54"/>
  <c r="AV191" i="54"/>
  <c r="AV175" i="54"/>
  <c r="AV173" i="54"/>
  <c r="AV165" i="54"/>
  <c r="AV157" i="54"/>
  <c r="AV149" i="54"/>
  <c r="AV141" i="54"/>
  <c r="AV128" i="54"/>
  <c r="AV120" i="54"/>
  <c r="AV112" i="54"/>
  <c r="AV104" i="54"/>
  <c r="AV96" i="54"/>
  <c r="AV88" i="54"/>
  <c r="AV80" i="54"/>
  <c r="AV72" i="54"/>
  <c r="AV64" i="54"/>
  <c r="AV56" i="54"/>
  <c r="AV48" i="54"/>
  <c r="AV40" i="54"/>
  <c r="AV32" i="54"/>
  <c r="AV24" i="54"/>
  <c r="AV16" i="54"/>
  <c r="AV8" i="54"/>
  <c r="J22" i="22"/>
  <c r="J14" i="22"/>
  <c r="K11" i="46"/>
  <c r="AV241" i="54"/>
  <c r="AV225" i="54"/>
  <c r="AV209" i="54"/>
  <c r="AV193" i="54"/>
  <c r="AV177" i="54"/>
  <c r="AV136" i="54"/>
  <c r="AV131" i="54"/>
  <c r="AV123" i="54"/>
  <c r="AV115" i="54"/>
  <c r="AV107" i="54"/>
  <c r="AV99" i="54"/>
  <c r="AV91" i="54"/>
  <c r="AV83" i="54"/>
  <c r="AV75" i="54"/>
  <c r="AV67" i="54"/>
  <c r="AV59" i="54"/>
  <c r="AV51" i="54"/>
  <c r="AV43" i="54"/>
  <c r="AV35" i="54"/>
  <c r="AV27" i="54"/>
  <c r="AV19" i="54"/>
  <c r="AV11" i="54"/>
  <c r="F43" i="34"/>
  <c r="AV171" i="54"/>
  <c r="AV163" i="54"/>
  <c r="AV155" i="54"/>
  <c r="AV147" i="54"/>
  <c r="AV139" i="54"/>
  <c r="AV134" i="54"/>
  <c r="AV126" i="54"/>
  <c r="AV118" i="54"/>
  <c r="AV110" i="54"/>
  <c r="AV102" i="54"/>
  <c r="AV94" i="54"/>
  <c r="AV86" i="54"/>
  <c r="AV78" i="54"/>
  <c r="AV70" i="54"/>
  <c r="AV62" i="54"/>
  <c r="AV54" i="54"/>
  <c r="AV46" i="54"/>
  <c r="AV38" i="54"/>
  <c r="AV30" i="54"/>
  <c r="AV22" i="54"/>
  <c r="AV14" i="54"/>
  <c r="AV6" i="54"/>
  <c r="J20" i="22"/>
  <c r="J12" i="22"/>
  <c r="AV229" i="54"/>
  <c r="AV213" i="54"/>
  <c r="AV197" i="54"/>
  <c r="AV181" i="54"/>
  <c r="AV166" i="54"/>
  <c r="AV158" i="54"/>
  <c r="AV150" i="54"/>
  <c r="AV142" i="54"/>
  <c r="AV129" i="54"/>
  <c r="AV121" i="54"/>
  <c r="AV113" i="54"/>
  <c r="AV105" i="54"/>
  <c r="AV97" i="54"/>
  <c r="AV89" i="54"/>
  <c r="AV81" i="54"/>
  <c r="AV73" i="54"/>
  <c r="AV65" i="54"/>
  <c r="AV57" i="54"/>
  <c r="AV49" i="54"/>
  <c r="AV41" i="54"/>
  <c r="AV33" i="54"/>
  <c r="AV25" i="54"/>
  <c r="AV17" i="54"/>
  <c r="AV9" i="54"/>
  <c r="G25" i="22"/>
  <c r="H25" i="24"/>
  <c r="G22" i="48"/>
  <c r="G20" i="48"/>
  <c r="AV164" i="54"/>
  <c r="AV156" i="54"/>
  <c r="AV148" i="54"/>
  <c r="AV140" i="54"/>
  <c r="AV135" i="54"/>
  <c r="AV127" i="54"/>
  <c r="AV119" i="54"/>
  <c r="AV111" i="54"/>
  <c r="AV103" i="54"/>
  <c r="AV95" i="54"/>
  <c r="AV87" i="54"/>
  <c r="AV79" i="54"/>
  <c r="AV71" i="54"/>
  <c r="AV63" i="54"/>
  <c r="AV55" i="54"/>
  <c r="AV47" i="54"/>
  <c r="AV39" i="54"/>
  <c r="AV31" i="54"/>
  <c r="AV23" i="54"/>
  <c r="AV15" i="54"/>
  <c r="AV7" i="54"/>
  <c r="K25" i="22"/>
  <c r="G20" i="4"/>
  <c r="E6" i="4"/>
  <c r="F9" i="4" s="1"/>
  <c r="G26" i="5"/>
  <c r="G17" i="4"/>
  <c r="G23" i="48"/>
  <c r="G17" i="48"/>
  <c r="G16" i="48"/>
  <c r="G21" i="4"/>
  <c r="G19" i="4"/>
  <c r="G18" i="6"/>
  <c r="G9" i="11"/>
  <c r="G7" i="11"/>
  <c r="G21" i="48"/>
  <c r="F18" i="48"/>
  <c r="C23" i="4"/>
  <c r="D25" i="4" s="1"/>
  <c r="G7" i="4"/>
  <c r="G10" i="11"/>
  <c r="G8" i="11"/>
  <c r="G15" i="48"/>
  <c r="G14" i="48"/>
  <c r="G13" i="48"/>
  <c r="G14" i="4"/>
  <c r="G13" i="4"/>
  <c r="G11" i="4"/>
  <c r="L23" i="5"/>
  <c r="G25" i="6"/>
  <c r="G23" i="6"/>
  <c r="G22" i="6"/>
  <c r="G20" i="6"/>
  <c r="G19" i="6"/>
  <c r="G16" i="14"/>
  <c r="E26" i="6"/>
  <c r="E28" i="6" s="1"/>
  <c r="O75" i="14"/>
  <c r="E8" i="14" s="1"/>
  <c r="I16" i="14"/>
  <c r="E13" i="14"/>
  <c r="F21" i="14" s="1"/>
  <c r="G15" i="14"/>
  <c r="I15" i="14"/>
  <c r="E23" i="4"/>
  <c r="F28" i="4" s="1"/>
  <c r="G28" i="4"/>
  <c r="G27" i="4"/>
  <c r="G26" i="4"/>
  <c r="I19" i="5"/>
  <c r="I27" i="5" s="1"/>
  <c r="E19" i="5"/>
  <c r="E27" i="5" s="1"/>
  <c r="G16" i="4"/>
  <c r="G12" i="4"/>
  <c r="E26" i="5"/>
  <c r="J19" i="5"/>
  <c r="J20" i="5" s="1"/>
  <c r="H19" i="5"/>
  <c r="H27" i="5" s="1"/>
  <c r="D19" i="5"/>
  <c r="D27" i="5" s="1"/>
  <c r="G14" i="6"/>
  <c r="G12" i="6"/>
  <c r="G10" i="6"/>
  <c r="G8" i="6"/>
  <c r="H28" i="14"/>
  <c r="G20" i="14"/>
  <c r="E15" i="10"/>
  <c r="AT467" i="54"/>
  <c r="A21" i="48"/>
  <c r="A22" i="48"/>
  <c r="A23" i="48" s="1"/>
  <c r="D19" i="44"/>
  <c r="C11" i="11"/>
  <c r="D8" i="11" s="1"/>
  <c r="G25" i="4"/>
  <c r="G22" i="4"/>
  <c r="G18" i="4"/>
  <c r="G8" i="4"/>
  <c r="G24" i="5"/>
  <c r="G24" i="6"/>
  <c r="G16" i="6"/>
  <c r="N75" i="14"/>
  <c r="C8" i="14" s="1"/>
  <c r="G26" i="14"/>
  <c r="I11" i="14"/>
  <c r="I26" i="14"/>
  <c r="D15" i="14" l="1"/>
  <c r="D16" i="14"/>
  <c r="D20" i="14"/>
  <c r="D18" i="14"/>
  <c r="G12" i="14"/>
  <c r="D21" i="14"/>
  <c r="D17" i="14"/>
  <c r="K18" i="6"/>
  <c r="F7" i="11"/>
  <c r="G9" i="14"/>
  <c r="K19" i="6"/>
  <c r="D23" i="6"/>
  <c r="C28" i="6"/>
  <c r="F15" i="6"/>
  <c r="C10" i="14"/>
  <c r="K25" i="14" s="1"/>
  <c r="F11" i="4"/>
  <c r="L24" i="5"/>
  <c r="H43" i="24"/>
  <c r="D18" i="6"/>
  <c r="F13" i="4"/>
  <c r="G20" i="5"/>
  <c r="E11" i="31"/>
  <c r="H11" i="31" s="1"/>
  <c r="K20" i="5"/>
  <c r="K12" i="46"/>
  <c r="L25" i="22"/>
  <c r="I20" i="5"/>
  <c r="D13" i="6"/>
  <c r="F7" i="4"/>
  <c r="AU467" i="54"/>
  <c r="D9" i="6"/>
  <c r="D17" i="6"/>
  <c r="F15" i="10"/>
  <c r="D22" i="6"/>
  <c r="D15" i="6"/>
  <c r="D7" i="6"/>
  <c r="D25" i="6"/>
  <c r="D24" i="6"/>
  <c r="J25" i="22"/>
  <c r="D19" i="6"/>
  <c r="D14" i="6"/>
  <c r="F18" i="6"/>
  <c r="D16" i="6"/>
  <c r="C24" i="14"/>
  <c r="D20" i="6"/>
  <c r="D11" i="6"/>
  <c r="D21" i="6"/>
  <c r="M8" i="14"/>
  <c r="E10" i="14"/>
  <c r="F10" i="4"/>
  <c r="G13" i="14"/>
  <c r="D9" i="11"/>
  <c r="G8" i="14"/>
  <c r="D20" i="5"/>
  <c r="J27" i="5"/>
  <c r="F22" i="6"/>
  <c r="F9" i="6"/>
  <c r="D26" i="4"/>
  <c r="F17" i="6"/>
  <c r="F23" i="6"/>
  <c r="F20" i="14"/>
  <c r="D27" i="4"/>
  <c r="F16" i="6"/>
  <c r="F24" i="6"/>
  <c r="I25" i="22"/>
  <c r="F20" i="6"/>
  <c r="F7" i="6"/>
  <c r="F13" i="6"/>
  <c r="F21" i="6"/>
  <c r="D28" i="4"/>
  <c r="F25" i="6"/>
  <c r="H10" i="53"/>
  <c r="E11" i="53"/>
  <c r="H20" i="5"/>
  <c r="F19" i="6"/>
  <c r="D29" i="4"/>
  <c r="C15" i="4"/>
  <c r="D23" i="4" s="1"/>
  <c r="F27" i="5"/>
  <c r="F11" i="6"/>
  <c r="F14" i="6"/>
  <c r="I13" i="14"/>
  <c r="I24" i="14" s="1"/>
  <c r="F15" i="14"/>
  <c r="F8" i="4"/>
  <c r="F18" i="14"/>
  <c r="G23" i="4"/>
  <c r="F12" i="4"/>
  <c r="L19" i="5"/>
  <c r="E20" i="5"/>
  <c r="L26" i="5"/>
  <c r="F14" i="4"/>
  <c r="G26" i="6"/>
  <c r="L8" i="14"/>
  <c r="D7" i="11"/>
  <c r="G11" i="11"/>
  <c r="I8" i="14"/>
  <c r="I10" i="14" s="1"/>
  <c r="F19" i="14"/>
  <c r="E24" i="14"/>
  <c r="F13" i="14" s="1"/>
  <c r="F17" i="14"/>
  <c r="F10" i="11"/>
  <c r="F9" i="11"/>
  <c r="F8" i="11"/>
  <c r="G18" i="48"/>
  <c r="F19" i="48"/>
  <c r="G19" i="48" s="1"/>
  <c r="F25" i="4"/>
  <c r="F16" i="14"/>
  <c r="E15" i="4"/>
  <c r="F17" i="4" s="1"/>
  <c r="F26" i="4"/>
  <c r="F27" i="4"/>
  <c r="F29" i="4"/>
  <c r="D10" i="11"/>
  <c r="D12" i="14" l="1"/>
  <c r="C34" i="14"/>
  <c r="G24" i="14"/>
  <c r="G10" i="14"/>
  <c r="D8" i="14"/>
  <c r="D9" i="14"/>
  <c r="E12" i="31"/>
  <c r="H12" i="31" s="1"/>
  <c r="D26" i="6"/>
  <c r="L27" i="5"/>
  <c r="C25" i="14"/>
  <c r="C27" i="14" s="1"/>
  <c r="C30" i="14" s="1"/>
  <c r="D13" i="14"/>
  <c r="D22" i="14"/>
  <c r="C28" i="14"/>
  <c r="C35" i="14"/>
  <c r="D23" i="14"/>
  <c r="D11" i="14"/>
  <c r="D20" i="4"/>
  <c r="D22" i="4"/>
  <c r="D21" i="4"/>
  <c r="D16" i="4"/>
  <c r="D19" i="4"/>
  <c r="D11" i="11"/>
  <c r="F26" i="6"/>
  <c r="E35" i="14"/>
  <c r="D17" i="4"/>
  <c r="D18" i="4"/>
  <c r="L20" i="5"/>
  <c r="F12" i="14"/>
  <c r="E34" i="14"/>
  <c r="H11" i="53"/>
  <c r="E12" i="53"/>
  <c r="F23" i="14"/>
  <c r="E28" i="14"/>
  <c r="F19" i="4"/>
  <c r="G15" i="4"/>
  <c r="F11" i="11"/>
  <c r="M10" i="14"/>
  <c r="L10" i="14"/>
  <c r="E25" i="14"/>
  <c r="I31" i="44"/>
  <c r="F9" i="14"/>
  <c r="F8" i="14"/>
  <c r="F22" i="14"/>
  <c r="F11" i="14"/>
  <c r="I25" i="14"/>
  <c r="F21" i="4"/>
  <c r="F23" i="4"/>
  <c r="F16" i="4"/>
  <c r="F18" i="4"/>
  <c r="E30" i="4"/>
  <c r="E12" i="11" s="1"/>
  <c r="F22" i="4"/>
  <c r="F20" i="4"/>
  <c r="G28" i="14" l="1"/>
  <c r="D10" i="14"/>
  <c r="E32" i="4"/>
  <c r="F6" i="4"/>
  <c r="D27" i="14"/>
  <c r="D28" i="14" s="1"/>
  <c r="E13" i="31"/>
  <c r="E14" i="31" s="1"/>
  <c r="D24" i="14"/>
  <c r="F10" i="14"/>
  <c r="F24" i="14"/>
  <c r="H12" i="53"/>
  <c r="E13" i="53"/>
  <c r="E31" i="14"/>
  <c r="E32" i="14" s="1"/>
  <c r="E33" i="14"/>
  <c r="E27" i="14"/>
  <c r="G25" i="14"/>
  <c r="F15" i="4"/>
  <c r="H13" i="31" l="1"/>
  <c r="H13" i="53"/>
  <c r="E14" i="53"/>
  <c r="H14" i="31"/>
  <c r="E15" i="31"/>
  <c r="G27" i="14"/>
  <c r="F26" i="14"/>
  <c r="F27" i="14"/>
  <c r="I27" i="14"/>
  <c r="I28" i="14" s="1"/>
  <c r="F30" i="4"/>
  <c r="H15" i="31" l="1"/>
  <c r="E16" i="31"/>
  <c r="H14" i="53"/>
  <c r="E15" i="53"/>
  <c r="F28" i="14"/>
  <c r="H15" i="53" l="1"/>
  <c r="E16" i="53"/>
  <c r="H16" i="31"/>
  <c r="E17" i="31"/>
  <c r="H17" i="31" l="1"/>
  <c r="E18" i="31"/>
  <c r="H16" i="53"/>
  <c r="E17" i="53"/>
  <c r="H17" i="53" l="1"/>
  <c r="E18" i="53"/>
  <c r="H18" i="31"/>
  <c r="E19" i="31"/>
  <c r="H19" i="31" l="1"/>
  <c r="E20" i="31"/>
  <c r="E19" i="53"/>
  <c r="H18" i="53"/>
  <c r="H20" i="31" l="1"/>
  <c r="E21" i="31"/>
  <c r="H19" i="53"/>
  <c r="E20" i="53"/>
  <c r="E21" i="53" l="1"/>
  <c r="H20" i="53"/>
  <c r="H21" i="31"/>
  <c r="E22" i="31"/>
  <c r="H22" i="31" l="1"/>
  <c r="E23" i="31"/>
  <c r="H21" i="53"/>
  <c r="E22" i="53"/>
  <c r="H22" i="53" l="1"/>
  <c r="E23" i="53"/>
  <c r="H23" i="31"/>
  <c r="E24" i="31"/>
  <c r="H23" i="53" l="1"/>
  <c r="E24" i="53"/>
  <c r="H24" i="31"/>
  <c r="E25" i="31"/>
  <c r="H24" i="53" l="1"/>
  <c r="E25" i="53"/>
  <c r="H25" i="31"/>
  <c r="E26" i="31"/>
  <c r="H26" i="31" l="1"/>
  <c r="E27" i="31"/>
  <c r="H25" i="53"/>
  <c r="E26" i="53"/>
  <c r="H26" i="53" l="1"/>
  <c r="E27" i="53"/>
  <c r="H27" i="31"/>
  <c r="E28" i="31"/>
  <c r="H28" i="31" l="1"/>
  <c r="E29" i="31"/>
  <c r="H27" i="53"/>
  <c r="E28" i="53"/>
  <c r="H29" i="31" l="1"/>
  <c r="E30" i="31"/>
  <c r="H28" i="53"/>
  <c r="E29" i="53"/>
  <c r="H29" i="53" l="1"/>
  <c r="E30" i="53"/>
  <c r="H30" i="31"/>
  <c r="E31" i="31"/>
  <c r="H31" i="31" l="1"/>
  <c r="E32" i="31"/>
  <c r="H30" i="53"/>
  <c r="E31" i="53"/>
  <c r="H31" i="53" l="1"/>
  <c r="E32" i="53"/>
  <c r="H32" i="31"/>
  <c r="E33" i="31"/>
  <c r="H33" i="31" l="1"/>
  <c r="E34" i="31"/>
  <c r="H34" i="31" s="1"/>
  <c r="H32" i="53"/>
  <c r="E33" i="53"/>
  <c r="H35" i="31" l="1"/>
  <c r="J35" i="31" s="1"/>
  <c r="J36" i="31" s="1"/>
  <c r="H33" i="53"/>
  <c r="E34" i="53"/>
  <c r="H36" i="31" l="1"/>
  <c r="E35" i="53"/>
  <c r="H34" i="53"/>
  <c r="H35" i="53" l="1"/>
  <c r="E36" i="53"/>
  <c r="E37" i="53" l="1"/>
  <c r="H36" i="53"/>
  <c r="H37" i="53" l="1"/>
  <c r="E38" i="53"/>
  <c r="H38" i="53" l="1"/>
  <c r="E39" i="53"/>
  <c r="H39" i="53" l="1"/>
  <c r="E40" i="53"/>
  <c r="H40" i="53" l="1"/>
  <c r="E41" i="53"/>
  <c r="H41" i="53" l="1"/>
  <c r="E42" i="53"/>
  <c r="H42" i="53" l="1"/>
  <c r="E43" i="53"/>
  <c r="H43" i="53" l="1"/>
  <c r="E44" i="53"/>
  <c r="H44" i="53" l="1"/>
  <c r="E45" i="53"/>
  <c r="H45" i="53" l="1"/>
  <c r="E46" i="53"/>
  <c r="H46" i="53" l="1"/>
  <c r="E47" i="53"/>
  <c r="H47" i="53" l="1"/>
  <c r="E48" i="53"/>
  <c r="H48" i="53" l="1"/>
  <c r="E49" i="53"/>
  <c r="H49" i="53" l="1"/>
  <c r="E50" i="53"/>
  <c r="E51" i="53" l="1"/>
  <c r="H50" i="53"/>
  <c r="H51" i="53" l="1"/>
  <c r="E52" i="53"/>
  <c r="E53" i="53" l="1"/>
  <c r="H52" i="53"/>
  <c r="H53" i="53" l="1"/>
  <c r="E54" i="53"/>
  <c r="H54" i="53" l="1"/>
  <c r="E55" i="53"/>
  <c r="H55" i="53" l="1"/>
  <c r="E56" i="53"/>
  <c r="H56" i="53" l="1"/>
  <c r="E57" i="53"/>
  <c r="H57" i="53" l="1"/>
  <c r="E58" i="53"/>
  <c r="H58" i="53" l="1"/>
  <c r="E59" i="53"/>
  <c r="H59" i="53" l="1"/>
  <c r="E60" i="53"/>
  <c r="H60" i="53" l="1"/>
  <c r="E61" i="53"/>
  <c r="H61" i="53" l="1"/>
  <c r="E62" i="53"/>
  <c r="H62" i="53" l="1"/>
  <c r="E63" i="53"/>
  <c r="H63" i="53" l="1"/>
  <c r="E64" i="53"/>
  <c r="H64" i="53" l="1"/>
  <c r="E65" i="53"/>
  <c r="H65" i="53" l="1"/>
  <c r="E66" i="53"/>
  <c r="E67" i="53" l="1"/>
  <c r="H66" i="53"/>
  <c r="H67" i="53" l="1"/>
  <c r="E68" i="53"/>
  <c r="E69" i="53" l="1"/>
  <c r="H68" i="53"/>
  <c r="H69" i="53" l="1"/>
  <c r="E70" i="53"/>
  <c r="H70" i="53" l="1"/>
  <c r="E71" i="53"/>
  <c r="H71" i="53" l="1"/>
  <c r="E72" i="53"/>
  <c r="H72" i="53" l="1"/>
  <c r="E73" i="53"/>
  <c r="H73" i="53" l="1"/>
  <c r="E74" i="53"/>
  <c r="H74" i="53" l="1"/>
  <c r="E75" i="53"/>
  <c r="H75" i="53" l="1"/>
  <c r="E76" i="53"/>
  <c r="H76" i="53" l="1"/>
  <c r="E77" i="53"/>
  <c r="H77" i="53" l="1"/>
  <c r="E78" i="53"/>
  <c r="H78" i="53" l="1"/>
  <c r="E79" i="53"/>
  <c r="H79" i="53" l="1"/>
  <c r="E80" i="53"/>
  <c r="H80" i="53" l="1"/>
  <c r="E81" i="53"/>
  <c r="H81" i="53" l="1"/>
  <c r="E82" i="53"/>
  <c r="E83" i="53" l="1"/>
  <c r="H82" i="53"/>
  <c r="H83" i="53" l="1"/>
  <c r="E84" i="53"/>
  <c r="E85" i="53" l="1"/>
  <c r="H84" i="53"/>
  <c r="H85" i="53" l="1"/>
  <c r="E86" i="53"/>
  <c r="H86" i="53" l="1"/>
  <c r="E87" i="53"/>
  <c r="H87" i="53" l="1"/>
  <c r="E88" i="53"/>
  <c r="H88" i="53" l="1"/>
  <c r="E89" i="53"/>
  <c r="H89" i="53" l="1"/>
  <c r="E90" i="53"/>
  <c r="H90" i="53" l="1"/>
  <c r="E91" i="53"/>
  <c r="H91" i="53" l="1"/>
  <c r="E92" i="53"/>
  <c r="H92" i="53" l="1"/>
  <c r="E93" i="53"/>
  <c r="E94" i="53" l="1"/>
  <c r="H93" i="53"/>
  <c r="H94" i="53" l="1"/>
  <c r="E95" i="53"/>
  <c r="E96" i="53" l="1"/>
  <c r="H95" i="53"/>
  <c r="H96" i="53" l="1"/>
  <c r="E97" i="53"/>
  <c r="H97" i="53" s="1"/>
  <c r="H99" i="53" s="1"/>
  <c r="J99" i="53" s="1"/>
  <c r="G9" i="4"/>
  <c r="G6" i="4" s="1"/>
  <c r="D14" i="4"/>
  <c r="D13" i="4"/>
  <c r="D11" i="4"/>
  <c r="D7" i="4"/>
  <c r="D10" i="4"/>
  <c r="D8" i="4"/>
  <c r="D12" i="4"/>
  <c r="C30" i="4"/>
  <c r="C32" i="4" l="1"/>
  <c r="D6" i="4" s="1"/>
  <c r="D15" i="4"/>
  <c r="G30" i="4"/>
  <c r="H6" i="4" l="1"/>
  <c r="H9" i="4"/>
  <c r="D9" i="4"/>
  <c r="D30" i="4"/>
</calcChain>
</file>

<file path=xl/sharedStrings.xml><?xml version="1.0" encoding="utf-8"?>
<sst xmlns="http://schemas.openxmlformats.org/spreadsheetml/2006/main" count="8705" uniqueCount="4386">
  <si>
    <t>23416</t>
  </si>
  <si>
    <t>41901</t>
  </si>
  <si>
    <t>44605</t>
  </si>
  <si>
    <t>90414</t>
  </si>
  <si>
    <t>Бош бухгалтери в.в.б.:</t>
  </si>
  <si>
    <t>ДСИ</t>
  </si>
  <si>
    <t>2 кунга кечиктирилган</t>
  </si>
  <si>
    <t>3 кунга кечиктирилган</t>
  </si>
  <si>
    <t>45294</t>
  </si>
  <si>
    <t>Бошка курсатилган хизматлар ва воситачилик учун олинган даромадлар</t>
  </si>
  <si>
    <t>45401</t>
  </si>
  <si>
    <t>45901</t>
  </si>
  <si>
    <t>45994</t>
  </si>
  <si>
    <t>Бошка фоизсиз даромадлар</t>
  </si>
  <si>
    <t>50106</t>
  </si>
  <si>
    <t>50110</t>
  </si>
  <si>
    <t>50606</t>
  </si>
  <si>
    <t>Жисмоний шахсларнинг жамгарма депозитлари буйича фоизли харажатлар</t>
  </si>
  <si>
    <t>51106</t>
  </si>
  <si>
    <t>Жисмоний шахсларнинг муддатли депозитлари буйича фоизли харажатлар</t>
  </si>
  <si>
    <t>53111</t>
  </si>
  <si>
    <t>54125</t>
  </si>
  <si>
    <t>54202</t>
  </si>
  <si>
    <t>54206</t>
  </si>
  <si>
    <t>55110</t>
  </si>
  <si>
    <t>55142</t>
  </si>
  <si>
    <t>Менежмент буйича харажатлар</t>
  </si>
  <si>
    <t>55195</t>
  </si>
  <si>
    <t>Бошка воситачилик ва хизмат харажатлари</t>
  </si>
  <si>
    <t>55302</t>
  </si>
  <si>
    <t>56102</t>
  </si>
  <si>
    <t>Иш хаки</t>
  </si>
  <si>
    <t>56106</t>
  </si>
  <si>
    <t>Банк хизматчилари учун имтиёзлар</t>
  </si>
  <si>
    <t>56110</t>
  </si>
  <si>
    <t>56114</t>
  </si>
  <si>
    <t>Ижтимоий сугурта буйича бадаллар</t>
  </si>
  <si>
    <t>56118</t>
  </si>
  <si>
    <t>56195</t>
  </si>
  <si>
    <t>56210</t>
  </si>
  <si>
    <t>56214</t>
  </si>
  <si>
    <t>56218</t>
  </si>
  <si>
    <t>56302</t>
  </si>
  <si>
    <t>56314</t>
  </si>
  <si>
    <t>56402</t>
  </si>
  <si>
    <t>56406</t>
  </si>
  <si>
    <t>Девонхона, офис ва бошка буюмлар харажатлари</t>
  </si>
  <si>
    <t>56410</t>
  </si>
  <si>
    <t>56418</t>
  </si>
  <si>
    <t>Китоб, газета ва бошка даврий нашриётлар буйича харажатлар</t>
  </si>
  <si>
    <t>56506</t>
  </si>
  <si>
    <t>Аъзолик бадаллари</t>
  </si>
  <si>
    <t>56602</t>
  </si>
  <si>
    <t>56614</t>
  </si>
  <si>
    <t>56616</t>
  </si>
  <si>
    <t>56622</t>
  </si>
  <si>
    <t>56702</t>
  </si>
  <si>
    <t>56714</t>
  </si>
  <si>
    <t>Солик (фойда солигидан ташкари) ва лицензиялар</t>
  </si>
  <si>
    <t>56795</t>
  </si>
  <si>
    <t>56802</t>
  </si>
  <si>
    <t>90327</t>
  </si>
  <si>
    <t>90402</t>
  </si>
  <si>
    <t>90404</t>
  </si>
  <si>
    <t>90410</t>
  </si>
  <si>
    <t>Банк томонидан урнатилган терминаллар</t>
  </si>
  <si>
    <t>90963</t>
  </si>
  <si>
    <t>Муддатида туланмаган хисоб-китоб хужжатлари</t>
  </si>
  <si>
    <t>90966</t>
  </si>
  <si>
    <t>91501</t>
  </si>
  <si>
    <t>91901</t>
  </si>
  <si>
    <t>Карздорларнинг киска муддатли кредитлар буйича мажбуриятлари</t>
  </si>
  <si>
    <t>91905</t>
  </si>
  <si>
    <t>Карздорларнинг узок муддатли кредитлар ва лизинглар буйича мажбуриятлари</t>
  </si>
  <si>
    <t>93609</t>
  </si>
  <si>
    <t>10513</t>
  </si>
  <si>
    <t>21014</t>
  </si>
  <si>
    <t>54904</t>
  </si>
  <si>
    <t>94502</t>
  </si>
  <si>
    <t>Гаров сифатида олинган мулклар ва мулкий хукук(талаб)лар</t>
  </si>
  <si>
    <t>94503</t>
  </si>
  <si>
    <t>Гаров сифатида олинган кафолат ва кафилликлар</t>
  </si>
  <si>
    <t>95497</t>
  </si>
  <si>
    <t>Бошка кузда тутилмаган холатлар хисобвараклари</t>
  </si>
  <si>
    <t>96311</t>
  </si>
  <si>
    <t>96313</t>
  </si>
  <si>
    <t>96314</t>
  </si>
  <si>
    <t>96321</t>
  </si>
  <si>
    <t>96331</t>
  </si>
  <si>
    <t>96335</t>
  </si>
  <si>
    <t>96345</t>
  </si>
  <si>
    <t>96349</t>
  </si>
  <si>
    <t>96379</t>
  </si>
  <si>
    <t>96381</t>
  </si>
  <si>
    <t>Гаров сифатидаги кимматли когозлар, мулклар ва мулкий хукук(талаб)лар буйича контр-хисобварак</t>
  </si>
  <si>
    <t>96397</t>
  </si>
  <si>
    <t>Йул жамгармасига 1,4%</t>
  </si>
  <si>
    <t>Пенсия жамгармасига 1,6%</t>
  </si>
  <si>
    <t>изох</t>
  </si>
  <si>
    <t>9</t>
  </si>
  <si>
    <t>Фойда солиғи</t>
  </si>
  <si>
    <t>Омбордаги асосий воситалар</t>
  </si>
  <si>
    <t xml:space="preserve">   - юқори ликвидли активлар</t>
  </si>
  <si>
    <t xml:space="preserve">шундан :  </t>
  </si>
  <si>
    <t>….қайта баҳолаш бўйича</t>
  </si>
  <si>
    <t>….балансдан чиқарилган</t>
  </si>
  <si>
    <t xml:space="preserve">….сотилган </t>
  </si>
  <si>
    <t>….бошқа филиалга берилган</t>
  </si>
  <si>
    <t>….бошқа(нотўғри ўтказма-сторно)</t>
  </si>
  <si>
    <t>….сотиб олинган</t>
  </si>
  <si>
    <t>….бошқа ҳисоб рақамга ўтказилган</t>
  </si>
  <si>
    <t>( сўмда)</t>
  </si>
  <si>
    <t>9-жадвал</t>
  </si>
  <si>
    <t>Фоиз ҳисобланиши</t>
  </si>
  <si>
    <t>2-жадвал</t>
  </si>
  <si>
    <t xml:space="preserve">                    сўмда</t>
  </si>
  <si>
    <t>3-жадвал</t>
  </si>
  <si>
    <t>4-жадвал</t>
  </si>
  <si>
    <t>Солиқ тўлови</t>
  </si>
  <si>
    <t xml:space="preserve">  (+;-)</t>
  </si>
  <si>
    <t>Ер солиғи</t>
  </si>
  <si>
    <t>Сув солиғи</t>
  </si>
  <si>
    <t>Мол-мулк солиғи</t>
  </si>
  <si>
    <t>Инфраструктура солиғи</t>
  </si>
  <si>
    <t>7.1.</t>
  </si>
  <si>
    <t>7.2.</t>
  </si>
  <si>
    <t>7.3.</t>
  </si>
  <si>
    <t>7.4.</t>
  </si>
  <si>
    <t>2010 йилда аниқланган камчиликлар сони</t>
  </si>
  <si>
    <t>Фарки (+,-)</t>
  </si>
  <si>
    <t>Касса бўйича</t>
  </si>
  <si>
    <t>Бухгал-терия бўйича</t>
  </si>
  <si>
    <t>Кредит бўйича</t>
  </si>
  <si>
    <t xml:space="preserve"> текширув бошланган вақтига филиалда мавжуд муаммолар ва банк кўрсаткичларининг </t>
  </si>
  <si>
    <t>Муаммоли кредитлар</t>
  </si>
  <si>
    <t>Банк даромадлари</t>
  </si>
  <si>
    <t>12-жадвал</t>
  </si>
  <si>
    <t>Тўловчи номи</t>
  </si>
  <si>
    <t>Тўлов суммаси</t>
  </si>
  <si>
    <t>13-жадвал</t>
  </si>
  <si>
    <t>Маблағ чиққан кун</t>
  </si>
  <si>
    <t>Нотўғри тақсимланган сумма</t>
  </si>
  <si>
    <t>Маблағ кимга тўланиши керак</t>
  </si>
  <si>
    <t>Маблағ кимга тўланган</t>
  </si>
  <si>
    <t>Қўлланилган жариманинг сабаби</t>
  </si>
  <si>
    <t>Солиқ идоралари томонидан текширув натижасида қўлланилган жарима</t>
  </si>
  <si>
    <t>14-жадвал</t>
  </si>
  <si>
    <t>15-жадвал</t>
  </si>
  <si>
    <t>18-жадвал</t>
  </si>
  <si>
    <t>Харажат ҳисоб рақами</t>
  </si>
  <si>
    <t>Маблағ ўтган ҳисоб рақам</t>
  </si>
  <si>
    <t>19 жадвал</t>
  </si>
  <si>
    <t>Тўланиши лозим бўлган сумма</t>
  </si>
  <si>
    <t>Ҳақиқатда тўланган</t>
  </si>
  <si>
    <t>Бошқалар</t>
  </si>
  <si>
    <t>20-жадвал</t>
  </si>
  <si>
    <t>дебет</t>
  </si>
  <si>
    <t>кредит</t>
  </si>
  <si>
    <t>22-жадвал</t>
  </si>
  <si>
    <t>23-жадвал</t>
  </si>
  <si>
    <t>текширув тугаган санасига бўлган ўзгаришлари тўғрисида</t>
  </si>
  <si>
    <t>Аудит ходимлари:     1</t>
  </si>
  <si>
    <t>Изоҳ:</t>
  </si>
  <si>
    <t>Жадвалдаги листлар бўйича қуйидагича ўзгартиришлар киритилади:</t>
  </si>
  <si>
    <t>Кўк рангли лист</t>
  </si>
  <si>
    <t>Тўқ яшил рангли лист</t>
  </si>
  <si>
    <t>Тегинилмайди, тайёр ҳисобот</t>
  </si>
  <si>
    <t>Оч яшил рангли лист</t>
  </si>
  <si>
    <t>Сариқ рангли лист</t>
  </si>
  <si>
    <t>Жадваллар тўлдирилиши лозим</t>
  </si>
  <si>
    <t>21-жадвал</t>
  </si>
  <si>
    <t>Бино ва иншоат</t>
  </si>
  <si>
    <t>Транспорт</t>
  </si>
  <si>
    <t>Номоддий активлар</t>
  </si>
  <si>
    <t>Жами:</t>
  </si>
  <si>
    <t>1-жадвал</t>
  </si>
  <si>
    <t>Т/р</t>
  </si>
  <si>
    <t>Активлар таркиби</t>
  </si>
  <si>
    <t>Сумма</t>
  </si>
  <si>
    <t>Фоизи</t>
  </si>
  <si>
    <t>I.</t>
  </si>
  <si>
    <t>Даромад келтирувчи активлар</t>
  </si>
  <si>
    <t>II.</t>
  </si>
  <si>
    <t xml:space="preserve">   - банк мулклари</t>
  </si>
  <si>
    <t>Жами активлар</t>
  </si>
  <si>
    <t>суммаси</t>
  </si>
  <si>
    <t>Жами</t>
  </si>
  <si>
    <t>Асосий воситалар</t>
  </si>
  <si>
    <t>Муддатли  депозитлар</t>
  </si>
  <si>
    <t>Клиринг трансакциялари</t>
  </si>
  <si>
    <t>Жами мажбуриятлар</t>
  </si>
  <si>
    <t>Санаси</t>
  </si>
  <si>
    <t>Капитал таркиби</t>
  </si>
  <si>
    <t>8-жадвал</t>
  </si>
  <si>
    <t>Акционерлик капитали</t>
  </si>
  <si>
    <t>Жами  капитал</t>
  </si>
  <si>
    <t>Ижарадаги асосий воситалар</t>
  </si>
  <si>
    <t>М А Ъ Л У М О Т</t>
  </si>
  <si>
    <t>Даромад ва харажатлар таркиби</t>
  </si>
  <si>
    <t xml:space="preserve">   - банк филиалларига берилган молиявий ёрдам ва ресурслар</t>
  </si>
  <si>
    <t>Даромад келтирмайдиган активлар</t>
  </si>
  <si>
    <t>Суммаси</t>
  </si>
  <si>
    <t>Ижарага олинган а/в</t>
  </si>
  <si>
    <t>XII</t>
  </si>
  <si>
    <t xml:space="preserve">   - факторинг</t>
  </si>
  <si>
    <t>XIII</t>
  </si>
  <si>
    <t>Мижоз номи</t>
  </si>
  <si>
    <t>фоизи</t>
  </si>
  <si>
    <t>А</t>
  </si>
  <si>
    <t>Б</t>
  </si>
  <si>
    <t>сумма</t>
  </si>
  <si>
    <t>фоиз</t>
  </si>
  <si>
    <t>Бойликлар номи</t>
  </si>
  <si>
    <t>т\р</t>
  </si>
  <si>
    <t>Филиал номи</t>
  </si>
  <si>
    <t>сони</t>
  </si>
  <si>
    <t>жами</t>
  </si>
  <si>
    <t>Фоизли даромадлар</t>
  </si>
  <si>
    <t>Фоизсиз даромадлар</t>
  </si>
  <si>
    <t>Жами даромад</t>
  </si>
  <si>
    <t>Фоизли харажатлар</t>
  </si>
  <si>
    <t>Фоизсиз харажатлар</t>
  </si>
  <si>
    <t xml:space="preserve"> </t>
  </si>
  <si>
    <t>Маъмурий харажатлар</t>
  </si>
  <si>
    <t>Эскириш харажатлари</t>
  </si>
  <si>
    <t xml:space="preserve"> Жами  харажатлар</t>
  </si>
  <si>
    <t>Реал  соф  фойда</t>
  </si>
  <si>
    <t>Мажбуриятлар   таркиби</t>
  </si>
  <si>
    <t>Т/Р</t>
  </si>
  <si>
    <t>IV</t>
  </si>
  <si>
    <t>V</t>
  </si>
  <si>
    <t>VI</t>
  </si>
  <si>
    <t>VII</t>
  </si>
  <si>
    <t>VIII</t>
  </si>
  <si>
    <t>IX</t>
  </si>
  <si>
    <t>X</t>
  </si>
  <si>
    <t>XI</t>
  </si>
  <si>
    <t>т/р</t>
  </si>
  <si>
    <t>5-жадвал</t>
  </si>
  <si>
    <t>Фоиз хисобланиши</t>
  </si>
  <si>
    <t>Текшириш санаси</t>
  </si>
  <si>
    <t>Касса мудираси</t>
  </si>
  <si>
    <t>Бошкарувчи уринбосари</t>
  </si>
  <si>
    <t>ВАШ раками</t>
  </si>
  <si>
    <t>Банк номи</t>
  </si>
  <si>
    <t>№</t>
  </si>
  <si>
    <t>Камчиликлар</t>
  </si>
  <si>
    <t>Фоиз ставка</t>
  </si>
  <si>
    <t>(минг сўмда)</t>
  </si>
  <si>
    <t>Ўтган йилги ҳолат</t>
  </si>
  <si>
    <t>Жамғарма суммаси</t>
  </si>
  <si>
    <t>ҳақиқатда ҳисобланган фоиз суммаси</t>
  </si>
  <si>
    <t>ҳисобланиши лозим бўлган фоиз суммаси</t>
  </si>
  <si>
    <t>а</t>
  </si>
  <si>
    <t>б</t>
  </si>
  <si>
    <t>в</t>
  </si>
  <si>
    <t>г</t>
  </si>
  <si>
    <t>д</t>
  </si>
  <si>
    <t>е</t>
  </si>
  <si>
    <t>ё</t>
  </si>
  <si>
    <t>ж</t>
  </si>
  <si>
    <t>Фойда</t>
  </si>
  <si>
    <t>Молиявий ёрдам қайтарилган сана</t>
  </si>
  <si>
    <t>I</t>
  </si>
  <si>
    <t>II</t>
  </si>
  <si>
    <t>а)</t>
  </si>
  <si>
    <t>б)</t>
  </si>
  <si>
    <t>в)</t>
  </si>
  <si>
    <t>г)</t>
  </si>
  <si>
    <t>д)</t>
  </si>
  <si>
    <t>III</t>
  </si>
  <si>
    <t>Операцион харажатлар</t>
  </si>
  <si>
    <t>Транспорт ва сафар харажатлари</t>
  </si>
  <si>
    <t>МФО</t>
  </si>
  <si>
    <t>10-жадвал</t>
  </si>
  <si>
    <t>+; -</t>
  </si>
  <si>
    <t>11-жадвал</t>
  </si>
  <si>
    <t>17-жадвал</t>
  </si>
  <si>
    <t>16-жадвал</t>
  </si>
  <si>
    <t>ВАШ назоратчиси</t>
  </si>
  <si>
    <t>ВАШ кассири</t>
  </si>
  <si>
    <t>МФО:</t>
  </si>
  <si>
    <t>Вилоят номи</t>
  </si>
  <si>
    <t>XIV</t>
  </si>
  <si>
    <t>Омонат тури</t>
  </si>
  <si>
    <t>х</t>
  </si>
  <si>
    <t>2</t>
  </si>
  <si>
    <t>4</t>
  </si>
  <si>
    <t>6</t>
  </si>
  <si>
    <t>7</t>
  </si>
  <si>
    <t>8</t>
  </si>
  <si>
    <t>Сана</t>
  </si>
  <si>
    <t>Ҳужжат номи</t>
  </si>
  <si>
    <t>Пул олувчи ёки пул қўювчи номи</t>
  </si>
  <si>
    <t xml:space="preserve">    Камчилик</t>
  </si>
  <si>
    <t>Изоҳ</t>
  </si>
  <si>
    <t>К О Р Р Е К Т И Р О В К А</t>
  </si>
  <si>
    <t>Баланс ҳисоб рақами</t>
  </si>
  <si>
    <t>3-КАПИТАЛ</t>
  </si>
  <si>
    <t>"Агробанк" ОАТБ Ички аудит</t>
  </si>
  <si>
    <t>Фарқи (+;-)</t>
  </si>
  <si>
    <t>Жами 19921 ҳисобварағи</t>
  </si>
  <si>
    <t>Ҳисобварақ рақами</t>
  </si>
  <si>
    <t>Сабаби</t>
  </si>
  <si>
    <t>24-жадвал</t>
  </si>
  <si>
    <t>Банк  акционерлари номи</t>
  </si>
  <si>
    <t>Тўлов мақсади</t>
  </si>
  <si>
    <t>Кредит бўлими бошлиғи</t>
  </si>
  <si>
    <t>фарқи (+;-)</t>
  </si>
  <si>
    <t xml:space="preserve">   - узоқ муддатли ссудалар</t>
  </si>
  <si>
    <t xml:space="preserve">   - қўшма корхоналарга инвестиция</t>
  </si>
  <si>
    <t xml:space="preserve">   - лизинг</t>
  </si>
  <si>
    <t xml:space="preserve">   - бош офисдан товар материал олиш учун ўтказилган маблағлар</t>
  </si>
  <si>
    <t xml:space="preserve">   - ҳисобланган, лекин ундирилмаган фоизлар</t>
  </si>
  <si>
    <t xml:space="preserve">   - чет эл валюталарининг сўмдаги қиймати</t>
  </si>
  <si>
    <t xml:space="preserve">   - транзит счетлар</t>
  </si>
  <si>
    <t xml:space="preserve">   - давлат ҳисоб рақамлари</t>
  </si>
  <si>
    <t xml:space="preserve">   - бошқа активлар</t>
  </si>
  <si>
    <t xml:space="preserve">   - кассадаги нақд пуллар ва қимматбаҳо металлар</t>
  </si>
  <si>
    <t xml:space="preserve">    - мажбурий заҳира фондидаги маблағлар</t>
  </si>
  <si>
    <t xml:space="preserve">    - йўлдаги пуллар</t>
  </si>
  <si>
    <t xml:space="preserve">   - ягона вакиллик ҳисобварағидаги маблағлар</t>
  </si>
  <si>
    <t>Аудит ходими лавозими</t>
  </si>
  <si>
    <t>Бош бухгалтери:</t>
  </si>
  <si>
    <t>Аммортизация ажратмаси</t>
  </si>
  <si>
    <t>ўзгариш</t>
  </si>
  <si>
    <t>ҳисобдан чиқиши</t>
  </si>
  <si>
    <t>кирими</t>
  </si>
  <si>
    <t>Соф баланс қолдиғи</t>
  </si>
  <si>
    <t>Асосий воситалар ҳаракати</t>
  </si>
  <si>
    <t>Т\р</t>
  </si>
  <si>
    <t>Мебел ва қурилма</t>
  </si>
  <si>
    <t>фарқи  (+;-)</t>
  </si>
  <si>
    <t>Талаб қилиб олингунча депозитлар</t>
  </si>
  <si>
    <t>Шундан жисмоний шахсларнинг талаб қилиб олгунча депозитлари</t>
  </si>
  <si>
    <t>Жамғарма депозитлар</t>
  </si>
  <si>
    <t>Шундан жисмоний шахсларнинг жамғарма депозитлари</t>
  </si>
  <si>
    <t>Шундан жисмоний шахсларнинг муддатли депозитлари</t>
  </si>
  <si>
    <t>Бошқа банкларга тўланиши лозим бўлган маблағлар</t>
  </si>
  <si>
    <t>Олинган қисқа ва узоқ муддатли ссудалар</t>
  </si>
  <si>
    <t>Лизинг тўловлари бўйича мажбуриятлар</t>
  </si>
  <si>
    <t>Бошқа банк(филиаллар)га тўланган маблағлар</t>
  </si>
  <si>
    <t>Мажбуриятлар бўйича ҳисобланган фоизлар</t>
  </si>
  <si>
    <t>Тўлаш учун ҳисобланган солиқлар</t>
  </si>
  <si>
    <t>Мижозларнинг бошқа депозитлари</t>
  </si>
  <si>
    <t>Ҳукуматга тегишли даромад  ва бошқа тушумлар</t>
  </si>
  <si>
    <t>Чиқарилган жамғарма сертификатлари</t>
  </si>
  <si>
    <t>Бошқа мажбуриятлар</t>
  </si>
  <si>
    <t>Омонатчининг  И.Ш.Ф.си</t>
  </si>
  <si>
    <t>Маблағ қабул қилинган сана</t>
  </si>
  <si>
    <t>белгиланган фоиз стафкаси</t>
  </si>
  <si>
    <t>И</t>
  </si>
  <si>
    <t>белгиланган фоиз ставкаси</t>
  </si>
  <si>
    <t>ҳисобланиши керак бўлган фоиз суммаси</t>
  </si>
  <si>
    <t>фарқи</t>
  </si>
  <si>
    <t xml:space="preserve">М А Ъ Л У М О Т </t>
  </si>
  <si>
    <t>Қўшимча капитал</t>
  </si>
  <si>
    <t>Заҳира капитали</t>
  </si>
  <si>
    <t>Тақсимланмаган фойда</t>
  </si>
  <si>
    <t xml:space="preserve">А </t>
  </si>
  <si>
    <t>Шундан:</t>
  </si>
  <si>
    <t>A</t>
  </si>
  <si>
    <t>Ўтган йилга нисбатан фарқи (+;-)</t>
  </si>
  <si>
    <t>Сметага нисбатан фарқи  (+;-)</t>
  </si>
  <si>
    <t>Иш  хақи</t>
  </si>
  <si>
    <t>Ижара ва сақлаш харажати</t>
  </si>
  <si>
    <t>Тақдимот ва хайрия</t>
  </si>
  <si>
    <t>Суғурта, солиқ ва бошқа хар.</t>
  </si>
  <si>
    <t>Келгуси  зарарларни баҳолаш</t>
  </si>
  <si>
    <t>Даромад  солиғи</t>
  </si>
  <si>
    <t>Ҳисобланган, лекин ундирилмаган фоиз ва хизматлар</t>
  </si>
  <si>
    <t>Харажатнинг даромаддаги улуши</t>
  </si>
  <si>
    <t>1</t>
  </si>
  <si>
    <t>5</t>
  </si>
  <si>
    <t>Маблағ ўтказилган ҳисоб рақам номи</t>
  </si>
  <si>
    <t>Ҳисоб рақам</t>
  </si>
  <si>
    <t>Маблағ ўтган ташкилот</t>
  </si>
  <si>
    <t>Ҳисоб рақами</t>
  </si>
  <si>
    <t>Аниқланган камчиликлар</t>
  </si>
  <si>
    <t>(сўмда)</t>
  </si>
  <si>
    <t xml:space="preserve">Б </t>
  </si>
  <si>
    <t>Ўлчов бирлиги</t>
  </si>
  <si>
    <t>баҳоси</t>
  </si>
  <si>
    <t>жами суммаси</t>
  </si>
  <si>
    <t>Фарқи</t>
  </si>
  <si>
    <t>МАЪЛУМОТ</t>
  </si>
  <si>
    <t>Банк филиалининг номи</t>
  </si>
  <si>
    <t>Фоиз хисобланган кун</t>
  </si>
  <si>
    <t>Бир кунлик фоиз суммаси</t>
  </si>
  <si>
    <t>Фарқи                 (+;-)</t>
  </si>
  <si>
    <t xml:space="preserve">Мижоз номи </t>
  </si>
  <si>
    <t xml:space="preserve">Сотилган акция </t>
  </si>
  <si>
    <t>Дивидент</t>
  </si>
  <si>
    <t>ҳисобланган</t>
  </si>
  <si>
    <t>фарқи (+; -)</t>
  </si>
  <si>
    <t>тури</t>
  </si>
  <si>
    <t>акционерларга тўланган</t>
  </si>
  <si>
    <t>14301</t>
  </si>
  <si>
    <t>15701</t>
  </si>
  <si>
    <t>15799</t>
  </si>
  <si>
    <t>16601</t>
  </si>
  <si>
    <t>16605</t>
  </si>
  <si>
    <t>19910</t>
  </si>
  <si>
    <t>19931</t>
  </si>
  <si>
    <t>19995</t>
  </si>
  <si>
    <t>22004</t>
  </si>
  <si>
    <t>22205</t>
  </si>
  <si>
    <t>22409</t>
  </si>
  <si>
    <t>22512</t>
  </si>
  <si>
    <t>23208</t>
  </si>
  <si>
    <t>23216</t>
  </si>
  <si>
    <t>23228</t>
  </si>
  <si>
    <t>29810</t>
  </si>
  <si>
    <t>44701</t>
  </si>
  <si>
    <t>54111</t>
  </si>
  <si>
    <t>56610</t>
  </si>
  <si>
    <t>56618</t>
  </si>
  <si>
    <t>90412</t>
  </si>
  <si>
    <t>….бошқа ҳисоб рақамдан ўтказилган</t>
  </si>
  <si>
    <t>22010</t>
  </si>
  <si>
    <t>2011 йилда аниқланган камчиликлар сони</t>
  </si>
  <si>
    <t>ШТУКА</t>
  </si>
  <si>
    <t>Гулистон Мадад Қурилиш ХК</t>
  </si>
  <si>
    <t>05,03,11</t>
  </si>
  <si>
    <t>4 кунга кечиктирилган</t>
  </si>
  <si>
    <t>10,03,11</t>
  </si>
  <si>
    <t>21 кунга кечиктирилган</t>
  </si>
  <si>
    <t>31,03,11</t>
  </si>
  <si>
    <t>21,04,11</t>
  </si>
  <si>
    <t>04,05,11</t>
  </si>
  <si>
    <t>07,05,11</t>
  </si>
  <si>
    <t>11,05,11</t>
  </si>
  <si>
    <t>13,05,11</t>
  </si>
  <si>
    <t>12 кунга кечиктирилган</t>
  </si>
  <si>
    <t>25,05,11</t>
  </si>
  <si>
    <t>25,06,11</t>
  </si>
  <si>
    <t>11 кунга кечиктирилган</t>
  </si>
  <si>
    <t>06,07,11</t>
  </si>
  <si>
    <t>08,07,11</t>
  </si>
  <si>
    <t>Рамазон-Сервис ХФ</t>
  </si>
  <si>
    <t>15 кунга кечиктирилган</t>
  </si>
  <si>
    <t>25,02,11</t>
  </si>
  <si>
    <t>02,03,11</t>
  </si>
  <si>
    <t>7 кунга кечиктирилган</t>
  </si>
  <si>
    <t>04,03,11</t>
  </si>
  <si>
    <t>9 кунга кечиктирилган</t>
  </si>
  <si>
    <t>09,03,11</t>
  </si>
  <si>
    <t>14 кунга кечиктирилган</t>
  </si>
  <si>
    <t>Расул Диёр Хамкор ХК</t>
  </si>
  <si>
    <t>27,08,11</t>
  </si>
  <si>
    <t>1 кунга кечиктирилган</t>
  </si>
  <si>
    <t>05,09,11</t>
  </si>
  <si>
    <t>10 кунга кечиктирилган</t>
  </si>
  <si>
    <t>15,09,11</t>
  </si>
  <si>
    <t>20 кунга кечиктирилган</t>
  </si>
  <si>
    <t>Рауф-Рахмон Хамкор ХК</t>
  </si>
  <si>
    <t>17,05,11</t>
  </si>
  <si>
    <t>18,05,11</t>
  </si>
  <si>
    <t>19,05,11</t>
  </si>
  <si>
    <t>20,05,11</t>
  </si>
  <si>
    <t>13 кунга кечиктирилган</t>
  </si>
  <si>
    <t>194 кунга кечиктирилган</t>
  </si>
  <si>
    <t>Ҳаммаси:</t>
  </si>
  <si>
    <t>20208000004065556001</t>
  </si>
  <si>
    <t>Қоракўл ф\х</t>
  </si>
  <si>
    <t>17.02.2012 й. балансдаги қолдиқ</t>
  </si>
  <si>
    <t>17.02.2012 й. ҳақиқатда        қолдиқ</t>
  </si>
  <si>
    <t>20208000004752636001</t>
  </si>
  <si>
    <t>13199</t>
  </si>
  <si>
    <t>16113</t>
  </si>
  <si>
    <t>42105</t>
  </si>
  <si>
    <t>Якка тартибдаги тадбиркорларга берилган муддати утган кредитлар буйича фоизли даромадлар</t>
  </si>
  <si>
    <t>Умумий фоиз      ( сум)</t>
  </si>
  <si>
    <t>Жами вилоят бўйича</t>
  </si>
  <si>
    <t>"Агробанк" ОАТБнинг Ички Аудит</t>
  </si>
  <si>
    <t>У.Р.Очилов</t>
  </si>
  <si>
    <t>Молиявий ёрдам олинган сана</t>
  </si>
  <si>
    <t>Э.Т.Кўнабоев</t>
  </si>
  <si>
    <t>Лизинг бўйича кам ҳисобланган фоизлар 16323</t>
  </si>
  <si>
    <t>Ҳисобланмаган ёки кам ҳисобланган дисконт 11195</t>
  </si>
  <si>
    <t>Дебет обороти бўйича кам ҳисобланган фоизлар 16401</t>
  </si>
  <si>
    <t>Кредит бўйича кам ҳисобланган фоизлар 16300</t>
  </si>
  <si>
    <t xml:space="preserve">Банк таърифи бўйича олинмаган бошқа даромадлар  </t>
  </si>
  <si>
    <t>Солиққа ортиқча тўланган маблағлар</t>
  </si>
  <si>
    <t>Солиқ имтиёзларидан фойдаланилмаган сумма ва унинг ҳисобидан ортиқча тўланган солиқ 19939</t>
  </si>
  <si>
    <t>Банк ҳисобидан тўланган жарима</t>
  </si>
  <si>
    <t>Бошқа ундирилмаган даромадлар</t>
  </si>
  <si>
    <t>Омонатларга ортиқча ҳисобланган ёки тўланган фоизлар</t>
  </si>
  <si>
    <t>Асосий воситаларга ортиқча тўланган харажатлар</t>
  </si>
  <si>
    <t xml:space="preserve">Ортиқча тўланган дивиденд </t>
  </si>
  <si>
    <t>Хизматлар (сув, электр, инкасса  ва б.) учун ортиқча тўловлар</t>
  </si>
  <si>
    <t xml:space="preserve"> сўмда</t>
  </si>
  <si>
    <t xml:space="preserve">Филиалларга тўланди фоиз </t>
  </si>
  <si>
    <t>Департаменти бош мутахассиси:</t>
  </si>
  <si>
    <t>Департаменти ходимлари:</t>
  </si>
  <si>
    <t>16409</t>
  </si>
  <si>
    <t>Омонат суммаси</t>
  </si>
  <si>
    <t>Омонатчининг  номи</t>
  </si>
  <si>
    <t>Касса мудираси:</t>
  </si>
  <si>
    <t xml:space="preserve">"Хўжалик юритувчи субъектларнинг банклардаги ҳисобварақларидан пул маблағларини ҳисобдан  </t>
  </si>
  <si>
    <t>чиқариш тартиб тўғрисида"ги йўриқнома талабларининг бузилиш ҳолатлари бўйича</t>
  </si>
  <si>
    <t>Ўтган суммаси</t>
  </si>
  <si>
    <t>Ҳисоб рақам номи</t>
  </si>
  <si>
    <t>Аниқланган камчилик</t>
  </si>
  <si>
    <t>Жами:-</t>
  </si>
  <si>
    <t>актив</t>
  </si>
  <si>
    <t>пассив</t>
  </si>
  <si>
    <t>Тузатиш амалиёти</t>
  </si>
  <si>
    <t>Тузатишдан кейинги қолдиқ</t>
  </si>
  <si>
    <t>1-АКТИВЛАР</t>
  </si>
  <si>
    <t>ЖАМИ АКТИВЛАР</t>
  </si>
  <si>
    <t>2-МАЖБУРИЯТЛАР</t>
  </si>
  <si>
    <t>ЖАМИ МАЖБУРИЯТЛАР</t>
  </si>
  <si>
    <t>ЖАМИ КАПИТАЛ</t>
  </si>
  <si>
    <t>4-ДАРОМАДЛАР</t>
  </si>
  <si>
    <t>ЖАМИ ДАРОМАДЛАР</t>
  </si>
  <si>
    <t>5-ХАРАЖАТЛАР</t>
  </si>
  <si>
    <t>ЖАМИ ХАРАЖАТЛАР</t>
  </si>
  <si>
    <t>ЖАМИ БАЛАНС ҲИСОБВАРАҚЛАРИ БЎЙИЧА ҚОЛДИҚ</t>
  </si>
  <si>
    <t>ЖАМИ БАЛАНСДАН ТАШҚАРИ ҲИСОБВАРАҚЛАР БЎЙИЧА ҚОЛДИҚ</t>
  </si>
  <si>
    <t xml:space="preserve">9-БАЛАНСДАН ТАШҚАРИ ҲИСОБВАРАҚЛАР БЎЙИЧА </t>
  </si>
  <si>
    <t>Соф фойда</t>
  </si>
  <si>
    <t>Реал соф фойда (40000-50000=фойда-(16300-16400)= реал соф фойда)</t>
  </si>
  <si>
    <t>Филиалнинг кўрсаткичлари ва муаммоларининг номи</t>
  </si>
  <si>
    <t>Ўзгариш</t>
  </si>
  <si>
    <t>Муддати ўтган кредитлар</t>
  </si>
  <si>
    <t>Балансдан ташқари ҳисобга олинган ссудалар</t>
  </si>
  <si>
    <t xml:space="preserve">Банк харажатлари </t>
  </si>
  <si>
    <t>Балансдан ташқари ҳисобларга чиқарилган ссуда фоизлари ва хизмат ҳақлари (91500-ҳисоблари)</t>
  </si>
  <si>
    <t>жами даромад</t>
  </si>
  <si>
    <t>Оч қизил рангли лист</t>
  </si>
  <si>
    <t>Филиалнинг текшириш санасигача бўлган 1 йиллик айланма баланси қўйилади (ҳисоб рақамлар номи ҳамда жами кўрсатилган ҳолда)</t>
  </si>
  <si>
    <t>Текшириш бошланган кундан якунланган кунгача бўлган айланма баланс қўйилади (ҳисоб рақамлар номи ҳамда жами қўрсатилган ҳолда)</t>
  </si>
  <si>
    <t>Итого по Д</t>
  </si>
  <si>
    <t>Итого по Р</t>
  </si>
  <si>
    <t>Бу формула, тегинилмасин!</t>
  </si>
  <si>
    <t>4 жадвалга фақат балансдан чиқарилган ва балансга киритилган асосий воситалар бўйича маълумотлар, 17 жадвалга смета ҳамда 23 жадвалга муддати ўтган ва муаммоли кредитлар бўйича маълумотлар  киритилади. Қолгани тайёр</t>
  </si>
  <si>
    <t>Қўшимча қиймат солиғи</t>
  </si>
  <si>
    <t>Мактаб фондига 0,5%</t>
  </si>
  <si>
    <t>Текшириш давомида</t>
  </si>
  <si>
    <t>--</t>
  </si>
  <si>
    <t>16300-ҳисобланган, муддатида ундирилмаган ссуда фоизлари</t>
  </si>
  <si>
    <t>16400-ҳисобланган, муддатида ундирилмаган хизмат ҳақлари</t>
  </si>
  <si>
    <t xml:space="preserve">   - сўндириш муддатигача сакланадиган карз кимматли когозларга килинган инвестициялар</t>
  </si>
  <si>
    <t>XV</t>
  </si>
  <si>
    <t>XVI</t>
  </si>
  <si>
    <t>Мижозларнинг пластик карталарига ўтказилиши лозим бўлган маблағлари</t>
  </si>
  <si>
    <t>Кредит таъминоти сифатида банк балансига олинган мулклар</t>
  </si>
  <si>
    <t>Берилган кредитлар бўйича муддатли мажбуриятномалар (91800-91900-ҳисоб рақамлари)</t>
  </si>
  <si>
    <t>Берилган кредитлар бўйича гаров ва кафиллик ва кафолатлар (94500-ҳисоб рақамлари)</t>
  </si>
  <si>
    <t>10101</t>
  </si>
  <si>
    <t>Айланма кассадаги накд пуллар</t>
  </si>
  <si>
    <t>10102</t>
  </si>
  <si>
    <t>10103</t>
  </si>
  <si>
    <t>10109</t>
  </si>
  <si>
    <t>Муаммога айланиши мумкин бўлган кредитлар</t>
  </si>
  <si>
    <t>10307</t>
  </si>
  <si>
    <t>Марказий банкдан олиниши лозим булган маблаглар - Накд пуллар</t>
  </si>
  <si>
    <t>11101</t>
  </si>
  <si>
    <t>11103</t>
  </si>
  <si>
    <t>11195</t>
  </si>
  <si>
    <t>12505</t>
  </si>
  <si>
    <t>Жисмоний шахсларга берилган муддати утган кредитлар</t>
  </si>
  <si>
    <t>12605</t>
  </si>
  <si>
    <t>Якка тартибдаги тадбиркорларга берилган муддати утган кредитлар</t>
  </si>
  <si>
    <t>12701</t>
  </si>
  <si>
    <t>13101</t>
  </si>
  <si>
    <t>13105</t>
  </si>
  <si>
    <t>Хусусий корхоналар, хужалик ширкатлари ва жамиятларга берилган муддати утган кредитлар</t>
  </si>
  <si>
    <t>13301</t>
  </si>
  <si>
    <t>14901</t>
  </si>
  <si>
    <t>Жисмоний шахсларга берилган узок муддатли кредитлар</t>
  </si>
  <si>
    <t>14999</t>
  </si>
  <si>
    <t>15001</t>
  </si>
  <si>
    <t>Якка тартибдаги тадбиркорларга берилган узок муддатли кредитлар</t>
  </si>
  <si>
    <t>15501</t>
  </si>
  <si>
    <t>Хусусий корхоналар, хужалик ширкатлари ва жамиятларга берилган узок муддатли кредитлар</t>
  </si>
  <si>
    <t>15599</t>
  </si>
  <si>
    <t>16102</t>
  </si>
  <si>
    <t>16103</t>
  </si>
  <si>
    <t>16309</t>
  </si>
  <si>
    <t>16377</t>
  </si>
  <si>
    <t>16401</t>
  </si>
  <si>
    <t>16509</t>
  </si>
  <si>
    <t>16511</t>
  </si>
  <si>
    <t>16529</t>
  </si>
  <si>
    <t>16531</t>
  </si>
  <si>
    <t>16535</t>
  </si>
  <si>
    <t>Мебель, мослама ва жихозлар</t>
  </si>
  <si>
    <t>16539</t>
  </si>
  <si>
    <t>16541</t>
  </si>
  <si>
    <t>16543</t>
  </si>
  <si>
    <t>16549</t>
  </si>
  <si>
    <t>16551</t>
  </si>
  <si>
    <t>17101</t>
  </si>
  <si>
    <t>17301</t>
  </si>
  <si>
    <t>17305</t>
  </si>
  <si>
    <t>Аникланиш жараёнидаги трансакциялар</t>
  </si>
  <si>
    <t>19903</t>
  </si>
  <si>
    <t>19907</t>
  </si>
  <si>
    <t>19908</t>
  </si>
  <si>
    <t>19909</t>
  </si>
  <si>
    <t>14399</t>
  </si>
  <si>
    <t>15899</t>
  </si>
  <si>
    <t>19934</t>
  </si>
  <si>
    <t>20214</t>
  </si>
  <si>
    <t>20608</t>
  </si>
  <si>
    <t>21602</t>
  </si>
  <si>
    <t>23506</t>
  </si>
  <si>
    <t>29834</t>
  </si>
  <si>
    <t>43601</t>
  </si>
  <si>
    <t>53101</t>
  </si>
  <si>
    <t>90303</t>
  </si>
  <si>
    <t>90955</t>
  </si>
  <si>
    <t>91809</t>
  </si>
  <si>
    <t>94501</t>
  </si>
  <si>
    <t>96305</t>
  </si>
  <si>
    <t>96309</t>
  </si>
  <si>
    <t>96351</t>
  </si>
  <si>
    <t>19921</t>
  </si>
  <si>
    <t>Омбордаги кам бахоли ва тез эскирувчи буюмлар хамда бошка кимматликлар</t>
  </si>
  <si>
    <t>19925</t>
  </si>
  <si>
    <t>Олдиндан туланган харажатлар</t>
  </si>
  <si>
    <t>20204</t>
  </si>
  <si>
    <t>20206</t>
  </si>
  <si>
    <t>Жисмоний шахсларнинг талаб килиб олингунча сакланадиган депозитлари</t>
  </si>
  <si>
    <t>20208</t>
  </si>
  <si>
    <t>20210</t>
  </si>
  <si>
    <t>20212</t>
  </si>
  <si>
    <t>20216</t>
  </si>
  <si>
    <t>20218</t>
  </si>
  <si>
    <t>Якка тартибдаги тадбиркорларнинг талаб килиб олингунча сакланадиган депозитлари</t>
  </si>
  <si>
    <t>20406</t>
  </si>
  <si>
    <t>Жисмоний шахсларнинг жамгарма депозитлари</t>
  </si>
  <si>
    <t>20606</t>
  </si>
  <si>
    <t>Жисмоний шахсларнинг муддатли депозитлари</t>
  </si>
  <si>
    <t>21604</t>
  </si>
  <si>
    <t>22005</t>
  </si>
  <si>
    <t>22203</t>
  </si>
  <si>
    <t>22402</t>
  </si>
  <si>
    <t>22403</t>
  </si>
  <si>
    <t>22405</t>
  </si>
  <si>
    <t>22410</t>
  </si>
  <si>
    <t>22414</t>
  </si>
  <si>
    <t>22504</t>
  </si>
  <si>
    <t>Хисобланган бошка соликлар</t>
  </si>
  <si>
    <t>22506</t>
  </si>
  <si>
    <t>Тулаш учун ушлаб колинган соликлар</t>
  </si>
  <si>
    <t>22510</t>
  </si>
  <si>
    <t>22604</t>
  </si>
  <si>
    <t>22618</t>
  </si>
  <si>
    <t>22620</t>
  </si>
  <si>
    <t>22624</t>
  </si>
  <si>
    <t>22626</t>
  </si>
  <si>
    <t>23106</t>
  </si>
  <si>
    <t>23116</t>
  </si>
  <si>
    <t>23118</t>
  </si>
  <si>
    <t>23120</t>
  </si>
  <si>
    <t>23206</t>
  </si>
  <si>
    <t>23210</t>
  </si>
  <si>
    <t>23220</t>
  </si>
  <si>
    <t>23222</t>
  </si>
  <si>
    <t>23226</t>
  </si>
  <si>
    <t>23502</t>
  </si>
  <si>
    <t>23504</t>
  </si>
  <si>
    <t>23508</t>
  </si>
  <si>
    <t>23510</t>
  </si>
  <si>
    <t>23514</t>
  </si>
  <si>
    <t>23602</t>
  </si>
  <si>
    <t>23606</t>
  </si>
  <si>
    <t>29801</t>
  </si>
  <si>
    <t>Мижозлар билан хисоб-китоблар</t>
  </si>
  <si>
    <t>29802</t>
  </si>
  <si>
    <t>29803</t>
  </si>
  <si>
    <t>29804</t>
  </si>
  <si>
    <t>29814</t>
  </si>
  <si>
    <t>29822</t>
  </si>
  <si>
    <t>29824</t>
  </si>
  <si>
    <t>29842</t>
  </si>
  <si>
    <t>29896</t>
  </si>
  <si>
    <t>Бошка мажбуриятлар</t>
  </si>
  <si>
    <t>30315</t>
  </si>
  <si>
    <t>30318</t>
  </si>
  <si>
    <t>30603</t>
  </si>
  <si>
    <t>30903</t>
  </si>
  <si>
    <t>30904</t>
  </si>
  <si>
    <t>30908</t>
  </si>
  <si>
    <t>Бошлангич кийматга нисбатан бахолаш кийматининг ошган микдори</t>
  </si>
  <si>
    <t>31203</t>
  </si>
  <si>
    <t>Таксимланмаган фойда (актив-пассив)</t>
  </si>
  <si>
    <t>31206</t>
  </si>
  <si>
    <t>Соф фойда (зарар) (актив-пассив)</t>
  </si>
  <si>
    <t>42005</t>
  </si>
  <si>
    <t>Жисмоний шахсларга берилган муддати утган кредитлар буйича фоизли даромадлар</t>
  </si>
  <si>
    <t>42201</t>
  </si>
  <si>
    <t>42205</t>
  </si>
  <si>
    <t>42601</t>
  </si>
  <si>
    <t>42605</t>
  </si>
  <si>
    <t>44101</t>
  </si>
  <si>
    <t>Якка тартибдаги тадбиркорларга берилган узок муддатли кредитлар буйича фоизли даромадлар</t>
  </si>
  <si>
    <t>44301</t>
  </si>
  <si>
    <t>Жисмоний шахсларга берилган узок муддатли кредитлар буйича фоизли даромадлар</t>
  </si>
  <si>
    <t>44401</t>
  </si>
  <si>
    <t>44601</t>
  </si>
  <si>
    <t>44905</t>
  </si>
  <si>
    <t>45217</t>
  </si>
  <si>
    <t>45249</t>
  </si>
  <si>
    <t>45253</t>
  </si>
  <si>
    <t>14305</t>
  </si>
  <si>
    <t>15813</t>
  </si>
  <si>
    <t>17515</t>
  </si>
  <si>
    <t>20203</t>
  </si>
  <si>
    <t>16101</t>
  </si>
  <si>
    <t>21012</t>
  </si>
  <si>
    <t>22212</t>
  </si>
  <si>
    <t>22214</t>
  </si>
  <si>
    <t>Берилган кредитлар ва лизинглар буйича хисобланган фоизлар</t>
  </si>
  <si>
    <t>2.1-жадвал</t>
  </si>
  <si>
    <t>Адлия Вазирлигида 2012 йил 15 мартда 2342-сон билан рўйхатга олинган</t>
  </si>
  <si>
    <t xml:space="preserve">ОКО модулига фоиз ставкаси кам киритилган </t>
  </si>
  <si>
    <t>Ғ.Ж.Мавлонов</t>
  </si>
  <si>
    <t xml:space="preserve">                         (сўмда)</t>
  </si>
  <si>
    <t>Тўлов ҳужжати рақами №</t>
  </si>
  <si>
    <t>Мижознинг тўлов ўтган ҳисоб рақами</t>
  </si>
  <si>
    <t>Маблағ олувчи</t>
  </si>
  <si>
    <t>Тўлов топшириқномаси мавжуд эмас</t>
  </si>
  <si>
    <t>22812</t>
  </si>
  <si>
    <t>23102</t>
  </si>
  <si>
    <t>Банк хизматчилари учун килинган бошка харажатлар</t>
  </si>
  <si>
    <t>Департаменти бўлими бош мутахассиси:</t>
  </si>
  <si>
    <t>Батош филиали бўйича жами:</t>
  </si>
  <si>
    <t>3</t>
  </si>
  <si>
    <t>76</t>
  </si>
  <si>
    <t>Ҳудудий</t>
  </si>
  <si>
    <t>А.Х.Бўронов</t>
  </si>
  <si>
    <t>У.Б.Тўрақулов</t>
  </si>
  <si>
    <t>2013 йил 1 июн холатига колдик</t>
  </si>
  <si>
    <t>Сурхондарё вилоят бошқармаси</t>
  </si>
  <si>
    <t>Ҳудудий филиал бошқарувчиси:</t>
  </si>
  <si>
    <t>"Агробанк" ОАТБ Ички аудит Департаменти ходимлари томонидан Сурхондарё вилоят бошқармаси Ҳудудий филиалида</t>
  </si>
  <si>
    <t>2013 йил 1 июн ҳолатига ўтказилган ички аудит текшируви даврида кўрсатилган амалий ёрдам тўғрисида</t>
  </si>
  <si>
    <t>Текшириш бошланган санага қолдиқ  (06.06.2013)</t>
  </si>
  <si>
    <t>Текшириш тугаган санага қолдиқ (26.06.2013)</t>
  </si>
  <si>
    <t>7-жадвал</t>
  </si>
  <si>
    <t>ДАЛОЛАТНОМАСИ</t>
  </si>
  <si>
    <t xml:space="preserve"> 11 июн 2013 йил</t>
  </si>
  <si>
    <t>Текшириш жараёнида қайд этилди:</t>
  </si>
  <si>
    <t>1. Миллий валютада</t>
  </si>
  <si>
    <t>Банк кассасидан олинган бўнак</t>
  </si>
  <si>
    <t>Кун давомида текшириш вақтигача бўлган операция</t>
  </si>
  <si>
    <t>Текшириш вақтида мавжуд сумма</t>
  </si>
  <si>
    <t xml:space="preserve">Олинган </t>
  </si>
  <si>
    <t>Ишлатилган</t>
  </si>
  <si>
    <t xml:space="preserve">2. Накд хорижий валюта </t>
  </si>
  <si>
    <t>Текшириш вақтида мавжуд чет эл валютаси</t>
  </si>
  <si>
    <t>3. Катъий хисобда турувчи бланклар</t>
  </si>
  <si>
    <t>Форма №</t>
  </si>
  <si>
    <t>Қатъий ҳисобда турувчи бланкалар</t>
  </si>
  <si>
    <t>Текширув охирида мавжуд бўлган бланкалар</t>
  </si>
  <si>
    <t>Олинган</t>
  </si>
  <si>
    <t xml:space="preserve">Ишлатилган </t>
  </si>
  <si>
    <t>Бузилган</t>
  </si>
  <si>
    <t>09002</t>
  </si>
  <si>
    <t>09007</t>
  </si>
  <si>
    <t>Қатъий ҳисобда турувчи бланкалар ва моддий бойликларни сақлаш  қоидаларига  амал қилиниши, реестрларни ўз вақтида ва тўғри тўлдирилиши, № 09002 ва № 09007  шаклдаги  маълумотнома  ва  бошқа   ҳужжатларни   тузилишининг  тўғрилиги:</t>
  </si>
  <si>
    <t>№09002 ва №09007-шакл бланкалар текшириш кунига ВАШ да мавжудлиги аниқланди. Чет эл валюталарини сотиш ва сотиб олишда фойдаланиладиган №09002 ва №09007-шакл сертификат бланкалари лотин алифбосида  компютерда тўлдирилган.</t>
  </si>
  <si>
    <t>Валюта айирбошлаш шахобчасининг  Ўзбекистон  Республикаси   Марказий  банки томонидан   тасдиқланган  2002  йил  21  февралдаги   № 505-сонли "Валюта айирбошлаш шахобчаси тўғрисида"ги   Низом    талабларига    мувофиқлиги:</t>
  </si>
  <si>
    <t>Жихоз ва талаблар</t>
  </si>
  <si>
    <t>Изох</t>
  </si>
  <si>
    <t>Компъютер</t>
  </si>
  <si>
    <t>Принтер</t>
  </si>
  <si>
    <t>Калькулятор</t>
  </si>
  <si>
    <t>Пул санаш машинкаси</t>
  </si>
  <si>
    <t>Детектор</t>
  </si>
  <si>
    <t>Телефон тармоғи</t>
  </si>
  <si>
    <t xml:space="preserve">Икки ярусли темир сейф </t>
  </si>
  <si>
    <t>Ўт ўчириш системаси</t>
  </si>
  <si>
    <t>Фавқулотта ҳолат ташвиш тугмачаси</t>
  </si>
  <si>
    <t>VPN Client  дастури</t>
  </si>
  <si>
    <t>Мижозлар учун маълумот пештахтаси</t>
  </si>
  <si>
    <t>Меъёрий ҳужжатлар тўплами</t>
  </si>
  <si>
    <t>Кассир ва назоратчининг исми ва лавозими кўрсатилган штамп ва гувоҳномалари</t>
  </si>
  <si>
    <t>Валюта айирбошлаш шахобчаси штампи</t>
  </si>
  <si>
    <t>Валюта айирбошлаш шахобчасининг Ўзбекистон Республикаси Марказий банкидан рўйхатдан ўтганлиги тўғрисида, ҳамда гувоҳноманинг нотариал идорасида тасдиқланган нусхаси</t>
  </si>
  <si>
    <t>Йўл чекини ҳисобини юритувчи журнал</t>
  </si>
  <si>
    <t>Нусха кўчириш апарати</t>
  </si>
  <si>
    <t>Текширув натижаси:</t>
  </si>
  <si>
    <t>ВАШ кассири:</t>
  </si>
  <si>
    <t>________</t>
  </si>
  <si>
    <t>09006</t>
  </si>
  <si>
    <t>07.02.2013</t>
  </si>
  <si>
    <t>100</t>
  </si>
  <si>
    <t>91</t>
  </si>
  <si>
    <t>90</t>
  </si>
  <si>
    <t>Cурхондонмахсулотлари ОАЖ</t>
  </si>
  <si>
    <t>12701000000193989093</t>
  </si>
  <si>
    <t>Сурхондарё ТехПД</t>
  </si>
  <si>
    <t>Кизирик автохизмат МЧЖ</t>
  </si>
  <si>
    <t>'ООО Прогрес Азия Ангор'</t>
  </si>
  <si>
    <t>Айланма маблагни тулдириш учун олинган кредит хисобидан 2012 йил шартномага асосан темир йул хизмати  учун тулов</t>
  </si>
  <si>
    <t>Айланма маблагни тулдириш учун олинган кредит хисобидан 2012 йил 01.02 шартномага асосан автоулов хизмати учун тулов</t>
  </si>
  <si>
    <t>Айланма маблагни тулдириш учун олинган кредит хисобидан 2012 йил шартномага асосан курилиш ишлари учун тулов</t>
  </si>
  <si>
    <t>25.02.2013</t>
  </si>
  <si>
    <t>Ашур Жалил ф/х</t>
  </si>
  <si>
    <t>13101000104328639006</t>
  </si>
  <si>
    <t>Термиз туманлараро Агрокиметаъминот базаси</t>
  </si>
  <si>
    <t>Галла 2013 йил хосилини кушимча минерал угит олиш учун тулов</t>
  </si>
  <si>
    <t>Хаитмуродбобо ф\х</t>
  </si>
  <si>
    <t>13101000204234250017</t>
  </si>
  <si>
    <t>Хужа Ф/Х</t>
  </si>
  <si>
    <t>13101000404037931012</t>
  </si>
  <si>
    <t>Сурхон ф\х</t>
  </si>
  <si>
    <t>13101000404115695015</t>
  </si>
  <si>
    <t>11.04.2013</t>
  </si>
  <si>
    <t>791, 816 ва 817</t>
  </si>
  <si>
    <t>Сурхонпахтасаноат ХАБ</t>
  </si>
  <si>
    <t>12701000900427048085</t>
  </si>
  <si>
    <t>Узпахтасаноат уюшмаси</t>
  </si>
  <si>
    <t>Олинган кредит хисобидан моддий техника таъминоти ресурслари учун тулов</t>
  </si>
  <si>
    <t>Тўлов топшириқномалари мавжуд эмас 3 та холатда</t>
  </si>
  <si>
    <t>19.10.2012</t>
  </si>
  <si>
    <t>914 дан 920 гача</t>
  </si>
  <si>
    <t>15101000900193989015</t>
  </si>
  <si>
    <t>OOO DONMAHSULOTPLAST</t>
  </si>
  <si>
    <t>Оинган кредит хисобидан 14.04.2012 йилдаги № В/04 шартномага асосан WACHTEL CAMPAKT 1/10 маркали нон печи олиш учун тулов.</t>
  </si>
  <si>
    <t>7 та холатда Тўлов топшириқномаси мавжуд эмас</t>
  </si>
  <si>
    <t>Иброхим Термизий ф\х</t>
  </si>
  <si>
    <t>13101000004949272002</t>
  </si>
  <si>
    <t>Шартномга асосан  2013 йил галла хосилини озукаси учун калийли ва фосфорли минерал угит олиш учун тулов</t>
  </si>
  <si>
    <t>88</t>
  </si>
  <si>
    <t>Давлатов Асадбек ф\х</t>
  </si>
  <si>
    <t>13101000104578335010</t>
  </si>
  <si>
    <t>Камол Мехнатобод ф\х</t>
  </si>
  <si>
    <t>78</t>
  </si>
  <si>
    <t>13101000404952110002</t>
  </si>
  <si>
    <t>15001000704063472003</t>
  </si>
  <si>
    <t>14.08.2012</t>
  </si>
  <si>
    <t>ЯТТ МАМАСАИДОВА ДИЛАФРУЗ ЙУЛДОШЕВНА</t>
  </si>
  <si>
    <t>ООО "ELEKTRON O'LCHASH USKUNALSRI"</t>
  </si>
  <si>
    <t>30.07.2012 йилдаги №52-сонли шартномага а-н  АСКУЭ тизимига утиш учун тулов</t>
  </si>
  <si>
    <t>ООО TASHKENT GREAT</t>
  </si>
  <si>
    <t>10.08.2012 йилдаги №10/08-сонли шартномага а-н миллий ширинликлар нон ишлаб чикариш учун ускуна сотиб олиш учун</t>
  </si>
  <si>
    <t xml:space="preserve">Тўлов топшириқномасида сана куйилмаган, топширикномага ижрочи ва назоратчи ходимларнинг имзолари хамда банкнинг турт бурчак мухри куйилмаган </t>
  </si>
  <si>
    <t>08.08.2012</t>
  </si>
  <si>
    <t>Termiz Obod Ko'kllam хусусий уй жой мулкдорлар ширкати</t>
  </si>
  <si>
    <t>15201000504916277001</t>
  </si>
  <si>
    <t>Элбек Термиз Сервис ПБТ МЧЖ</t>
  </si>
  <si>
    <t>..06.08.2012 йилдаги № 1/06-08-сонли шартномага асосан 6-дона темир эшик олиш учун утказилди.</t>
  </si>
  <si>
    <t>10.08.2012</t>
  </si>
  <si>
    <t>2129</t>
  </si>
  <si>
    <t>12701000100427048037</t>
  </si>
  <si>
    <t>Узпахтасаноат</t>
  </si>
  <si>
    <t>Айланма маблаг тулдириш учун олинган тиж. кре. хисобидан  моддий техника  ресурслари учун тулов 100%</t>
  </si>
  <si>
    <t>Сурхондаре вилоят кишлокхужаликкиме ОАЖ</t>
  </si>
  <si>
    <t>386</t>
  </si>
  <si>
    <t>29.12.2012</t>
  </si>
  <si>
    <t>12701000800427037021</t>
  </si>
  <si>
    <t>С В Кишлокхужаликкиме оаж</t>
  </si>
  <si>
    <t>Айланма маблагларини тулдириш учун</t>
  </si>
  <si>
    <t>Иброхим Термизий ф/х</t>
  </si>
  <si>
    <t>28</t>
  </si>
  <si>
    <t>15501000604949272001</t>
  </si>
  <si>
    <t>ЯТТ Худойбердиев Фуркат Ибрагимович</t>
  </si>
  <si>
    <t>.17.12.2012 йилдаги 17/12-сон шарт-га а-н кишлок хужалиг техникасига култеватция сотиб олиш учун</t>
  </si>
  <si>
    <t>15501000904115695006</t>
  </si>
  <si>
    <t>02.11.2012</t>
  </si>
  <si>
    <t>73</t>
  </si>
  <si>
    <t>2012 й. 20 октябрдаги 20/10-1 шартномага асосан МТЗ 80 трактори олиш учун тулов</t>
  </si>
  <si>
    <t>Шарбатбиби фх</t>
  </si>
  <si>
    <t>31.01.2013</t>
  </si>
  <si>
    <t>Шавкатжон Мехрузахон Термиз хусусий корхонаси</t>
  </si>
  <si>
    <t>2012 йил  20/12 сонли шартномага асосан кишлок хужалиги техникасига прецеп сотиб олиш учун утказилди</t>
  </si>
  <si>
    <t>06.09.2012</t>
  </si>
  <si>
    <t>ЯТТ  Хамракулов Фаридун Умедович</t>
  </si>
  <si>
    <t xml:space="preserve">15001000704992946002 </t>
  </si>
  <si>
    <t>OOO PRONTO BULDING SERVICE</t>
  </si>
  <si>
    <t>2012 йил 28 августдаги № 577 сонли шаротномага асосан Алюмин профил ва ускина сотиб олиш учун утказилди</t>
  </si>
  <si>
    <t>24.10.2012</t>
  </si>
  <si>
    <t>20210000900193989001</t>
  </si>
  <si>
    <t>940</t>
  </si>
  <si>
    <t>933</t>
  </si>
  <si>
    <t>932</t>
  </si>
  <si>
    <t>Сурхондарёдонмахсулотлари АЖ СПК маблаглари</t>
  </si>
  <si>
    <t>Севинч Сабина Файз МЧЖ</t>
  </si>
  <si>
    <t>Бронга асосан Умбаров Уткир Ваитовичнинг 2012 й. август сентябр ойи иш хаки ПК.га утказилди</t>
  </si>
  <si>
    <t>5% зарурий эхтиёж хисобидан 2010 йилдаги шартномага асосан брокерлик хизмати учун тулов</t>
  </si>
  <si>
    <t xml:space="preserve">Тўлов топшириқномаларида Доннинг бош бухгалтери имзоси мавжуд эмас </t>
  </si>
  <si>
    <t>20210000800427048001</t>
  </si>
  <si>
    <t>3275</t>
  </si>
  <si>
    <t>3280</t>
  </si>
  <si>
    <t>3276</t>
  </si>
  <si>
    <t xml:space="preserve">Пахтсаноатсотиш ХАБнинг СПК маблаглари             </t>
  </si>
  <si>
    <t>Сурхондарё Пахтасаноат ХАБ</t>
  </si>
  <si>
    <t>Турон хиссадорлик жамияти</t>
  </si>
  <si>
    <t>Бирлашма ходимлари Исломов А 500 минг сум Бегимов Б 500 м с Жураев Т 500 м с Кулбоев А 500 мс хизмат сафари харажати ПКга утказилд</t>
  </si>
  <si>
    <t>Иктисод килинган маблаг хисобидан махсус хисоб ракамга утказилди</t>
  </si>
  <si>
    <t>Ортилган пахта толаси хисобидан солик тулови учун устама ва жаримадан ташкари</t>
  </si>
  <si>
    <t>хар бири 1000000000 сумдан</t>
  </si>
  <si>
    <t>Бартараф этилди</t>
  </si>
  <si>
    <t>10511</t>
  </si>
  <si>
    <t>16111</t>
  </si>
  <si>
    <t>17401</t>
  </si>
  <si>
    <t>19997</t>
  </si>
  <si>
    <t>22617</t>
  </si>
  <si>
    <t>Ш.А.Игамназаров</t>
  </si>
  <si>
    <t>С.Р.Юсупов</t>
  </si>
  <si>
    <t>"Агробанк" ОАТБнинг Жиззах вилоят бошқармаси Жиззах филиалида тикилган кунлик бухгатерия ҳужжатлари йиғмажилдлари ва унга тикилган ҳужжатларнинг расмийлаштирилиши бўйича аудит текшируви давомида аниқланган камчиликлар рўйхати</t>
  </si>
  <si>
    <t>"Агробанк" ОАТБ Жиззах вилояти бошқармаси</t>
  </si>
  <si>
    <t>Жиззах филиали бошқарувчиси:</t>
  </si>
  <si>
    <t>Самарқанд Қудуқ Толаси фх</t>
  </si>
  <si>
    <t>Жобборов Тиркаш ктхф</t>
  </si>
  <si>
    <t>Мусобақа Ғолиби фх</t>
  </si>
  <si>
    <t>Комилжон Даласи фх</t>
  </si>
  <si>
    <t>Отабек-Феруза Савдо х\к</t>
  </si>
  <si>
    <t>Солиха Умида фх</t>
  </si>
  <si>
    <t>цуывяч</t>
  </si>
  <si>
    <t>Т.Р</t>
  </si>
  <si>
    <t>Қайтарилган ресурс маблағи</t>
  </si>
  <si>
    <t>Олинган ресурс маблағи</t>
  </si>
  <si>
    <t>Кун якунига колдик сумма</t>
  </si>
  <si>
    <t>Кунлар сони</t>
  </si>
  <si>
    <t>Хисобланиши лозим фоиз суммаси</t>
  </si>
  <si>
    <t>Тўлаб берилган</t>
  </si>
  <si>
    <t>Фарқ(+,-)</t>
  </si>
  <si>
    <t>10111</t>
  </si>
  <si>
    <t>10100</t>
  </si>
  <si>
    <t>10300</t>
  </si>
  <si>
    <t>10500</t>
  </si>
  <si>
    <t>12500</t>
  </si>
  <si>
    <t>12600</t>
  </si>
  <si>
    <t>13100</t>
  </si>
  <si>
    <t>14900</t>
  </si>
  <si>
    <t>15000</t>
  </si>
  <si>
    <t>15500</t>
  </si>
  <si>
    <t>16100</t>
  </si>
  <si>
    <t>16300</t>
  </si>
  <si>
    <t>16413</t>
  </si>
  <si>
    <t>16400</t>
  </si>
  <si>
    <t>Транспорт воситалари</t>
  </si>
  <si>
    <t>16500</t>
  </si>
  <si>
    <t>Валюта позицияси хисобвараклари</t>
  </si>
  <si>
    <t>17100</t>
  </si>
  <si>
    <t>17300</t>
  </si>
  <si>
    <t>17409</t>
  </si>
  <si>
    <t>17400</t>
  </si>
  <si>
    <t>19900</t>
  </si>
  <si>
    <t>АКТИВЛАР</t>
  </si>
  <si>
    <t>2 МАЖБУРИЯТЛАР</t>
  </si>
  <si>
    <t>20200</t>
  </si>
  <si>
    <t>20400</t>
  </si>
  <si>
    <t>20600</t>
  </si>
  <si>
    <t>21000</t>
  </si>
  <si>
    <t>22204</t>
  </si>
  <si>
    <t>22200</t>
  </si>
  <si>
    <t>22400</t>
  </si>
  <si>
    <t>22500</t>
  </si>
  <si>
    <t>22619</t>
  </si>
  <si>
    <t>22628</t>
  </si>
  <si>
    <t>Фукароларнинг шахсий жамгарма пенсия хисобракамидаги маблаглари</t>
  </si>
  <si>
    <t>22600</t>
  </si>
  <si>
    <t>22800</t>
  </si>
  <si>
    <t>23104</t>
  </si>
  <si>
    <t>23100</t>
  </si>
  <si>
    <t>23200</t>
  </si>
  <si>
    <t>23500</t>
  </si>
  <si>
    <t>29848</t>
  </si>
  <si>
    <t>29800</t>
  </si>
  <si>
    <t>МАЖБУРИЯТЛАР</t>
  </si>
  <si>
    <t>3 ХУСУСИЙ КАПИТАЛ</t>
  </si>
  <si>
    <t>30900</t>
  </si>
  <si>
    <t>31200</t>
  </si>
  <si>
    <t>ХУСУСИЙ КАПИТАЛ</t>
  </si>
  <si>
    <t>4 ДАРОМАДЛАР</t>
  </si>
  <si>
    <t>42000</t>
  </si>
  <si>
    <t>42100</t>
  </si>
  <si>
    <t>42600</t>
  </si>
  <si>
    <t>44100</t>
  </si>
  <si>
    <t>44300</t>
  </si>
  <si>
    <t>44600</t>
  </si>
  <si>
    <t>45233</t>
  </si>
  <si>
    <t>Кредитлар буйича воситачилик даромадлари</t>
  </si>
  <si>
    <t>45200</t>
  </si>
  <si>
    <t>"Спот" битими буйича хорижий валюталардаги фойда</t>
  </si>
  <si>
    <t>45400</t>
  </si>
  <si>
    <t>45900</t>
  </si>
  <si>
    <t>ДАРОМАДЛАР</t>
  </si>
  <si>
    <t>5 ХАРАЖАТЛАР</t>
  </si>
  <si>
    <t>50600</t>
  </si>
  <si>
    <t>51100</t>
  </si>
  <si>
    <t>54900</t>
  </si>
  <si>
    <t>55100</t>
  </si>
  <si>
    <t>56100</t>
  </si>
  <si>
    <t>56200</t>
  </si>
  <si>
    <t>56300</t>
  </si>
  <si>
    <t>56400</t>
  </si>
  <si>
    <t>56500</t>
  </si>
  <si>
    <t>56600</t>
  </si>
  <si>
    <t>56700</t>
  </si>
  <si>
    <t>56800</t>
  </si>
  <si>
    <t>ХАРАЖАТЛАР</t>
  </si>
  <si>
    <t>9 КУЗДА ТУТИЛМАГАН ХОЛАТЛАР</t>
  </si>
  <si>
    <t>90400</t>
  </si>
  <si>
    <t>90900</t>
  </si>
  <si>
    <t>91500</t>
  </si>
  <si>
    <t>91900</t>
  </si>
  <si>
    <t>93600</t>
  </si>
  <si>
    <t>94500</t>
  </si>
  <si>
    <t>95400</t>
  </si>
  <si>
    <t>96300</t>
  </si>
  <si>
    <t>КУЗДА ТУТИЛМАГАН ХОЛАТЛАР</t>
  </si>
  <si>
    <t xml:space="preserve">   -Суд жараёнидаги кредитлар ва лизинг</t>
  </si>
  <si>
    <t xml:space="preserve"> -паластик картлардан амалга оширилган туловлар буйича бошка банклардан олинадиган маблаглар</t>
  </si>
  <si>
    <t>А.Норкузиев</t>
  </si>
  <si>
    <t>Тугалланмаган қурилишлар</t>
  </si>
  <si>
    <t>IABS</t>
  </si>
  <si>
    <t>С.Матякубов</t>
  </si>
  <si>
    <t>Х/р</t>
  </si>
  <si>
    <t>Хисоб ракам номи</t>
  </si>
  <si>
    <t>АЙЛАНМАЛАР</t>
  </si>
  <si>
    <t>АКТИВ</t>
  </si>
  <si>
    <t>ПАССИВ</t>
  </si>
  <si>
    <t>ДЕБЕТ</t>
  </si>
  <si>
    <t>КРЕДИТ</t>
  </si>
  <si>
    <t>21.04.15</t>
  </si>
  <si>
    <t>Тошкент шахар Бектимир филиалига берилган ресурси</t>
  </si>
  <si>
    <t>12.02.15</t>
  </si>
  <si>
    <t>24.06.15</t>
  </si>
  <si>
    <t>29.06.15</t>
  </si>
  <si>
    <t>ХАММАСИ</t>
  </si>
  <si>
    <t>Терминаллар ва тулов карталари</t>
  </si>
  <si>
    <t>"Агробанк" ОАТБ нинг  вилоят бошқармаси Ҳудудий филиали томонидан олинган молиявий ёрдам маблаги ва унга ҳисобланган фоизларнинг тўланиши бўйича 2013 йил 1 июн холатига</t>
  </si>
  <si>
    <t>Ягона иштимоий тулов 25%</t>
  </si>
  <si>
    <t>Иззох</t>
  </si>
  <si>
    <t>Январ</t>
  </si>
  <si>
    <t>феврал</t>
  </si>
  <si>
    <t xml:space="preserve">март </t>
  </si>
  <si>
    <t>апрел</t>
  </si>
  <si>
    <t>май</t>
  </si>
  <si>
    <t>июн</t>
  </si>
  <si>
    <t>июл</t>
  </si>
  <si>
    <t>август</t>
  </si>
  <si>
    <t>сентябр</t>
  </si>
  <si>
    <t>октябр</t>
  </si>
  <si>
    <t>ноябр</t>
  </si>
  <si>
    <t>декабр</t>
  </si>
  <si>
    <t>январ</t>
  </si>
  <si>
    <t>март</t>
  </si>
  <si>
    <t>БХ</t>
  </si>
  <si>
    <t>Уникал коди</t>
  </si>
  <si>
    <t>ЖАМИ</t>
  </si>
  <si>
    <t>ДТ "Халқ банк"нинг Ички Аудит</t>
  </si>
  <si>
    <t>Ундирилмасдан қолган маблағ</t>
  </si>
  <si>
    <t xml:space="preserve">Соатов Васлиддин </t>
  </si>
  <si>
    <t>2016 январ иш хаки</t>
  </si>
  <si>
    <t>Кориева Шахноза</t>
  </si>
  <si>
    <t>2016 январ ойи иш хаки табели 16 кун 20 кунга иш хаки хисобланган</t>
  </si>
  <si>
    <t>2016 январ ойи иш хаки табели 16 кун 20 кунга надбавка хисобланган</t>
  </si>
  <si>
    <t>2016 январ ойи иш хаки табели 16 кун 20 кунга выслуга лет хисобланган</t>
  </si>
  <si>
    <t>Рихсиева Саида</t>
  </si>
  <si>
    <t>2016 январ ойи иш хаки табели 15 кун 20 кунга иш хаки хисобланган</t>
  </si>
  <si>
    <t>2016 январ ойи иш хаки табели 15 кун 20 кунга надбавка хисобланган</t>
  </si>
  <si>
    <t>2016 январ ойи иш хаки табели 15 кун 20 кунга выслуга лет хисобланган</t>
  </si>
  <si>
    <t>Халимов Абдуманнон</t>
  </si>
  <si>
    <t>2015 декабр ойи шанба, якшанба табели 1 кун 3 кунга хисобланган</t>
  </si>
  <si>
    <t>Мустафокулов Исроил</t>
  </si>
  <si>
    <t>2015 декабр ойи иш хаки табели 20 кун 22 кунга иш хаки хисобланган</t>
  </si>
  <si>
    <t>2015 декабр ойи иш хаки табели 20 кун 22 кунга надбавка хисобланган</t>
  </si>
  <si>
    <t>2015 декабр ойи иш хаки табели 20 кун 22 кунга выслуга лет хисобланган</t>
  </si>
  <si>
    <t>Абдиев Сардор</t>
  </si>
  <si>
    <t>2015 ноябр ойи шанба якшанба 3 кун иш куни булсада 4 кунга хисобланган</t>
  </si>
  <si>
    <t>Хамроева Нилуфар</t>
  </si>
  <si>
    <t>2015 октябр ойи иш хаки табели 20 кун 21 кунга иш хаки хисобланган</t>
  </si>
  <si>
    <t>Хужаназаров Шахриёр</t>
  </si>
  <si>
    <t>2015 сентябр ойи шанба, якшанба табелда йук лекин хисобланган</t>
  </si>
  <si>
    <t>2015 август ойи иш хаки табели 19 кун 21 кунга иш хаки хисобланган</t>
  </si>
  <si>
    <t>2015 декабр ойи иш хаки табели 19 кун 21 кунга надбавка хисобланган</t>
  </si>
  <si>
    <t xml:space="preserve">Турсунхужаева Насиба </t>
  </si>
  <si>
    <t>2015 август ойи иш хаки табели 16 кун 20 кунга иш хаки хисобланган</t>
  </si>
  <si>
    <t>2015 август ойи иш хаки табели 16 кун 20 кунга надбавка хисобланган</t>
  </si>
  <si>
    <t>2015 август ойи иш хаки табели 16 кун 20 кунга выслуга лет хисобланган</t>
  </si>
  <si>
    <t>Камилова Дилфуза Кабилжановна</t>
  </si>
  <si>
    <t>2015 август ойи иш хаки табели 10 кун 19 кунга иш хаки хисобланган</t>
  </si>
  <si>
    <t>2015 август ойи иш хаки табели 10 кун 19 кунга надбавка хисобланган</t>
  </si>
  <si>
    <t>2015 август ойи иш хаки табели 10 кун 19 кунга выслуга лет хисобланган</t>
  </si>
  <si>
    <t>Муратов Бахтибек Нуралиевич</t>
  </si>
  <si>
    <t>2015 август ойи иш хаки табели 16 кун 21 кунга иш хаки хисобланган</t>
  </si>
  <si>
    <t>2015 август ойи иш хаки табели 16 кун 21 кунга надбавка хисобланган</t>
  </si>
  <si>
    <t>2015 август ойи иш хаки табели 16 кун 21 кунга выслуга лет хисобланган</t>
  </si>
  <si>
    <t>Хушвактова Илхом</t>
  </si>
  <si>
    <t>2015 июл ойи шанба, якшанба табелда йук лекин хисобланган</t>
  </si>
  <si>
    <t>Ритаева(Шерматова) Мафтуна</t>
  </si>
  <si>
    <t>2015 йил 3 ойлик ортикча 2 ёшгача таътили олган</t>
  </si>
  <si>
    <t>Талипова Маъмура Закировна</t>
  </si>
  <si>
    <t>2015 йилда 4 марта моддий ёрдам беринган(2 марта ортикча берилган)</t>
  </si>
  <si>
    <t>Ахунова Наргиза Ботир кизи</t>
  </si>
  <si>
    <t>Ходимнинг ФИШ</t>
  </si>
  <si>
    <t>Ортикча хисобланган маблаг</t>
  </si>
  <si>
    <t>Текшириш давомида кайтариб туланган маблаг</t>
  </si>
  <si>
    <t>Баланс хисоб раками</t>
  </si>
  <si>
    <t>АТ Халк банки Чилонзор филиалида утказилган ички аудит текширувида ходимлар томонидан ортикча олган мехнат хаклари буйича маълумот</t>
  </si>
  <si>
    <t>Г.Каримова</t>
  </si>
  <si>
    <t>1 - Основные счета</t>
  </si>
  <si>
    <t>1 АКТИВЛАР</t>
  </si>
  <si>
    <t>Хусусий корхоналар, хужалик ширкатлари ва жамиятларнинг талаб килиб олингунча сакланадиган депозитлари</t>
  </si>
  <si>
    <t>Хусусий корхоналар, хужалик ширкатлари ва жамиятларга берилган киска муддатли кредитлар буйича фоизли даромадл</t>
  </si>
  <si>
    <t>Хусусий корхоналар, хужалик ширкатлари ва жамиятларга берилган муддати утган кредитлар буйича фоизли даромадла</t>
  </si>
  <si>
    <t>Хусусий корхоналар, хужалик ширкатлари ва жамиятларга берилган узок муддатли кредитлар буйича фоизли даромадла</t>
  </si>
  <si>
    <t>"Спот" битимлари буйича хорижий валюталарда курилган зарарлар</t>
  </si>
  <si>
    <t>55300</t>
  </si>
  <si>
    <t>Департаменти бўлим бошлиғи:</t>
  </si>
  <si>
    <t>ДТ "Халқ банк"нинг Жиззах вилояти филиалида мижозлардан ойлик абонент тeловларини хисобланиши ва ундирилши буйича бўйича маълумот</t>
  </si>
  <si>
    <t>00252797</t>
  </si>
  <si>
    <t>00255041</t>
  </si>
  <si>
    <t>00268724</t>
  </si>
  <si>
    <t>00294738</t>
  </si>
  <si>
    <t>00298068</t>
  </si>
  <si>
    <t>00299893</t>
  </si>
  <si>
    <t>04352777</t>
  </si>
  <si>
    <t>04359000</t>
  </si>
  <si>
    <t>00258107</t>
  </si>
  <si>
    <t>00290290</t>
  </si>
  <si>
    <t>04721465</t>
  </si>
  <si>
    <t>04767059</t>
  </si>
  <si>
    <t>04787575</t>
  </si>
  <si>
    <t>04877067</t>
  </si>
  <si>
    <t>00240424</t>
  </si>
  <si>
    <t>04902249</t>
  </si>
  <si>
    <t>04943627</t>
  </si>
  <si>
    <t>04946503</t>
  </si>
  <si>
    <t>04960423</t>
  </si>
  <si>
    <t>04680109</t>
  </si>
  <si>
    <t>04780246</t>
  </si>
  <si>
    <t>04881598</t>
  </si>
  <si>
    <t>00271938</t>
  </si>
  <si>
    <t>00287381</t>
  </si>
  <si>
    <t>04287813</t>
  </si>
  <si>
    <t>04668617</t>
  </si>
  <si>
    <t>04768782</t>
  </si>
  <si>
    <t>04202843</t>
  </si>
  <si>
    <t>04662092</t>
  </si>
  <si>
    <t>04713981</t>
  </si>
  <si>
    <t>04852372</t>
  </si>
  <si>
    <t>04966319</t>
  </si>
  <si>
    <t>00269826</t>
  </si>
  <si>
    <t>00312114</t>
  </si>
  <si>
    <t>00379149</t>
  </si>
  <si>
    <t>04706107</t>
  </si>
  <si>
    <t>04842463</t>
  </si>
  <si>
    <t>04950772</t>
  </si>
  <si>
    <t>04963108</t>
  </si>
  <si>
    <t>04148607</t>
  </si>
  <si>
    <t>04503679</t>
  </si>
  <si>
    <t>00252979</t>
  </si>
  <si>
    <t>04702555</t>
  </si>
  <si>
    <t>04748581</t>
  </si>
  <si>
    <t>04932668</t>
  </si>
  <si>
    <t>04938134</t>
  </si>
  <si>
    <t>00208829</t>
  </si>
  <si>
    <t>00255635</t>
  </si>
  <si>
    <t>00369222</t>
  </si>
  <si>
    <t>00409158</t>
  </si>
  <si>
    <t>04122009</t>
  </si>
  <si>
    <t>04188351</t>
  </si>
  <si>
    <t>04434785</t>
  </si>
  <si>
    <t>04715738</t>
  </si>
  <si>
    <t>04728262</t>
  </si>
  <si>
    <t>04855539</t>
  </si>
  <si>
    <t>00227505</t>
  </si>
  <si>
    <t>00267959</t>
  </si>
  <si>
    <t>00300956</t>
  </si>
  <si>
    <t>04145381</t>
  </si>
  <si>
    <t>04348484</t>
  </si>
  <si>
    <t>04405147</t>
  </si>
  <si>
    <t>04836229</t>
  </si>
  <si>
    <t>04980506</t>
  </si>
  <si>
    <t>04987755</t>
  </si>
  <si>
    <t>00217328</t>
  </si>
  <si>
    <t>00267605</t>
  </si>
  <si>
    <t>00268896</t>
  </si>
  <si>
    <t>00278717</t>
  </si>
  <si>
    <t>00387255</t>
  </si>
  <si>
    <t>04667395</t>
  </si>
  <si>
    <t>04967280</t>
  </si>
  <si>
    <t>04993948</t>
  </si>
  <si>
    <t>05029087</t>
  </si>
  <si>
    <t>00268891</t>
  </si>
  <si>
    <t>00276806</t>
  </si>
  <si>
    <t>00295740</t>
  </si>
  <si>
    <t>04567573</t>
  </si>
  <si>
    <t>04570336</t>
  </si>
  <si>
    <t>04803299</t>
  </si>
  <si>
    <t>04807842</t>
  </si>
  <si>
    <t>04874757</t>
  </si>
  <si>
    <t>00236930</t>
  </si>
  <si>
    <t>YATT ALIQULOVA ZULAYXO ABDUXALIL QIZI хисобварак а 602874818</t>
  </si>
  <si>
    <t>YATT ALIYEV ZAYNIDDIN OCHILOVICH 602867216</t>
  </si>
  <si>
    <t>ЯТТ Окилов Олим Узганбаевич хисобланган хисобракам 463089620</t>
  </si>
  <si>
    <t>FORISH-NARVON MCHJ Хисобланган бошка фоизсиз даром 302781927</t>
  </si>
  <si>
    <t>YATT ULASHBAYEV AMRULLO ULASHBAY O'G'LI 603045898</t>
  </si>
  <si>
    <t>YATT MANSUROVA IHBOL 603045914</t>
  </si>
  <si>
    <t>КУШ ТЕПА БОКИЙ ХУСУСИЙ КОРХОНАСИ Хисобварак абонте 205197237</t>
  </si>
  <si>
    <t>НУР ва ТИБ МЧЖ Хисобварак абонтент тулв. буй. Хис 205259063</t>
  </si>
  <si>
    <t>YATT QARSHIBOEV TO'LQIN XAITBOEVICH 456500935</t>
  </si>
  <si>
    <t>ХУСУСИЙ ТАДБИРКОР БОСТАТОВА РУХСАТ 477793466</t>
  </si>
  <si>
    <t>Хузуров Норпулат хусусий корхонаси Хисобварак абон 301126933</t>
  </si>
  <si>
    <t>Х.Т Омонликов Фарход хисобварак абонет тулови хис. 412065162</t>
  </si>
  <si>
    <t>Шифобахш Чашма х.к Хисобварак абонтент тулв. буй. 207098034</t>
  </si>
  <si>
    <t>YATT KARIMOV FAZIL NODIRBEKOVICH хисобварак абонет 600983454</t>
  </si>
  <si>
    <t>"Гараша - Пахтакор" масъулияти чекланган жамият Хи 301913405</t>
  </si>
  <si>
    <t>ЯТТ Суванов Уткир Атамуратович хисобварак абонет т 602165654</t>
  </si>
  <si>
    <t>ЯТТ Кадирова Феруза Салибаевна хисобварак абонет т 477742046</t>
  </si>
  <si>
    <t>ЯТТ Миралиева Ольга Валерьевна хисобварак абонет т 602289341</t>
  </si>
  <si>
    <t>УРОЛ-ШЕРБЕК ХК Хисобварак абонтент тулв. буй. Хис 300716824</t>
  </si>
  <si>
    <t>ЯТТ Каршиев Ш.Ш. хисобварак абонет тулови хис. % л 600016524</t>
  </si>
  <si>
    <t>ЯТТ Пакиров Хусан Сориевич хисобварак абонет тулов 454930268</t>
  </si>
  <si>
    <t>YATT TOKABAYEVA SANOBAR XATAMOVNA 601936004</t>
  </si>
  <si>
    <t>YATT DEXQONOV MAMASOLI 602628314</t>
  </si>
  <si>
    <t>ЯТТ Шодманова З. А. хисобварак абонет тулови хис. 459710695</t>
  </si>
  <si>
    <t>Пахтакор Лайло Фарм хусусий корхонаси Хисобварак а 300648649</t>
  </si>
  <si>
    <t>Х Т Турабекова Ойшакар хисобварак абонет тулови хи 601152632</t>
  </si>
  <si>
    <t>Акраб-Бек ХФ Хисобварак абонтент тулв. буй. Хис % 204104486</t>
  </si>
  <si>
    <t>Кумуш кузгу хусусий корхонаси 300635926</t>
  </si>
  <si>
    <t>ЯТТ ОТАЖОНОВА МАХПУЗА ШАМСИЕВНА хисобварак абонет 600832657</t>
  </si>
  <si>
    <t>PAXTAKOR TILSIMI ХУСУСИЙ КОРХОНАСИ Хисобварак абон 301623821</t>
  </si>
  <si>
    <t>ЯТТ Исломов Хуршиджон Убайдуллаевич хисобварак або 488696920</t>
  </si>
  <si>
    <t>ЯТТ Аминханов Сайд лукмонхон ХР абонент тулови 517824080</t>
  </si>
  <si>
    <t>ЯТТ Наврузов Отабек Хисобланган бошка фоизсиз даро 411975771</t>
  </si>
  <si>
    <t>ЯТТ Садуллаев Санжар 495197921</t>
  </si>
  <si>
    <t>RABBI UL MARXAMAT XUSUSIY KORXONASI 300837911</t>
  </si>
  <si>
    <t>Шурик даласи МЧЖ Хисобварак абонтент тулв. буй. Хи 301565482</t>
  </si>
  <si>
    <t>Х Т Холиков Шавкат Бердиевич хисобварак абонет тул 410521016</t>
  </si>
  <si>
    <t>ЯТТ Нормуродов Аллаёр Рахмонович хисобварак абонет 602289405</t>
  </si>
  <si>
    <t>YATT BERDINIYAZOV MUZAFFAR XASANOVICH 445795757</t>
  </si>
  <si>
    <t>Хотира-Темирйул хусусий корхонаси Хисобварак абонт 206413235</t>
  </si>
  <si>
    <t>YATT XAMIDOV UCHQUN ABDUGAFFAROVICH 602245056</t>
  </si>
  <si>
    <t>YATT RAXMATULLAYEV M 600778028</t>
  </si>
  <si>
    <t>Х.Т Байзакова Гулчехра Ахатовна хисобварак абонет 601022137</t>
  </si>
  <si>
    <t>ЯТТ Хушмуратова Шахло Бегмуродова хисобварак абон 601996753</t>
  </si>
  <si>
    <t>Мафтуна-Сабина хусусий корхонаси Хисобварак абонте 302112333</t>
  </si>
  <si>
    <t>YATT DAVEROV ESON TUYMAEVICH хисобварак абонет тул 602639317</t>
  </si>
  <si>
    <t>Paxtakorning baxti 302705647</t>
  </si>
  <si>
    <t>ЯТТ Тулакова Муборак хисобланган бошка фоизсиз дар 506042998</t>
  </si>
  <si>
    <t>Олга Мобиле ХК Хисобланган бошка фоизсиз даромадла 303111738</t>
  </si>
  <si>
    <t>ЯТТ СУВАНОВ АТАМУРАД хисобварак абонет тулови хис. 400858265</t>
  </si>
  <si>
    <t>Х Т Худойназаров Мухиддин хисобварак абонет тулови 447102381</t>
  </si>
  <si>
    <t>ЖИЗЗАХ БАХОРИ МЧЖ Хисобварак абонтент тулв. буй. Х 205783480</t>
  </si>
  <si>
    <t>ХТ Ботирова Озода хисобварак абонет тулови хис. % 600763925</t>
  </si>
  <si>
    <t>ХТ БЕГМАТОВ ШЕРАЛИ РУСТАМОВИЧ хисобварак абонет ту 470158129</t>
  </si>
  <si>
    <t>"Хожиакбар Хайдар" хусусий корхонаси Хисобварак аб 301642538</t>
  </si>
  <si>
    <t>YATT NORMURATOVA MARZIYA BEKTEMIROVNA хисобварак а 602747246</t>
  </si>
  <si>
    <t>ЯТТ Окилов Жасур ХР абонент тулови 453248253</t>
  </si>
  <si>
    <t>Комиссионные обязательства CHASHMA TOMCHI MCHJ 302907617</t>
  </si>
  <si>
    <t>ХТ АШРАПОВА ХОСИЯТ ФАРСАХОНОВНА хисобварак абонет 406715486</t>
  </si>
  <si>
    <t>"Улуг Жамшид" МЧЖ УУХБ Хисобварак абонтент тулв. б 205199051</t>
  </si>
  <si>
    <t>АЗИЗ-ОЙЛ-ЖАХОН ХУСУСИЙ КОРХОНАСИ Хисобварак абонте 205659791</t>
  </si>
  <si>
    <t>Пулат Курилиш инвест МЧЖ Хисобварак абонтент тулв. 301536185</t>
  </si>
  <si>
    <t>YATT JURAEV SHERALI BOZORBOEVICH 602412251</t>
  </si>
  <si>
    <t>"TOZA MARJON SADOSI" hususiy korxonasi Хисобварак 302338289</t>
  </si>
  <si>
    <t>YATT RASULOVA MOHIRA BATIRXANOVNA хисобварак абоне 602659577</t>
  </si>
  <si>
    <t>ЯТТ Шералиев Отабек ХР абонент тулови 515683710</t>
  </si>
  <si>
    <t>ЯТТ Шодмонкулов Илхом 602179597</t>
  </si>
  <si>
    <t>YATT MAMANOV KAMOL ABDUNAZAR O' G' LI 602974273</t>
  </si>
  <si>
    <t>O'ZAGROSUG'URTA DASK (OAJ) PAXTAKOR TUMAN ХР абоне 202155615</t>
  </si>
  <si>
    <t>ХТ Суванов Бахтиёр ХР абоент тулови 444691849</t>
  </si>
  <si>
    <t>ЯТТ УРДУШЕВА САНОБАР ЖАЛОЛОВНА хисобварак абонет т 500626116</t>
  </si>
  <si>
    <t>YATT KAMALOVA FERUZA INATULLAEVNA 601988525</t>
  </si>
  <si>
    <t>ЯТТ СУВАНОВ ЖУРАМУРАТ МАЛИКОВИЧ хисобварак абонет 444692174</t>
  </si>
  <si>
    <t>YATT OQILOV G'AYRAT 453254760</t>
  </si>
  <si>
    <t>"FORISH MAYSASI" XUSUSIY KORXONASI 302809604</t>
  </si>
  <si>
    <t>NAVRO'Z TAOMLARI XUSUSIY KORXONASI 302874184</t>
  </si>
  <si>
    <t>Х Т Абдуалимова Каромат хисобварак абонет тулови х 444709276</t>
  </si>
  <si>
    <t>XT URAKBOEVA ZULFIYA MAMADIYAROVNA Комиссионные об 444598614</t>
  </si>
  <si>
    <t>ЯТТ Ахмедов Дилшод Шералиевич хисобварак абонет ту 480311606</t>
  </si>
  <si>
    <t>"Жахонгирбек-Бобурбек" хусусий корхонаси Хисобвара 301347491</t>
  </si>
  <si>
    <t>Х.Т Сариев Санжар Эшонкулович хисобварак абонет ту 601707184</t>
  </si>
  <si>
    <t>ЯТТ Курбанова Рано Эрйигитовна хисобварак абонет т 602128557</t>
  </si>
  <si>
    <t>00351332</t>
  </si>
  <si>
    <t>04698452</t>
  </si>
  <si>
    <t>05004183</t>
  </si>
  <si>
    <t>04702942</t>
  </si>
  <si>
    <t>04816842</t>
  </si>
  <si>
    <t>00273229</t>
  </si>
  <si>
    <t>00284049</t>
  </si>
  <si>
    <t>YATT NORMURODOV ORIFJON SOBIR O'G'LI 602772106</t>
  </si>
  <si>
    <t>Х Т Эшкуватов Кахрамон Шукурович хисобварак абонет 600755658</t>
  </si>
  <si>
    <t>ЯТТ Седиёров Шерзод Абдумизамович 504077679</t>
  </si>
  <si>
    <t>Х Т Курбонов Хикматулла Мардиевич хисобварак абоне 409561725</t>
  </si>
  <si>
    <t>Зиё-Ислохат адвокатлик фирмаси Хисобварак абонтент 207042128</t>
  </si>
  <si>
    <t>"YONG'INNI OLDINI OLISH SERVIS" SHO'BA KORXONASI 302784337</t>
  </si>
  <si>
    <t>YATT JABBAROV XONDAMIR OYBEK O'G'LI 602986495</t>
  </si>
  <si>
    <t>00420388</t>
  </si>
  <si>
    <t>04974220</t>
  </si>
  <si>
    <t>00294084</t>
  </si>
  <si>
    <t>00269479</t>
  </si>
  <si>
    <t>00402301</t>
  </si>
  <si>
    <t>00410614</t>
  </si>
  <si>
    <t>00379254</t>
  </si>
  <si>
    <t>04665383</t>
  </si>
  <si>
    <t>00217879</t>
  </si>
  <si>
    <t>ЖАХОН ГАЗ СЕРВИС Хисобланган бошка фоизсиз даромад 302909241</t>
  </si>
  <si>
    <t>ЯТТ Абдулхакимов Мамадиёр Алимович хисобварак абон 477702934</t>
  </si>
  <si>
    <t>YAGONA KRISTAL XUSUSIY KORXONASI 302872805</t>
  </si>
  <si>
    <t>ЯТТ Гаппаров Темур ХР абонент тулови 602613659</t>
  </si>
  <si>
    <t>YATT MAXMUDOV JAMSHID Хисобланган бошка фоизсиз да 603235598</t>
  </si>
  <si>
    <t>ЯТТ Муродов Шавкат Маманович 509532457</t>
  </si>
  <si>
    <t>ADHAM-AZIZ МЧЖ Хисобланган бошка фоизсиз даромадла 303021328</t>
  </si>
  <si>
    <t>"Хидирбоев Хайрулла" хусусий корхонаси Хисобварак 300640059</t>
  </si>
  <si>
    <t>YATT BUTAEVA ZAMIRA MARDIEVNA хисобварак абонет ту 602208876</t>
  </si>
  <si>
    <t>00338189</t>
  </si>
  <si>
    <t>04634303</t>
  </si>
  <si>
    <t>05008930</t>
  </si>
  <si>
    <t>04604995</t>
  </si>
  <si>
    <t>00293575</t>
  </si>
  <si>
    <t>00240846</t>
  </si>
  <si>
    <t>00266942</t>
  </si>
  <si>
    <t>00421659</t>
  </si>
  <si>
    <t>04879712</t>
  </si>
  <si>
    <t>00223530</t>
  </si>
  <si>
    <t>00447644</t>
  </si>
  <si>
    <t>04742828</t>
  </si>
  <si>
    <t>04783313</t>
  </si>
  <si>
    <t>04927464</t>
  </si>
  <si>
    <t>YATT BURANOVA ZAYNAB OLIMOVNA 601673704</t>
  </si>
  <si>
    <t>ЯТТ Алиев Хусниддин абонент тулови 600005649</t>
  </si>
  <si>
    <t>ЯТТ Шамшиев Азамат Аслиддин угли хисобварак абонет 602538560</t>
  </si>
  <si>
    <t>МЕХРИБОН САВДО ХУСУСИЙ КОРХОНАСИ Хисобварак абонте 300410597</t>
  </si>
  <si>
    <t>OLMOS TRANS MCHJ 207207062</t>
  </si>
  <si>
    <t>"VISOL GO'' SHASI" МЧЖ Хисобварак абонтент тулв. б 302657723</t>
  </si>
  <si>
    <t>ЯТТ Эшмирзаева Гулзода ХР абонент тулови 477939069</t>
  </si>
  <si>
    <t>ЯТТ Султонова Рухсора Хисобланган бошка фоизсиз да 603010554</t>
  </si>
  <si>
    <t>"PAXTAKOR JIZZAX AGROTEXSERVIS MTP" МЧЖ Хисобварак 301775181</t>
  </si>
  <si>
    <t>NURLI PISTA YOG'I МАСЬУЛИЯТИ ЧЕКЛАНГАН ЖАМИЯТИ 302608704</t>
  </si>
  <si>
    <t>YATT KALMURATOVA GULCHEXRA ERGASHOVNA 601926474</t>
  </si>
  <si>
    <t>Х Т Утамурадова Мукуррам хисобварак абонет тулови 479249965</t>
  </si>
  <si>
    <t>Х Т Норматов Кахрамон хисобварак абонет тулови хис 454930275</t>
  </si>
  <si>
    <t>"ORION CHO'QQISI" маъсулияти чекланган жамият Хисо 207125664</t>
  </si>
  <si>
    <t>03756239</t>
  </si>
  <si>
    <t>03767589</t>
  </si>
  <si>
    <t>04070037</t>
  </si>
  <si>
    <t>04151910</t>
  </si>
  <si>
    <t>04173090</t>
  </si>
  <si>
    <t>04641366</t>
  </si>
  <si>
    <t>00296807</t>
  </si>
  <si>
    <t>05013260</t>
  </si>
  <si>
    <t>05017549</t>
  </si>
  <si>
    <t>05018780</t>
  </si>
  <si>
    <t>05025006</t>
  </si>
  <si>
    <t>04173752</t>
  </si>
  <si>
    <t>00264016</t>
  </si>
  <si>
    <t>04833361</t>
  </si>
  <si>
    <t>04835432</t>
  </si>
  <si>
    <t>05030415</t>
  </si>
  <si>
    <t>00281231</t>
  </si>
  <si>
    <t>04302936</t>
  </si>
  <si>
    <t>00433212</t>
  </si>
  <si>
    <t>00227506</t>
  </si>
  <si>
    <t>00255917</t>
  </si>
  <si>
    <t>04694186</t>
  </si>
  <si>
    <t>04830180</t>
  </si>
  <si>
    <t>04998449</t>
  </si>
  <si>
    <t>00380685</t>
  </si>
  <si>
    <t>00391187</t>
  </si>
  <si>
    <t>03946685</t>
  </si>
  <si>
    <t>00281538</t>
  </si>
  <si>
    <t>00294343</t>
  </si>
  <si>
    <t>00294484</t>
  </si>
  <si>
    <t>00300343</t>
  </si>
  <si>
    <t>04053830</t>
  </si>
  <si>
    <t>00277007</t>
  </si>
  <si>
    <t>00296369</t>
  </si>
  <si>
    <t>05002583</t>
  </si>
  <si>
    <t>03981781</t>
  </si>
  <si>
    <t>04135774</t>
  </si>
  <si>
    <t>04159975</t>
  </si>
  <si>
    <t>03619849</t>
  </si>
  <si>
    <t>04966593</t>
  </si>
  <si>
    <t>05013549</t>
  </si>
  <si>
    <t>05016116</t>
  </si>
  <si>
    <t>05016395</t>
  </si>
  <si>
    <t>05029526</t>
  </si>
  <si>
    <t>00277541</t>
  </si>
  <si>
    <t>00293693</t>
  </si>
  <si>
    <t>04965508</t>
  </si>
  <si>
    <t>05021966</t>
  </si>
  <si>
    <t>00271472</t>
  </si>
  <si>
    <t>00264035</t>
  </si>
  <si>
    <t>00302830</t>
  </si>
  <si>
    <t>00290682</t>
  </si>
  <si>
    <t>00293362</t>
  </si>
  <si>
    <t>00448453</t>
  </si>
  <si>
    <t>00452212</t>
  </si>
  <si>
    <t>00294601</t>
  </si>
  <si>
    <t>00344032</t>
  </si>
  <si>
    <t>00294469</t>
  </si>
  <si>
    <t>04034162</t>
  </si>
  <si>
    <t>04053581</t>
  </si>
  <si>
    <t>04153135</t>
  </si>
  <si>
    <t>04153529</t>
  </si>
  <si>
    <t>04046861</t>
  </si>
  <si>
    <t>04153579</t>
  </si>
  <si>
    <t>04154393</t>
  </si>
  <si>
    <t>04174757</t>
  </si>
  <si>
    <t>03986336</t>
  </si>
  <si>
    <t>04707910</t>
  </si>
  <si>
    <t>04834792</t>
  </si>
  <si>
    <t>04939073</t>
  </si>
  <si>
    <t>04969938</t>
  </si>
  <si>
    <t>05014930</t>
  </si>
  <si>
    <t>04225647</t>
  </si>
  <si>
    <t>04325525</t>
  </si>
  <si>
    <t>04725870</t>
  </si>
  <si>
    <t>00200358</t>
  </si>
  <si>
    <t>00292329</t>
  </si>
  <si>
    <t>00296028</t>
  </si>
  <si>
    <t>00336322</t>
  </si>
  <si>
    <t>00448452</t>
  </si>
  <si>
    <t>04053831</t>
  </si>
  <si>
    <t>04175266</t>
  </si>
  <si>
    <t>04153599</t>
  </si>
  <si>
    <t>04180433</t>
  </si>
  <si>
    <t>04300334</t>
  </si>
  <si>
    <t>04965727</t>
  </si>
  <si>
    <t>05020128</t>
  </si>
  <si>
    <t>04567101</t>
  </si>
  <si>
    <t>04076880</t>
  </si>
  <si>
    <t>00349284</t>
  </si>
  <si>
    <t>00452211</t>
  </si>
  <si>
    <t>04066575</t>
  </si>
  <si>
    <t>04143074</t>
  </si>
  <si>
    <t>05013970</t>
  </si>
  <si>
    <t>05016644</t>
  </si>
  <si>
    <t>04300352</t>
  </si>
  <si>
    <t>04591616</t>
  </si>
  <si>
    <t>04836029</t>
  </si>
  <si>
    <t>05020576</t>
  </si>
  <si>
    <t>00294737</t>
  </si>
  <si>
    <t>04944106</t>
  </si>
  <si>
    <t>05013034</t>
  </si>
  <si>
    <t>04151103</t>
  </si>
  <si>
    <t>04834791</t>
  </si>
  <si>
    <t>05015395</t>
  </si>
  <si>
    <t>05028376</t>
  </si>
  <si>
    <t>05006031</t>
  </si>
  <si>
    <t>03987680</t>
  </si>
  <si>
    <t>04284834</t>
  </si>
  <si>
    <t>04570225</t>
  </si>
  <si>
    <t>00291101</t>
  </si>
  <si>
    <t>04835367</t>
  </si>
  <si>
    <t>04837951</t>
  </si>
  <si>
    <t>04885772</t>
  </si>
  <si>
    <t>04562141</t>
  </si>
  <si>
    <t>04727395</t>
  </si>
  <si>
    <t>05021327</t>
  </si>
  <si>
    <t>05022164</t>
  </si>
  <si>
    <t>00200736</t>
  </si>
  <si>
    <t>00230504</t>
  </si>
  <si>
    <t>05017551</t>
  </si>
  <si>
    <t>00448127</t>
  </si>
  <si>
    <t>04053823</t>
  </si>
  <si>
    <t>04816843</t>
  </si>
  <si>
    <t>04884549</t>
  </si>
  <si>
    <t>05019764</t>
  </si>
  <si>
    <t>00287685</t>
  </si>
  <si>
    <t>Алишер фермер хужалиги 202431439</t>
  </si>
  <si>
    <t>Соли фермер хужалиги 202444936</t>
  </si>
  <si>
    <t>Комиссионные обязательства "ДАВЛАТБЕК JM" ФХ 203343056</t>
  </si>
  <si>
    <t>Комиссионные обязательства Темурийлар авлоди ферм 203787097</t>
  </si>
  <si>
    <t>Пир Абду Бахром фермер хужалиги 203953792</t>
  </si>
  <si>
    <t>Комиссионные обязательства Умар-Дилшод ф.х 300540372</t>
  </si>
  <si>
    <t>Комиссионные обязательства SHAVKATLI BEKLAR FERMER 302871885</t>
  </si>
  <si>
    <t>SAFARBOY DALASI фермер хужалиги 302406346</t>
  </si>
  <si>
    <t>SARDOR-SHIJOATI фермер хужалиги 302480479</t>
  </si>
  <si>
    <t>SAMARQAND DALASI фермер хужалиги 302487491</t>
  </si>
  <si>
    <t>BAHOR ZAVQI фермер хужалиги 302521892</t>
  </si>
  <si>
    <t>АБДУЛВОХИДЖОН ФЕРМЕР ХУЖАЛИГИ 203953603</t>
  </si>
  <si>
    <t>FORISH QO''RG''ONI FERMER XO''JALIGI ХР абонент ту 302718962</t>
  </si>
  <si>
    <t>Комиссионные обязательства Зиё Нур-Элёр фермер хуж 301511479</t>
  </si>
  <si>
    <t>ELYOR-SHERDOR фермер хужалиги 302550407</t>
  </si>
  <si>
    <t>QORABDOL ZAMINI FERMER XO''JALIGI 302823270</t>
  </si>
  <si>
    <t>Армада Урол фермер хужалиги 204799421</t>
  </si>
  <si>
    <t>YATT HAMRAQULOV ALISHER ERKINOVICH 517126934</t>
  </si>
  <si>
    <t>OQAR SUV G''ALLASI фермер хужалиги 302394933</t>
  </si>
  <si>
    <t>MO'JIZAVIY ARSLONBEK ФЕРМЕР ХУЖАЛИГИ 302705662</t>
  </si>
  <si>
    <t>Комиссионные обязательства Жуманазар-Уразали ферме 300791322</t>
  </si>
  <si>
    <t>Комиссионные обязательства ЯТТ Кодиров Рахимжон 463081355</t>
  </si>
  <si>
    <t>ЯТТ Кучкоров Искандар Мирзахандамович хисобварак а 601838853</t>
  </si>
  <si>
    <t>YATT NAMOZOV FAXRIDDIN хисобланган бошка фоизсиз д 602683564</t>
  </si>
  <si>
    <t>ЯТТ Боиров Озоджон % 603191568</t>
  </si>
  <si>
    <t>Камалак Ф/х ХВ абонент тулови 202205060</t>
  </si>
  <si>
    <t>Комиссионные обязательства VATANIM PAXTASI FERMER 302825141</t>
  </si>
  <si>
    <t>Комиссионные обязательства MEHNAT SAMARASI FERMER 302862643</t>
  </si>
  <si>
    <t>BOBURBEK-SUNNATULLO FERMER XO'JALIGI 302833346</t>
  </si>
  <si>
    <t>Комиссионные обязательства QO''RG''ON EGASI FERMER 302891845</t>
  </si>
  <si>
    <t>КАМОЛИДДИН Ф\Х 203252043</t>
  </si>
  <si>
    <t>ZAFARLI CHO'QQI SAMOSI FERMER XO'JALIGI 302806434</t>
  </si>
  <si>
    <t>BAHMAL NISHONASI фермер хужалиги 302409136</t>
  </si>
  <si>
    <t>БОБОНУР ФЕРМЕР ХУЖАЛИГИ 202776831</t>
  </si>
  <si>
    <t>КУШ ТЕПА фермер хужалиги 203690536</t>
  </si>
  <si>
    <t>ТУРТ-ОГА УРОЗАЛИ УГЛИ ФЕРМЕР ХУЖАЛИГИ 203820372</t>
  </si>
  <si>
    <t>Кушраобод фермер хужалиги 202447489</t>
  </si>
  <si>
    <t>G'ALLAOROL CHIROY G'ALLASI fermer xo''jaligi 302257635</t>
  </si>
  <si>
    <t>SAMARQAND ZILOL SUVLARI фермер хужалиги 302461841</t>
  </si>
  <si>
    <t>XOJIAKBAR DALASI фермер хужалиги 302461779</t>
  </si>
  <si>
    <t>Ёркин Саид Хожакбар фермер хужалиги 302459691</t>
  </si>
  <si>
    <t>MOVIY TURKISTON фермер хужалиги 302521917</t>
  </si>
  <si>
    <t>ZAFAROBOD XIRMONI FERMER XO' JALIGI 302776647</t>
  </si>
  <si>
    <t>ILYOSBEK-SUHROBBEK фермер хужалиги 302253894</t>
  </si>
  <si>
    <t>QORAXON-BUXORIY фермер хужалиги 302508718</t>
  </si>
  <si>
    <t>Комиссионные обязательства SHAXZOD-DIYOR FERMER XO 302866749</t>
  </si>
  <si>
    <t>SARDORXON JASURXON XUSUSIY KORXONASI 303249762</t>
  </si>
  <si>
    <t>JAMSHID CHO'QQISI KO'P TARMOQLI FERMER XO'JALIGI 303194975</t>
  </si>
  <si>
    <t>Комиссионные обязательства YATT QODIROV FAYZULLO S 514849186</t>
  </si>
  <si>
    <t>ХАМЗАОБОД ФЕРМЕР ХУЖАЛИГИ 203252050</t>
  </si>
  <si>
    <t>"Бахт Гулшани" Фермер Хужалиги 203787216</t>
  </si>
  <si>
    <t>КЕЛАЖАК ЁШЛАР Ф.Х 203787144</t>
  </si>
  <si>
    <t>Комиссионные обязательства "Кудук булок тилсими" ф 301525365</t>
  </si>
  <si>
    <t>JUMART PO'LAT ФЕРМЕР ХУЖАЛИГИ 302273577</t>
  </si>
  <si>
    <t>ODILBEK SHIJOATI фермер хужалиги 302473605</t>
  </si>
  <si>
    <t>Зирагул она фермер хужалиги 203991501</t>
  </si>
  <si>
    <t>ЭРК ШЕР ШАРОФ ФЕРМЕР ХУЖАЛИГИ 204728209</t>
  </si>
  <si>
    <t>Комиссионные обязательства "Ёруглик сой сайкали" ф 300925969</t>
  </si>
  <si>
    <t>GO''ZAL DIYOR DALASI фермер хужалиги 302556058</t>
  </si>
  <si>
    <t>Комиссионные обязательства IMKON MAKONI FERMER XO' 302864743</t>
  </si>
  <si>
    <t>Комиссионные обязательства SARDOBA YO''LI FERMER X 302884877</t>
  </si>
  <si>
    <t>Комиссионные обязательства GULBULOQLIK ALPLAR FERM 302951152</t>
  </si>
  <si>
    <t>LOYQA BULOQ XUSUSIY KORXONASI 303249160</t>
  </si>
  <si>
    <t>Комиссионные обязательства ИКК-ХУМО ФЕРМЕР ХУЖАЛИГ 203252082</t>
  </si>
  <si>
    <t>Комиссионные обязательства ЗАФАР ЧУККИСИ ФЕРМЕР ХУ 203963733</t>
  </si>
  <si>
    <t>КИШЛОК ГУЛИ Ф.Х 203787034</t>
  </si>
  <si>
    <t>Зирабулок ороли фермер хужалиги 203991596</t>
  </si>
  <si>
    <t>АХЧОТСОЙ ФЕРМЕР ХУЖАЛИГИ 204793074</t>
  </si>
  <si>
    <t>MO'JIZAVIY DALA фермер хужалиги 302254734</t>
  </si>
  <si>
    <t>CHEGARA HUDUDI фермер хужалиги 302497829</t>
  </si>
  <si>
    <t>Комиссионные обязательства "Руслан Маржона" фермер 300120483</t>
  </si>
  <si>
    <t>Комиссионные обязательства "ТУЙЧИБЕК" ФЕРМЕР ХУЖАЛ 203369180</t>
  </si>
  <si>
    <t>ЯТТ Утамуратов Бекзод Худайкулович 603115224</t>
  </si>
  <si>
    <t>FOZIL PAXTASI FERMER XO'JALIGI 303175151</t>
  </si>
  <si>
    <t>Бургут фермер хужалги 203302580</t>
  </si>
  <si>
    <t>OLIMJON-BAXROMJON фермер хужалиги 302461730</t>
  </si>
  <si>
    <t>ISHBILARMON DONIYOR фермер хужалиги 302483854</t>
  </si>
  <si>
    <t>Чорсу Сиёб фермер хужалиги 204796670</t>
  </si>
  <si>
    <t>Улкан-хирмон фермер хужалиги 300324284</t>
  </si>
  <si>
    <t>SHER VA RO'SHANA фермер хужалиги 302468333</t>
  </si>
  <si>
    <t>Комиссионные обязательства G''ALLAKON DALASI FERME 302883024</t>
  </si>
  <si>
    <t>"ELITAGA QAYTISH" FERMER XO''JALIGI 302133900</t>
  </si>
  <si>
    <t>MARAT-BOBUR фермер хужалиги 302461802</t>
  </si>
  <si>
    <t>Келажак Замон Ф Х 203752212</t>
  </si>
  <si>
    <t>Комиссионные обязательства Санжар-Сурож фермер хуж 301518849</t>
  </si>
  <si>
    <t>DASHTDAGI DALA фермер хужалиги 302474990</t>
  </si>
  <si>
    <t>ХТ ХУДОЙКУЛОВ АКМАЛ хисобварак абонет тулови хис. 501479575</t>
  </si>
  <si>
    <t>SUVONOBOD CHO'LQUVARI фермер хужалиги 302305567</t>
  </si>
  <si>
    <t>Хушрав фермер хужалиги 202805976</t>
  </si>
  <si>
    <t>Айикли фермер хужалиги 204411169</t>
  </si>
  <si>
    <t>Комиссионные обязательства Пиримкул-Карим фермер х 300116598</t>
  </si>
  <si>
    <t>Комиссионные обязательства ODIL SHAKAROV FERMER XO 302855287</t>
  </si>
  <si>
    <t>"SURAJ DALASI" ФЕРМЕР ХУЖАЛИГИ 301530922</t>
  </si>
  <si>
    <t>Комиссионные обязательства Тилла кош зийнати ферме 301527860</t>
  </si>
  <si>
    <t>ZEXNIDUR-XUDOYOR фермер хужалиги 301815645</t>
  </si>
  <si>
    <t>Азизабону Файз ФХ 300092701</t>
  </si>
  <si>
    <t>Комиссионные обязательства "Диёрбек-Мурод" фермер 300929701</t>
  </si>
  <si>
    <t>NAFIS NUSXA BAROKAT МЧЖ Хисобварак абонтент тулв. 302504224</t>
  </si>
  <si>
    <t>TOZA SOHIL фермер хужалиги 302508875</t>
  </si>
  <si>
    <t>PAXTA ZIYNATI фермер хужалиги 302556065</t>
  </si>
  <si>
    <t>ХТ Бегматова Марзия ХР абонент тулови 444691856</t>
  </si>
  <si>
    <t>OQ PAXTA JILOSI фермер хужалиги 302483861</t>
  </si>
  <si>
    <t>ЯТТ Суярова Феруза Эргашевна комиссионные %% 602767578</t>
  </si>
  <si>
    <t>Комиссионные обязательства ЯНГИ ДАЛА ФЕРМЕР ХУЖАЛИ 203252035</t>
  </si>
  <si>
    <t>"Боги маво шавбатлари" ф.х Хисобварак абонтент тул 301252929</t>
  </si>
  <si>
    <t>NAVQIRON - DAVRON фермер хужалиги 301813309</t>
  </si>
  <si>
    <t>ERKIN SAMO фермер хужалиги 302480454</t>
  </si>
  <si>
    <t>Комиссионные обязательства SAMAN TULPOR TUMORI FER 302846614</t>
  </si>
  <si>
    <t>00230066</t>
  </si>
  <si>
    <t>00302976</t>
  </si>
  <si>
    <t>04288320</t>
  </si>
  <si>
    <t>04769600</t>
  </si>
  <si>
    <t>04940360</t>
  </si>
  <si>
    <t>04966586</t>
  </si>
  <si>
    <t>04973222</t>
  </si>
  <si>
    <t>05001158</t>
  </si>
  <si>
    <t>00217549</t>
  </si>
  <si>
    <t>00289175</t>
  </si>
  <si>
    <t>00291207</t>
  </si>
  <si>
    <t>04444079</t>
  </si>
  <si>
    <t>00302886</t>
  </si>
  <si>
    <t>00297753</t>
  </si>
  <si>
    <t>04833670</t>
  </si>
  <si>
    <t>04148079</t>
  </si>
  <si>
    <t>YATT AYONQULOVA GULSORA ESONBAEVNA хисобварак абон 602772217</t>
  </si>
  <si>
    <t>Комиссионные обязательства PLENTY FERMER XO''JALIG 302907649</t>
  </si>
  <si>
    <t>Комиссионные обязательства Аср боши фермер хужалиг 204668995</t>
  </si>
  <si>
    <t>ЗУБР-ЗОТИ ХУСУСИЙ КОРХИНАСИ Хисобварак абонтент ту 301126925</t>
  </si>
  <si>
    <t>ЯТТ Каримов Умиджон Кубаевич 602162366</t>
  </si>
  <si>
    <t>ЯТТ Мунасибов Уктам 499164517</t>
  </si>
  <si>
    <t>ЯТТ Седиёров Бекзод Абдуазимович хисобварак абонет 602366863</t>
  </si>
  <si>
    <t>DENGIZ AJDARI MCHJ Хисобварак абонтент тулв. буй. 302402859</t>
  </si>
  <si>
    <t>YATT SHIRINOV FARXOD SHIRINOVICH хисобварак абонет 514723454</t>
  </si>
  <si>
    <t>YATT DAVLATOV FURQAT AKRAM O'G'LI 495778640</t>
  </si>
  <si>
    <t>Комиссионные обязательства PAXTAKORNING MIRISHKORL 302802922</t>
  </si>
  <si>
    <t>Нашватизор фермер хужалиги 205667735</t>
  </si>
  <si>
    <t>Комиссионные обязательства GULCHANBAR DIYORI FERME 302922608</t>
  </si>
  <si>
    <t>YATT JURAYEV ELYOR GAYRATOVICH Хисобланган бошка ф 502201271</t>
  </si>
  <si>
    <t>Комиссионные обязательства Пахтакор ихтисослаштири 301360944</t>
  </si>
  <si>
    <t>Мустакиллик 10 йиллиги фермер хужалиги Хисобварак 203747803</t>
  </si>
  <si>
    <t>00252002</t>
  </si>
  <si>
    <t>00291340</t>
  </si>
  <si>
    <t>04948866</t>
  </si>
  <si>
    <t>04974234</t>
  </si>
  <si>
    <t>04053978</t>
  </si>
  <si>
    <t>03877759</t>
  </si>
  <si>
    <t>04703595</t>
  </si>
  <si>
    <t>05027545</t>
  </si>
  <si>
    <t>04977651</t>
  </si>
  <si>
    <t>04973552</t>
  </si>
  <si>
    <t>04975822</t>
  </si>
  <si>
    <t>04785087</t>
  </si>
  <si>
    <t>04178391</t>
  </si>
  <si>
    <t>ЯТТ Шукуров Тулкин ХР абонент тулови 602867231</t>
  </si>
  <si>
    <t>YATT RAZAKOV ISMOIL RAYIMOVICH 603013898</t>
  </si>
  <si>
    <t>ЯТТ Нодирова Ойсара Файзиевна хисобварак абонет ту 409563785</t>
  </si>
  <si>
    <t>Комиссионные обязательства ZAFARLI BAHMAL FERMER H 302281647</t>
  </si>
  <si>
    <t>Комиссионные обязательства БУРХОН БОБО ФЕРМЕР ХУЖА 203252185</t>
  </si>
  <si>
    <t>"PAXTAKORNING GOZAL DIYORI" БОГДОРЧИЛИК ФЕРМЕР ХУЖ 202493045</t>
  </si>
  <si>
    <t>Пахтакор Кувончи хусусий корхонаси Хисобварак абон 300722461</t>
  </si>
  <si>
    <t>QUVONCH NURLARI фермер хужалиги ХР абонент тулови 302530415</t>
  </si>
  <si>
    <t>ХТ Уктамова Дилафруз Акбар кизи хисобварак абонет 602396264</t>
  </si>
  <si>
    <t>Комиссионные обязательства ЯТТ Хошимова Ёркиной Ус 602183443</t>
  </si>
  <si>
    <t>BEHRUZBEK VAFO ХУСУСИЙ КОРХОНАСИ Хисобварак абонте 302296484</t>
  </si>
  <si>
    <t>Иброхим Искандар хусусий корхонаси Хисобварак абон 301196863</t>
  </si>
  <si>
    <t>"Сирли - дала" фермер х 203991367</t>
  </si>
  <si>
    <t>04948812</t>
  </si>
  <si>
    <t>03990978</t>
  </si>
  <si>
    <t>ХТ Рахимова Зулхумор Аликуловна хисобварак абонет 602208884</t>
  </si>
  <si>
    <t>Темур-1 фермер хужалиги 202838603</t>
  </si>
  <si>
    <t>04966917</t>
  </si>
  <si>
    <t>04845697</t>
  </si>
  <si>
    <t>04961636</t>
  </si>
  <si>
    <t>Чорва мулжали ХК Хисобварак абонтент тулв. буй. Хи 301574923</t>
  </si>
  <si>
    <t>ЯТТ Жингилова Дилором Абдугофоровна хисобварак або 602283484</t>
  </si>
  <si>
    <t xml:space="preserve">ЯТТ ДАВИРБАЕВ ДИЛМУРАД </t>
  </si>
  <si>
    <t>00229682</t>
  </si>
  <si>
    <t>05029537</t>
  </si>
  <si>
    <t>00264371</t>
  </si>
  <si>
    <t>00265011</t>
  </si>
  <si>
    <t>00454241</t>
  </si>
  <si>
    <t>00466968</t>
  </si>
  <si>
    <t>03375217</t>
  </si>
  <si>
    <t>04130912</t>
  </si>
  <si>
    <t>04142423</t>
  </si>
  <si>
    <t>04178380</t>
  </si>
  <si>
    <t>04334916</t>
  </si>
  <si>
    <t>04428019</t>
  </si>
  <si>
    <t>04722449</t>
  </si>
  <si>
    <t>04892174</t>
  </si>
  <si>
    <t>04894750</t>
  </si>
  <si>
    <t>00461351</t>
  </si>
  <si>
    <t>00467569</t>
  </si>
  <si>
    <t>03953441</t>
  </si>
  <si>
    <t>04038997</t>
  </si>
  <si>
    <t>04180691</t>
  </si>
  <si>
    <t>04376040</t>
  </si>
  <si>
    <t>00220042</t>
  </si>
  <si>
    <t>00246467</t>
  </si>
  <si>
    <t>00467567</t>
  </si>
  <si>
    <t>04164282</t>
  </si>
  <si>
    <t>04175125</t>
  </si>
  <si>
    <t>04570353</t>
  </si>
  <si>
    <t>04945697</t>
  </si>
  <si>
    <t>00279729</t>
  </si>
  <si>
    <t>04148361</t>
  </si>
  <si>
    <t>04227315</t>
  </si>
  <si>
    <t>00212820</t>
  </si>
  <si>
    <t>05025971</t>
  </si>
  <si>
    <t>00225442</t>
  </si>
  <si>
    <t>04158082</t>
  </si>
  <si>
    <t>04160201</t>
  </si>
  <si>
    <t>04300351</t>
  </si>
  <si>
    <t>04300484</t>
  </si>
  <si>
    <t>04335801</t>
  </si>
  <si>
    <t>04569358</t>
  </si>
  <si>
    <t>04308227</t>
  </si>
  <si>
    <t>04724223</t>
  </si>
  <si>
    <t>04898889</t>
  </si>
  <si>
    <t>00452093</t>
  </si>
  <si>
    <t>00466969</t>
  </si>
  <si>
    <t>00466967</t>
  </si>
  <si>
    <t>00466970</t>
  </si>
  <si>
    <t>04014490</t>
  </si>
  <si>
    <t>04133385</t>
  </si>
  <si>
    <t>04174483</t>
  </si>
  <si>
    <t>04175249</t>
  </si>
  <si>
    <t>04181156</t>
  </si>
  <si>
    <t>04840324</t>
  </si>
  <si>
    <t>04147591</t>
  </si>
  <si>
    <t>04174506</t>
  </si>
  <si>
    <t>04176830</t>
  </si>
  <si>
    <t>00575702</t>
  </si>
  <si>
    <t>04131541</t>
  </si>
  <si>
    <t>04174485</t>
  </si>
  <si>
    <t>00467568</t>
  </si>
  <si>
    <t>04160365</t>
  </si>
  <si>
    <t>04303720</t>
  </si>
  <si>
    <t>04380536</t>
  </si>
  <si>
    <t>05012395</t>
  </si>
  <si>
    <t>ЯТТ Кудайкулова Тамара ХР абонент тулови 602520331</t>
  </si>
  <si>
    <t>ЯТТ Уринбоев Урол ХР абонент тулови 602659394</t>
  </si>
  <si>
    <t>ЯТТ Бегимова Шапахат ХР абонент тулови 602913443</t>
  </si>
  <si>
    <t>ХТ Мухаммадова Шоира ХР абонент тулови 602917224</t>
  </si>
  <si>
    <t>YATT YARBEKOVA FERUZA 527992201</t>
  </si>
  <si>
    <t>SHIJOAT DALASI FERMER XO'JALIGI 303321745</t>
  </si>
  <si>
    <t>Комиссионные обязательства Чул боши фермер хужалиг 203953832</t>
  </si>
  <si>
    <t>Комиссионные обязательства ХАЕТБАХШ ЧАШМА маъсулия 205067936</t>
  </si>
  <si>
    <t>Х Т Эргашева Гулрух хисобварак абонет тулови хис. 476048008</t>
  </si>
  <si>
    <t>Комиссионные обязательства "Кук дала тонги " ферме 300903330</t>
  </si>
  <si>
    <t>Комиссионные обязательства "UMARXON SHIJOATI" Хусу 301872798</t>
  </si>
  <si>
    <t>ХТ Жомирзаев Дилшод Кахрамонович хисобварак абонет 601844926</t>
  </si>
  <si>
    <t>WE ARE STRONGER XK БАНК ХИЗМАТИ 303311844</t>
  </si>
  <si>
    <t>IPAK PAXTA DIYORI FERMER XO'JALIGI 303320794</t>
  </si>
  <si>
    <t>Комиссионные обязательства ГАЛЛАКОН ФЕРМЕР ХУЖАЛИГ 201495225</t>
  </si>
  <si>
    <t>Комиссионные обязательства ФЕРМЕРСКОЕ ХОЗЯЙСТВО ГО 203162622</t>
  </si>
  <si>
    <t>Комиссионные обязательства "Воиз" Фермер хужалиги 204018370</t>
  </si>
  <si>
    <t>Комиссионные обязательства ЕР ХОЛАТИ ФЕРМЕР ХУЖАЛИ 205348934</t>
  </si>
  <si>
    <t>YATT SHARAFIDDINOV BEKZOD SHAROFIDDIN O''G''LI хис 505415880</t>
  </si>
  <si>
    <t>ЯТТ Ортикбоев Фаёз х/в абонент тулови буйича хисоб 602842406</t>
  </si>
  <si>
    <t>KUZGI SHAMOL FERMER XO'JALIGI 303323552</t>
  </si>
  <si>
    <t>Комиссионные обязательства "Барселона" ФХ 203752125</t>
  </si>
  <si>
    <t>Комиссионные обязательства АБДУМАЛИК СОКИЕВ ФЕРМЕР 203949908</t>
  </si>
  <si>
    <t>Комиссионные обязательства Сувонобод Пахтаси ф.х 300090783</t>
  </si>
  <si>
    <t>"FORISH SAYYOH" MCHJ Хисобварак абонтент тулв. буй 302142390</t>
  </si>
  <si>
    <t>NAVBAHOR GULZORI FERMER XO''JALIGI 302808193</t>
  </si>
  <si>
    <t>Комиссионные обязательства БЕГЗОД - Ш " ФЕРМЕР ХУЖ 203726623</t>
  </si>
  <si>
    <t>Комиссионные обязательства Кайрабод фермер хужалиг 204280056</t>
  </si>
  <si>
    <t>SHARMISOY DARASI фермер хужалиги 302587526</t>
  </si>
  <si>
    <t>Комиссионные обязательства YATT TADJIEVA MEXRINISO 602640816</t>
  </si>
  <si>
    <t>SHAXZOD ELBEK хусусий корхонаси Хисобварак абонтен 302176626</t>
  </si>
  <si>
    <t>Комиссионные обязательства "Гани-шер Али " фермер 203820301</t>
  </si>
  <si>
    <t>Комиссионные обязательства МИР-САИД-АХМАД ФЕРМЕР Х 203820246</t>
  </si>
  <si>
    <t>Комиссионные обязательства Савоб Соли фермер хужал 204796631</t>
  </si>
  <si>
    <t>Комиссионные обязательства Гулзода Сафарова ферм 204796505</t>
  </si>
  <si>
    <t>Комиссионные обязательства РУСТАМ РУЗИМУРОД Ф/Х 205085226</t>
  </si>
  <si>
    <t>Комиссионные обязательства Гулсевар Навруз фермер 300099121</t>
  </si>
  <si>
    <t>Комиссионные обязательства Султонали Тохир Фермер 204796584</t>
  </si>
  <si>
    <t>Комиссионные обязательства "Улкан-Карвон" фермер х 300918153</t>
  </si>
  <si>
    <t>YATT FAYZULLAYEV O'TKIRBEK NE'MATULLYEVICH 601864695</t>
  </si>
  <si>
    <t>ЯТТ Зиятова Гулбахор Хисобланган бошка фоизсиз дар 513864494</t>
  </si>
  <si>
    <t>YASMIN GULLARI FERMER XO'JALIGI 303323537</t>
  </si>
  <si>
    <t>PAXTA ZAR OLTIN FERMER XO'JALIGI 303323576</t>
  </si>
  <si>
    <t>MAXSUD AKOBIR FERMER XO'JALIGI 303323584</t>
  </si>
  <si>
    <t>Комиссионные обязательства БОГДОН ФЕРМЕР ХУЖАЛИГИ 203011929</t>
  </si>
  <si>
    <t>Комиссионные обязательства Л-УРАЙ ФЕРМЕР ХУЖАЛИГИ 203647104</t>
  </si>
  <si>
    <t>Комиссионные обязательства "Келажак унар" ФХ 203953531</t>
  </si>
  <si>
    <t>Комиссионные обязательства ОЙБУВИ ОНА-ХК ФЕРМЕР ХУ 203950053</t>
  </si>
  <si>
    <t>Комиссионные обязательства "Санги-Нур " фермер хуж 204018309</t>
  </si>
  <si>
    <t>Комиссионные обязательства Лангар куввати фермер х 301556644</t>
  </si>
  <si>
    <t>ОЛМАЗОР-О фермер хужалиги 203752236</t>
  </si>
  <si>
    <t>Комиссионные обязательства "Жиянли-бобо" фермер ху 203950211</t>
  </si>
  <si>
    <t>Комиссионные обязательства МАТЕМАТИК-АЛЖАБР ФЕРМЕР 203991256</t>
  </si>
  <si>
    <t>Комиссионные обязательства ФЕРМЕРСКОЕ ХОЗЯЙСТВО С 202115165</t>
  </si>
  <si>
    <t>Комиссионные обязательства РАВШАН-ШС фермер хужали 203666080</t>
  </si>
  <si>
    <t>Комиссионные обязательства "Катта минг ХЛБ" фермер 203953967</t>
  </si>
  <si>
    <t>ILK NISHONA FERMER XO'JALIGI 303331155</t>
  </si>
  <si>
    <t>Комиссионные обязательства "ТЕПАЛИК-J" ФЕРМЕР ХУЖА 203820357</t>
  </si>
  <si>
    <t>Комиссионные обязательства Мехр гулшани фермер хуж 204807734</t>
  </si>
  <si>
    <t>Комиссионные обязательства "Азиз бобо фарзандлари" 205359366</t>
  </si>
  <si>
    <t>SULTONBEK PAXTAKOR TRANS МЧЖ Хисобварак абонтент т 207167596</t>
  </si>
  <si>
    <t>00467570</t>
  </si>
  <si>
    <t>00473542</t>
  </si>
  <si>
    <t>00474603</t>
  </si>
  <si>
    <t>00473541</t>
  </si>
  <si>
    <t>00466963</t>
  </si>
  <si>
    <t>00348893</t>
  </si>
  <si>
    <t>00473543</t>
  </si>
  <si>
    <t>04885780</t>
  </si>
  <si>
    <t>SUVLI ER G'ALLASI FERMER XO'JALIGI 303332763</t>
  </si>
  <si>
    <t>ZILOL KAMAR FERMER XO'JALIGI 303325787</t>
  </si>
  <si>
    <t>VATANIM SHONASI FERMER XO'JALIGI 303321721</t>
  </si>
  <si>
    <t>CHO'LQUVAR DALASI FERMER XO'JALIGI 303339380</t>
  </si>
  <si>
    <t>SHARSHARA SUV FERMER XO'JALIGI 303205120</t>
  </si>
  <si>
    <t>YATT XUDOYQULOV ZOHIDJON PARDABOYEVICH 443447873</t>
  </si>
  <si>
    <t>EGILMAS QOYA FERMER XO'JALIGI 303348394</t>
  </si>
  <si>
    <t>Комиссионные обязательства ZAFAR MAMATQOSIMOV ферм 301817895</t>
  </si>
  <si>
    <t>00475667</t>
  </si>
  <si>
    <t>00482550</t>
  </si>
  <si>
    <t>00458867</t>
  </si>
  <si>
    <t>04151792</t>
  </si>
  <si>
    <t>00475353</t>
  </si>
  <si>
    <t>00476854</t>
  </si>
  <si>
    <t>05005098</t>
  </si>
  <si>
    <t>00475352</t>
  </si>
  <si>
    <t>SAMARQANDLIK ISHBILARMON XUSUSIY KORXONASI 303344424</t>
  </si>
  <si>
    <t>YATT BOTIROVA DILDORA BAXTIYOROVNA 546844153</t>
  </si>
  <si>
    <t>YATT XUJAMURATOV QLICHBOY 445186612</t>
  </si>
  <si>
    <t>Х.Т Шадманов Бахриддин хисобварак абонет тулови хи 435337214</t>
  </si>
  <si>
    <t>YATT BOSTATOV UMIRBOY MAMADALIYEVICH 600091741</t>
  </si>
  <si>
    <t>YATT ERMATOVA MADINA ABDURASHITOVNA 509009551</t>
  </si>
  <si>
    <t>YATT ABDURAXMONOVA XOLIDA BEKNAZAROVNA 602550002</t>
  </si>
  <si>
    <t>SAMANDAR SHOXRUX DALASI ФЕРМЕР ХУЖАЛИГИ 303146986</t>
  </si>
  <si>
    <t>Ундирилмаган мабла-</t>
  </si>
  <si>
    <t>00359330</t>
  </si>
  <si>
    <t>00479820</t>
  </si>
  <si>
    <t>00485584</t>
  </si>
  <si>
    <t>%% UNITY хусусий корхонаси 302917343</t>
  </si>
  <si>
    <t>YATT NAZAROVA KARIMA ERKINOVNA 602356851</t>
  </si>
  <si>
    <t>YATT O'TAMURODOVA SHOXISTA KOMIL QIZI 538669097</t>
  </si>
  <si>
    <t>04722769</t>
  </si>
  <si>
    <t>00491160</t>
  </si>
  <si>
    <t>00496975</t>
  </si>
  <si>
    <t>Комиссионные обязательства Хусусий тадбиркор Карши 600894976</t>
  </si>
  <si>
    <t>YATT GULBOYEV SUNNAT 603448499</t>
  </si>
  <si>
    <t>YATT NABIRAYEV DIYORJON OLTINBEKOVICH 548286127</t>
  </si>
  <si>
    <t>00267809</t>
  </si>
  <si>
    <t>00466962</t>
  </si>
  <si>
    <t>00501654</t>
  </si>
  <si>
    <t>04969839</t>
  </si>
  <si>
    <t>00346318</t>
  </si>
  <si>
    <t>00494567</t>
  </si>
  <si>
    <t>00473540</t>
  </si>
  <si>
    <t>PAXTAKOR TASHUVCHI SERVIS MCHJ ХР абонент тулови 207198598</t>
  </si>
  <si>
    <t>ZOMINLIK ALPLAR FERMER XO'JALIGI 303223265</t>
  </si>
  <si>
    <t>YATT DJURAYEVA XURSHIDA ABDIRAXMONOVNA 603462593</t>
  </si>
  <si>
    <t>SIROJIDDIN FAYZ XUSUSIY KORXONASI 302270423</t>
  </si>
  <si>
    <t>YATT OCHILOV BAXROM ORZIQUL O'GLI 505414581</t>
  </si>
  <si>
    <t>MEHMON IZZATI-TAOM LAZZATI XUSUSIY KORXONASI 303433954</t>
  </si>
  <si>
    <t>CHASHMA OTASH NURI FERMER XO'JALIGI 303272253</t>
  </si>
  <si>
    <t>00510528</t>
  </si>
  <si>
    <t>00515858</t>
  </si>
  <si>
    <t>MAQSAD LAZZATI XUSUSIY KORXONASI</t>
  </si>
  <si>
    <t>YATT A'ZAMOV ABBOS ISLAMITDIN O'G'LI</t>
  </si>
  <si>
    <t>00445654</t>
  </si>
  <si>
    <t>00480677</t>
  </si>
  <si>
    <t>00438589</t>
  </si>
  <si>
    <t>00520750</t>
  </si>
  <si>
    <t>00550076</t>
  </si>
  <si>
    <t>00494566</t>
  </si>
  <si>
    <t>00510913</t>
  </si>
  <si>
    <t>00297038</t>
  </si>
  <si>
    <t>00537669</t>
  </si>
  <si>
    <t>00540182</t>
  </si>
  <si>
    <t>00549031</t>
  </si>
  <si>
    <t>00549032</t>
  </si>
  <si>
    <t>00518032</t>
  </si>
  <si>
    <t>00521138</t>
  </si>
  <si>
    <t>00522709</t>
  </si>
  <si>
    <t>05007437</t>
  </si>
  <si>
    <t>00548018</t>
  </si>
  <si>
    <t>00448858</t>
  </si>
  <si>
    <t>04405841</t>
  </si>
  <si>
    <t>00513654</t>
  </si>
  <si>
    <t>00519448</t>
  </si>
  <si>
    <t>00549058</t>
  </si>
  <si>
    <t>00550950</t>
  </si>
  <si>
    <t>00552172</t>
  </si>
  <si>
    <t>00552401</t>
  </si>
  <si>
    <t>00561862</t>
  </si>
  <si>
    <t>05014545</t>
  </si>
  <si>
    <t>"Аришов Бахром чорваси" чорвачилик фермер хужалиги</t>
  </si>
  <si>
    <t>УЛУГ-ЖАЛОЛИДДИН ЧОРВАЧИЛИК Ф/Х</t>
  </si>
  <si>
    <t>HAMDAM CHORVASI чорвачилик фермаер хужалиги</t>
  </si>
  <si>
    <t>ЯТТ ЖУЛБЕКОВА ГУЛНОРА ОДИЛОВНА</t>
  </si>
  <si>
    <t>ЯТТ ИСЛАМОВ САДУЛЛА УБАЙДУЛЛАЕВИЧ</t>
  </si>
  <si>
    <t>UCHTEPA MARJONI MCHJ</t>
  </si>
  <si>
    <t>OSIYO BARAKA FAYZ MCHJ</t>
  </si>
  <si>
    <t>KAPITAL GRAND SHAROF ХУСУСИЙ КОРХОНАСИ</t>
  </si>
  <si>
    <t>PAXTAKOR ZANGORIOLOV XUSUSIY KORXONASI</t>
  </si>
  <si>
    <t>NAVRO''''Z LOCHINI chorvachilik fermer xo''''jaligi</t>
  </si>
  <si>
    <t>MUSTANG PARVOZI CHORVA FERMER XO''''JALIGI</t>
  </si>
  <si>
    <t>XURSHID-O''''ROL CHORVASI CHORVACHILIK FERMER XO''''JALIGI</t>
  </si>
  <si>
    <t>ЯТТ ЭШМАТОВ МАХМУД АББАЗОВИЧ</t>
  </si>
  <si>
    <t>ЯТТ ДУСТМУРАДОВА ШАХНОЗА БОЙМУРОТ КИЗИ</t>
  </si>
  <si>
    <t>ЯТТ ХАЙДАРОВА ГУЛНОРА ТОЛИФОВНА</t>
  </si>
  <si>
    <t>ЯТТ САМАРОВ ЖАМШИДДИН КАХОР УГЛИ</t>
  </si>
  <si>
    <t>ЯТТ АБДУКАРИМОВА ЛУИЗА ВАЛЕРИЕВНА</t>
  </si>
  <si>
    <t>ЯТТ Турсунова Инобат Кушмуратовна</t>
  </si>
  <si>
    <t>ДЖУЛАНОВ БАЙМУРОТ ДУСТМУРАТОВИЧ</t>
  </si>
  <si>
    <t>YATT TOTLIBOYEV DOSTONBEK UBAYDULLA O'G'LI</t>
  </si>
  <si>
    <t>ЯТТ ТИЛОВБЕРДИЕВ МУХАММАД ОРИФЖОН УГЛИ</t>
  </si>
  <si>
    <t>PORLOQ BAXMAL CHORVACHILIK FERMER XO''''JALIGI</t>
  </si>
  <si>
    <t>ARPA XIRMONI FERMER XO''''JALIGI</t>
  </si>
  <si>
    <t>MIRJALOL CHORVA SERVIS chorvachilik fermer xo''''jaligi</t>
  </si>
  <si>
    <t>EZGU IMKON CHORVASI chorvachilik fermer xo''''jaligi</t>
  </si>
  <si>
    <t>ILYOS CHORVASI CHORVACHILIK FERMER XO''''JALIGI</t>
  </si>
  <si>
    <t>YATT ESHMATOVA SHOXIDA NORMUXAMMADOVNA</t>
  </si>
  <si>
    <t>00408323</t>
  </si>
  <si>
    <t>ЯТТ Жуманов Жалол Хисобланган бошка фоизсиз даромадлар</t>
  </si>
  <si>
    <t>00598115</t>
  </si>
  <si>
    <t>00615162</t>
  </si>
  <si>
    <t>05008225</t>
  </si>
  <si>
    <t>00595392</t>
  </si>
  <si>
    <t>00603443</t>
  </si>
  <si>
    <t>00613588</t>
  </si>
  <si>
    <t>00606994</t>
  </si>
  <si>
    <t>00606463</t>
  </si>
  <si>
    <t>00582271</t>
  </si>
  <si>
    <t>00606805</t>
  </si>
  <si>
    <t>00599841</t>
  </si>
  <si>
    <t>00604055</t>
  </si>
  <si>
    <t>00581921</t>
  </si>
  <si>
    <t>00602990</t>
  </si>
  <si>
    <t>00603444</t>
  </si>
  <si>
    <t>00581922</t>
  </si>
  <si>
    <t>00583009</t>
  </si>
  <si>
    <t>00604054</t>
  </si>
  <si>
    <t>04827790</t>
  </si>
  <si>
    <t>00582328</t>
  </si>
  <si>
    <t>00607290</t>
  </si>
  <si>
    <t>00397164</t>
  </si>
  <si>
    <t>00602715</t>
  </si>
  <si>
    <t>04565617</t>
  </si>
  <si>
    <t>ЯТТ НОРКУЛОВ ШАХОБИДДИН ШАЙХМУХАММАДОВИЧ</t>
  </si>
  <si>
    <t>ЯТТ ХОШИМОВ РАХМАТУЛЛА КАСИМОВИЧ</t>
  </si>
  <si>
    <t>ЯТТ ВОХИДОВ ШОХРУХ АБДУРАСУЛ УГЛИ</t>
  </si>
  <si>
    <t>ЯТТ АДИЛОВА ХОНСУЛУВ УРАКБОЕВНА</t>
  </si>
  <si>
    <t>ЯТТ ЭРДАНАЕВА ЗУХРА ХАЛИЛОВНА</t>
  </si>
  <si>
    <t>ЯТТ САТТОРОВА НАРГИЗА НАРЗУЛЛАЕВНА</t>
  </si>
  <si>
    <t>ЯТТ ТУРДИЕВА РАНО ЭРГАШЕВНА</t>
  </si>
  <si>
    <t>Начисленные %% XALILOV FURQAT BAXTIYOROVICH XUSUSIY KORXONASI</t>
  </si>
  <si>
    <t>ЯТТ ХАКИМОВА НАРГИЗА ГАЗИКУЛОВНА</t>
  </si>
  <si>
    <t>ЯТТ БОБОЕВА МУТАБАР АБДУРАХМОНОВНА</t>
  </si>
  <si>
    <t>АБДИРАИМОВ ТЕМУР АЛИШЕР УГЛИ</t>
  </si>
  <si>
    <t>ЯТТ УЗОКОВА МОХИГУЛ ЗОХИД КИЗИ</t>
  </si>
  <si>
    <t>ЯТТ НОРМУРОТОВ САРВАР РУСТАМОВИЧ</t>
  </si>
  <si>
    <t>ЯТТ Санаев Тоштемир Беркинович</t>
  </si>
  <si>
    <t>ЯТТ ХАСАНОВ ХАСАН ХАМРО УГЛИ</t>
  </si>
  <si>
    <t>Начисленные %% ЯТТ МАМИРОВ АЛИШЕР ХОЛБОЙ УГЛИ</t>
  </si>
  <si>
    <t>ЯТТ БОЙКЕЛДИЕВА БАРНО ЭШИМОВНА</t>
  </si>
  <si>
    <t>ЯТТ АНОРБОЕВА УЛБОЗОР МАМАРАЖАБОВНА</t>
  </si>
  <si>
    <t>ЯТТ Норматова Маъмура Абдумаликовна</t>
  </si>
  <si>
    <t>ERMATOVA MADINA XUSUSIY KORXONASI</t>
  </si>
  <si>
    <t>ГОИПНАЗАР ГУЛОМ ХУСУСИЙ КОРХОНАСИ</t>
  </si>
  <si>
    <t>Начисленные %% Samandar Nozima Savdo масьуляти чекланган жамият</t>
  </si>
  <si>
    <t>Начисленные %% ЯШНА КАПИТАЛ ЧОРВАСИ ЧОРВАЧИЛИК ФЕРМЕР ХУЖАЛИГИ</t>
  </si>
  <si>
    <t>ФАРЗОНА САБРИНА ХУСУСИЙ КОРХОНАСИ</t>
  </si>
  <si>
    <t>00599137</t>
  </si>
  <si>
    <t>00612372</t>
  </si>
  <si>
    <t>00615589</t>
  </si>
  <si>
    <t>04838884</t>
  </si>
  <si>
    <t>Шерзод насилли моллари чорвачилик фермер хужалиги</t>
  </si>
  <si>
    <t>Начисленные %% JIYDAZOR KAPITAL CHORVA ЧОРВАЧИЛИК ФЕРМЕР ХУЖАЛИГИ</t>
  </si>
  <si>
    <t>ЯТТ РАХМАНОВ КОМИЛ ФАРМОНОВИЧ</t>
  </si>
  <si>
    <t>ЯТТ ЖАДИГАРОВ ХУСАН ЮЛДАШЕВИЧ</t>
  </si>
  <si>
    <t>04130969</t>
  </si>
  <si>
    <t>04130978</t>
  </si>
  <si>
    <t>00579586</t>
  </si>
  <si>
    <t>00506497</t>
  </si>
  <si>
    <t>04340318</t>
  </si>
  <si>
    <t>00594769</t>
  </si>
  <si>
    <t>04130977</t>
  </si>
  <si>
    <t>00349848</t>
  </si>
  <si>
    <t>00387267</t>
  </si>
  <si>
    <t>02930753</t>
  </si>
  <si>
    <t>04017929</t>
  </si>
  <si>
    <t>04089165</t>
  </si>
  <si>
    <t>05006411</t>
  </si>
  <si>
    <t>00627574</t>
  </si>
  <si>
    <t>04850388</t>
  </si>
  <si>
    <t>04940903</t>
  </si>
  <si>
    <t>00629978</t>
  </si>
  <si>
    <t>00638140</t>
  </si>
  <si>
    <t>00633112</t>
  </si>
  <si>
    <t>04130975</t>
  </si>
  <si>
    <t>04017932</t>
  </si>
  <si>
    <t>04017864</t>
  </si>
  <si>
    <t>04130973</t>
  </si>
  <si>
    <t>04130976</t>
  </si>
  <si>
    <t>04130980</t>
  </si>
  <si>
    <t>04130820</t>
  </si>
  <si>
    <t>04017918</t>
  </si>
  <si>
    <t>04130979</t>
  </si>
  <si>
    <t>04272891</t>
  </si>
  <si>
    <t>04144502</t>
  </si>
  <si>
    <t>04130968</t>
  </si>
  <si>
    <t>04130974</t>
  </si>
  <si>
    <t>04130981</t>
  </si>
  <si>
    <t>04017930</t>
  </si>
  <si>
    <t>Дустлик МФЙ</t>
  </si>
  <si>
    <t>Тошкент МФЙ</t>
  </si>
  <si>
    <t>Начисленные %% ЯТТ ОКИЛОВ УЛУГБЕК ЭРКИНБОЙ УГЛИ</t>
  </si>
  <si>
    <t>ЯТТ ПРИМКУЛОВ ЁРКИН УММАТКУЛОВИЧ</t>
  </si>
  <si>
    <t>BUYUK IPAK YO'LI QISHLOQ FUQOROLAR YIG'INI</t>
  </si>
  <si>
    <t>Комиссионные обязательства Пахтакор туман ободонлаштириш бошкармаси бошлангич ка</t>
  </si>
  <si>
    <t>ПАХТАКОР ТУМАН ЁНГИНГА КАРШИ КУРАШ ЖАМИЯТИ</t>
  </si>
  <si>
    <t>Сувонобод МФЙ</t>
  </si>
  <si>
    <t>ПАХТАКОР ТУМАН КАСБ ХУНАР КОЛЛЕЖИ КАСАБА УЮШМАСИ КУМИТАСИ</t>
  </si>
  <si>
    <t>КАМАЛАК-1 МЧЖ</t>
  </si>
  <si>
    <t>"PAXTAKOR MINGCHINOR" МЧЖ</t>
  </si>
  <si>
    <t>ЯТТ ДЖИЯНОВ МАХМУД РАШИДОВИЧ</t>
  </si>
  <si>
    <t>BOTIR-BEGZOD ХУСУСИЙ КОРХОНАСИ</t>
  </si>
  <si>
    <t>Начисленные %% "Giyosiddin Chorrvador" фермер хужалиги</t>
  </si>
  <si>
    <t>Начисленные %% ЯТТ КАМБАРОВ УМИДЖОН ТОШМУРОД УГЛИ</t>
  </si>
  <si>
    <t>ЯТТ МАХСАДОВ ОРИФЖОН ЭСАНОВИЧ</t>
  </si>
  <si>
    <t>Начисленные %% PAXTAKOR SULUV QO'RG'ON SOLIM ХУСУСИЙ КОРХОНАСИ</t>
  </si>
  <si>
    <t>ПАХТАКОР ТУМАН МАРКАЗИЙ КАСАЛХОНА КАСАБА УЮШМАСИ КУМИТАСИ</t>
  </si>
  <si>
    <t>OQ-BULOQ QISHLOQ FUQOROLAR YIG'INI</t>
  </si>
  <si>
    <t>Олмазор КФЙ</t>
  </si>
  <si>
    <t>PAXTAKOR QISHLOQ FUQOROLAR YIG'INI</t>
  </si>
  <si>
    <t>BOG'ISHAMOL QISHLOQ FUQOROLAR YIG'INI</t>
  </si>
  <si>
    <t>СЭС КАСАБА УЮШМАСИ КУМИТАСИ</t>
  </si>
  <si>
    <t>Олтинкул МФЙ</t>
  </si>
  <si>
    <t>Пахтакор туман истеъмолчиларни хукукларини химоя килиш жамияти</t>
  </si>
  <si>
    <t>Самарканд МФЙ</t>
  </si>
  <si>
    <t>Мингчинор КФЙ</t>
  </si>
  <si>
    <t>G'ALABA MFY</t>
  </si>
  <si>
    <t>ЖАНУБИЙ МИРЗАЧУЛ КАНАЛИ КАСАБА УЮШМАСИ КУМИТАСИ</t>
  </si>
  <si>
    <t>00643001</t>
  </si>
  <si>
    <t>05004720</t>
  </si>
  <si>
    <t>00549123</t>
  </si>
  <si>
    <t>ЯТТ АБДУСАТТОРОВ СИРОЖИДДИН МУХИДДИН УГЛИ</t>
  </si>
  <si>
    <t>"Хакимов Уткир Алишер угли" ЯТТ</t>
  </si>
  <si>
    <t>BEGZOD NASILLI MOLLARI CHORVACHILIK FERMER XO''''JALIGI</t>
  </si>
  <si>
    <t>31.08.2016</t>
  </si>
  <si>
    <t>ЖАМИ Бош банкдан олинган 8 фоиз ресурс маблаги</t>
  </si>
  <si>
    <t xml:space="preserve">Бош банкдан олинган 8 фоизли ресурс маблаглари </t>
  </si>
  <si>
    <t>17.05.2016</t>
  </si>
  <si>
    <t>31.05.2016</t>
  </si>
  <si>
    <t>ДИЛОРОМ МФЙ</t>
  </si>
  <si>
    <t>Вилоят теританосил касаликлари касаба уюшма кумитаси</t>
  </si>
  <si>
    <t>ЧАМАНЗОР КФЙ</t>
  </si>
  <si>
    <t>Фарм-Пров-Сервис хусусий корхонаси</t>
  </si>
  <si>
    <t>Shunqor qurilish servis MCHJ</t>
  </si>
  <si>
    <t>Иброхим-Хуршидбек ферме</t>
  </si>
  <si>
    <t>Муроджон-БВ номли дехко 202424802</t>
  </si>
  <si>
    <t xml:space="preserve">"Паймард-МШ" фермер хуж </t>
  </si>
  <si>
    <t>"ГУМСОЙ" фермер хужалиг 203720727</t>
  </si>
  <si>
    <t>АЗИЗА -Т ФЕРМЕР ХУЖАЛИГ 203710779</t>
  </si>
  <si>
    <t>"Истиклол осмони" ферме 301516771</t>
  </si>
  <si>
    <t>санаси</t>
  </si>
  <si>
    <t>Ариза</t>
  </si>
  <si>
    <t>Низоми</t>
  </si>
  <si>
    <t>Гувохномаси</t>
  </si>
  <si>
    <t>Паспорт нусхаси рахбар</t>
  </si>
  <si>
    <t>Паспорт нусхаси бухгалтер</t>
  </si>
  <si>
    <t>Мижознинг номи</t>
  </si>
  <si>
    <t>YATT UMAROVA DONOHON QUCHQAROVNA</t>
  </si>
  <si>
    <t xml:space="preserve">Равот Ривожи хусусий ко </t>
  </si>
  <si>
    <t>CHASHMA BULOQ YO''LLARI 302899003</t>
  </si>
  <si>
    <t xml:space="preserve">BESHBARMOQ BULOG''I FER </t>
  </si>
  <si>
    <t xml:space="preserve">SAMIRBEK-MARDONBEK FERMER XO''JALIGI </t>
  </si>
  <si>
    <t xml:space="preserve">ZAFARLI BOLIBEK FERMER XO''JALIGI ХР </t>
  </si>
  <si>
    <t xml:space="preserve">XONBANDI SHARSHARASI FE </t>
  </si>
  <si>
    <t xml:space="preserve">OQAR SUV BOG''I FERMER </t>
  </si>
  <si>
    <t xml:space="preserve">ASLIDDIN DALASI FERMER </t>
  </si>
  <si>
    <t xml:space="preserve">GREAT HILL FERMER XO''J </t>
  </si>
  <si>
    <t xml:space="preserve">ЧАНОК ФЕРМЕР ХУЖАЛИГИ </t>
  </si>
  <si>
    <t xml:space="preserve">ТУРОТ ОТА ФЕРМЕР ХУЖАЛИГИ </t>
  </si>
  <si>
    <t xml:space="preserve">ТУТИХОЛАЖОН ФЕРМЕР ХУЖАЛИГИ </t>
  </si>
  <si>
    <t xml:space="preserve">Арча мойи ф\х </t>
  </si>
  <si>
    <t xml:space="preserve">САЙЁРА БОНУ Ф/Х </t>
  </si>
  <si>
    <t xml:space="preserve">НУМОН-ОТА ФЕРМЕР ХУЖАЛИГИ </t>
  </si>
  <si>
    <t xml:space="preserve">Мухаммадазизбек-Андижон </t>
  </si>
  <si>
    <t>Фарки</t>
  </si>
  <si>
    <t>Ед.изм. сум/тийин</t>
  </si>
  <si>
    <t>пенсионные книжки</t>
  </si>
  <si>
    <t>30.04.2016</t>
  </si>
  <si>
    <t>30.09.2016</t>
  </si>
  <si>
    <t>28.08.2015</t>
  </si>
  <si>
    <t>05.09.2016</t>
  </si>
  <si>
    <t>25.04.2016</t>
  </si>
  <si>
    <t>30.05.2016</t>
  </si>
  <si>
    <t>07.06.2016</t>
  </si>
  <si>
    <t>УК</t>
  </si>
  <si>
    <t>Фаргон вилоят филиалига берилган ресурси</t>
  </si>
  <si>
    <t>26.01.2015</t>
  </si>
  <si>
    <t>31.03.2015</t>
  </si>
  <si>
    <t>07.04.2015</t>
  </si>
  <si>
    <t>24.02.2016</t>
  </si>
  <si>
    <t>26.02.2016</t>
  </si>
  <si>
    <t>27.02.2016</t>
  </si>
  <si>
    <t>03.03.2016</t>
  </si>
  <si>
    <t>05.03.2016</t>
  </si>
  <si>
    <t>09.03.2016</t>
  </si>
  <si>
    <t>16.03.2016</t>
  </si>
  <si>
    <t>27.03.2016</t>
  </si>
  <si>
    <t>03.05.2016</t>
  </si>
  <si>
    <t>16.05.2016</t>
  </si>
  <si>
    <t>18.05.2016</t>
  </si>
  <si>
    <t>23.05.2016</t>
  </si>
  <si>
    <t>06.09.2016</t>
  </si>
  <si>
    <t>06.10.2016</t>
  </si>
  <si>
    <t>00800</t>
  </si>
  <si>
    <t>23.12.2015</t>
  </si>
  <si>
    <t>31.12.2016</t>
  </si>
  <si>
    <t>2017 йил 16 январ ҳолатига баланс бўйича қолдиқ</t>
  </si>
  <si>
    <t>ЖАМИ Фаргон вилоят филиали ресурси</t>
  </si>
  <si>
    <t>Йул кира</t>
  </si>
  <si>
    <t>56302000700000800300</t>
  </si>
  <si>
    <t>11.02.2015</t>
  </si>
  <si>
    <t>19908000800000800105</t>
  </si>
  <si>
    <t xml:space="preserve">Ахмедов Шерзод Абдухамитович </t>
  </si>
  <si>
    <t>ДАНГАРА Т., АТ ХАЛК БАНКИ ДАНГАРА ФИЛИАЛИ</t>
  </si>
  <si>
    <t>00668</t>
  </si>
  <si>
    <t>хизмат сафари йул хаки харажатга олинди Ахмедов Ш (№15 19,12,2014-19,12,2014 Дангара-Тошкент-Дангара)</t>
  </si>
  <si>
    <t>19908000000000800106</t>
  </si>
  <si>
    <t xml:space="preserve">Абдурахмонов Аббосжон Абдурахимович </t>
  </si>
  <si>
    <t>хизмат сафари йул хакит харажатга олинди Абдурахмонов А (№9 28,11,2014-06,12,2014 Дангара-Тошкент-Дангара)</t>
  </si>
  <si>
    <t>19908000600000800104</t>
  </si>
  <si>
    <t xml:space="preserve">Умарова Шохсанам Омоновна </t>
  </si>
  <si>
    <t>хизмат сафари йул кираси харажатга олинди Умарова Ш (№10 12,12,2014-13,12,2014 Дангара-Тошкент-Дангара)</t>
  </si>
  <si>
    <t>хизмат сафари йул хаки харажатга олинди Абдурахмонов А (№1/003 25,08,2014-20,10,2014 Дангара-Кукон-Дангара)</t>
  </si>
  <si>
    <t>19908000100000800107</t>
  </si>
  <si>
    <t xml:space="preserve">Усмонов Ёкубжон Одилович </t>
  </si>
  <si>
    <t>хизмат сафари йул хаки харажатга олинди Усмонов Ё (№10 24,01,2015-24,01,2015 Дангара-Тошкент-Дангара)</t>
  </si>
  <si>
    <t>19908000200000800602</t>
  </si>
  <si>
    <t xml:space="preserve">Тулабоев Сахобиддин Солижонович йул хаки </t>
  </si>
  <si>
    <t>хизмат сафари йул хаки харажатга олинди Тулабоев С (№14 13,03,2015-13,03,2015 Дангара-Тошкент-Дангара)</t>
  </si>
  <si>
    <t>19908000900000800600</t>
  </si>
  <si>
    <t xml:space="preserve">Исомиддинов Салохиддин Шохобиддинович </t>
  </si>
  <si>
    <t>хизмат сафари йул хаки харажатга олинди Исомиддинов С (№12 24,01,2015-24,01,2015 Дангара-Тошкент-Дангара)</t>
  </si>
  <si>
    <t>19908000800000800999</t>
  </si>
  <si>
    <t xml:space="preserve">Абдусатторов Исроилжон хизмат сафари </t>
  </si>
  <si>
    <t>хизмат сафари йул хаки харажатга олинди Абдусатторов И (№11 24,01,2015-24,01,2015 Дангара-Тошкент-Дангара)</t>
  </si>
  <si>
    <t>19908000900000800601</t>
  </si>
  <si>
    <t xml:space="preserve">Махмудов Одилжон Махмуджон угли </t>
  </si>
  <si>
    <t>хизмат сафари йул хаки харажатга олинди Махмудов О (№13 21,02,2015-21,02,2015 Дангара-Тошкент-Дангара)</t>
  </si>
  <si>
    <t>19908000800000800110</t>
  </si>
  <si>
    <t xml:space="preserve">Мамажонов Баркамол Бахтиёрович йул хаки </t>
  </si>
  <si>
    <t>хизмат сафари йул хаки харажатга олинди Мамажонов Б (№43 16,03,2015-16,03,2015 Дангара-Тошкент-Дангара)</t>
  </si>
  <si>
    <t>19908000500000800109</t>
  </si>
  <si>
    <t xml:space="preserve">Махмудов Нодир Мухторович йул хаки </t>
  </si>
  <si>
    <t>хизмат сафари йул хаки харажатга олинди Махмудов Н (№64/А 11,04,2015-12,04,2015 Дангара-Тошкент-Дангара)</t>
  </si>
  <si>
    <t>19908000400000800603</t>
  </si>
  <si>
    <t xml:space="preserve">Мадрахимов Ахроржон Алижонович </t>
  </si>
  <si>
    <t>хизмат сафари йул хаки харажатга олинди Мадрахимов А (№17 24,06,2015-06,07,2015 Дангара-Тошкент-Дангара)</t>
  </si>
  <si>
    <t>19908000300000800108</t>
  </si>
  <si>
    <t xml:space="preserve">Рахмонкулов Дониёржон Саминжонович </t>
  </si>
  <si>
    <t>хизмат сафари йул хаки харажатга олинди Рахмонкулов Д (№19 22,07,2015-23,07,2015 Дангара-Тошкент-Дангара)</t>
  </si>
  <si>
    <t>хизмат сафари йул хаки харажатга олинди Мамажонов Б (№18 13,07,2015-15,07,2015 Дангара-Тошкент-Дангара)</t>
  </si>
  <si>
    <t>30.10.2015</t>
  </si>
  <si>
    <t>19908000600000800604</t>
  </si>
  <si>
    <t xml:space="preserve">Тиллабоев Тохиржон Мухторович йул хаки </t>
  </si>
  <si>
    <t>хизмат сафари йул хаки харажатга олинди Тиллабоев Т (№20 14,09,2015-19,09,2015 Дангара-Тошкент-Дангара)</t>
  </si>
  <si>
    <t>00668хизмат сафари йул хаки харажатга олинди Махмудов Н (№21 12,10,2015-16,10,2015 Дангара-Тошкент-Дангара)</t>
  </si>
  <si>
    <t>19908000600000800004</t>
  </si>
  <si>
    <t>Ахмедов Шерзод Абдихамитович</t>
  </si>
  <si>
    <t>2015 йил 18 ноябрьдаги № 239 к-сонли буйрукга асосан Ахмедов Шга хизмат сафари кунлик харажат пули берилди Тошкент ш</t>
  </si>
  <si>
    <t>2015 йил 18 ноябрьдаги № 239 к-сонли буйрукга асосан Ахмедов Шга хизмат сафари йул киро берилди Тошкент ш</t>
  </si>
  <si>
    <t>25.12.2015</t>
  </si>
  <si>
    <t>19908000000000800006</t>
  </si>
  <si>
    <t>Ахматкулов Аббосбек Махамадалиевич</t>
  </si>
  <si>
    <t>Ахматкулов Аббосбек Махамадалиевич Тошкент шахрига бориш-келиш Хизмат сафарида йул кира харажатлари</t>
  </si>
  <si>
    <t>Абдусатторов Исроилжон хизмат сафари</t>
  </si>
  <si>
    <t>Абдусатторов Исроилжон Тошкент шахрига бориш - келиш Хизмат сафарида йул кира харажатлари</t>
  </si>
  <si>
    <t>Рахмонкулов Дониёржон Саминжонович</t>
  </si>
  <si>
    <t>Рахмонкулов Дониёржон Саминжонович Тошкент шахрига бориш-келиш Хизмат сафарида йул кира харажатлари</t>
  </si>
  <si>
    <t>19908000800000800005</t>
  </si>
  <si>
    <t>Маматкулов Маъруфжон Махмудович</t>
  </si>
  <si>
    <t>Маматкулов Маъруфжон Махмудович Тошкент шахрига бориш-келиш Хизмат сафарида йул кира харажатлари</t>
  </si>
  <si>
    <t>Хизмат сафарида йул кира харажатлари харажатга олинди</t>
  </si>
  <si>
    <t>Махмудов Одилжон Махмуджон угли</t>
  </si>
  <si>
    <t>Халк банки бошк. 2016й 14апрел кунги№23-23/1-01-210-Телефонограмма№21 га ас. хизмат сафари йул кира харажати копланди</t>
  </si>
  <si>
    <t>19908000100000800007</t>
  </si>
  <si>
    <t>Мадрахимов Ахроржон Алижонович</t>
  </si>
  <si>
    <t>Узбекистон Респ. Фукаролик судининг 2015йил 29 декабрдаги №МХ/587-XVII-15 хатига асосан хизмат сафари йул кира харажати копланди</t>
  </si>
  <si>
    <t>19908000300000800008</t>
  </si>
  <si>
    <t>Аббосова Маъмурахон Маъруфжоновна</t>
  </si>
  <si>
    <t>Халк банки бошк. 2016.11.05 кунги №06-02-6/445-сонли хатига ас. хизмат сафари йул кира харажати копланди</t>
  </si>
  <si>
    <t>Узб.Респ. АТ Халк банки бошкарувининг 2016 йил 22 июн кунги 63/1-карорига асосан Пластик булим бошликларига бошкарувда 5 кунлик малака ошириш укув курсига)хизмат сафари йул киро харажати копланди</t>
  </si>
  <si>
    <t>АТ Халк банки бошкарувининг 2016 й 169 октябрдаги №23-23-/1-01-366 сонли телефонограммага а-н банк бошкарувчиси Д.Рахмонкулов Халк банки бошкаруви банк тизимида 2016 йил 3-чорак якунлари буйича йигилиш сафари йул киро харажати утказилди</t>
  </si>
  <si>
    <t>АТ Халк банки бошкарувининг 2016 й 12 июлдаги №23-23-/1-01-152 сонли телефонограмма№35 га а-н банк бошкарувчиси Д.Рахмонкулов Халк банки бошкаруви банк тизимида 2016 йил 2-чорак якунлари буйича йигилиш сафари йул киро харажати утказилди</t>
  </si>
  <si>
    <t>Сутичной</t>
  </si>
  <si>
    <t>56302000200000800003</t>
  </si>
  <si>
    <t>06686 Хизмат сафари харажатлари (Кунлик харажат) харажатга олинди</t>
  </si>
  <si>
    <t>Хизмат сафари харажатлари (Кунлик харажат) харажатга олинди</t>
  </si>
  <si>
    <t>Узбекистон респ.Фукаролик судининг 2015 йил 29 декабрдаги №МХ/587-XVII-15 сонли хатига асосан хизмат сафари кунлик харажати копланди</t>
  </si>
  <si>
    <t>Халк банки бошк. 2016й 14апрел кунги№23-23/1-01-240-Телефонограмма №21 га ас. хизмат сафари кунлик харажати копланди</t>
  </si>
  <si>
    <t>Халк банки бошк.2016 й 11 май кунги №06-02-6/445-сонли хатига асосан хизмат сафари кунлик харажати копланди</t>
  </si>
  <si>
    <t>56306000100000800308</t>
  </si>
  <si>
    <t>хизмат сафари кунлик харажат харажатга олинди Абдурахмонов А (№9 28,11,2014-06,12,2014 Дангара-Тошкент-Дангара)</t>
  </si>
  <si>
    <t>хизмат сафари кунлик харажат харажатга олинди Умарова Ш (№10 12,12,2014-13,12,2014 Дангара-Тошкент-Дангара)</t>
  </si>
  <si>
    <t>хизмат сафари кунлик харажати харажатга олинди Махмудов Н (№21 12,10,2015-16,10,2015 Дангара-Тошкент-Дангара)</t>
  </si>
  <si>
    <t>хизмат сафари кунлик харажати харажатга олинди Тиллабоев Т (№20 14,09,2015-19,09,2015 Дангара-Тошкент-Дангара)</t>
  </si>
  <si>
    <t>Узб Респ. АТ Халк банки бошкарувининг 2016 й 22 юин кунги 63/1-сонли карорига ас.Пластик булим бошликларига бошкарувда 5 кунлик малака ошириш укув курсига хизмат сафари кунлик харажати копланди</t>
  </si>
  <si>
    <t>АТ Халк банки бошкарувининг 2016 й 12 июлдаги №23-23-/1-01-152 сонли телефонограмма№35 га а-н банк бошкарувчиси Д.Рахмонкулов Халк банки бошкаруви банк тизимида 2016 йил 2-чорак якунлари буйича йигилиш сафари кунлик харажати утказилди</t>
  </si>
  <si>
    <t>АТ Халк банки бошкарувининг 2016 й 19 октябрдаги №23-23-/1-01-366 сонли телефонограммага а-н банк бошкарувчиси Д.Рахмонкулов Халк банки бошкаруви банк тизимида 2016 йил 3-чорак якунлари буйича йигилиш сафари кунлик харажати утказилди</t>
  </si>
  <si>
    <t>16405</t>
  </si>
  <si>
    <t>Хизматлар учун олдиндан килинган харажатлар</t>
  </si>
  <si>
    <t>Бошка операцион харажатлар</t>
  </si>
  <si>
    <t>90406</t>
  </si>
  <si>
    <t>Нурматжон Нуриддинжон файзи дехкон хужалиги</t>
  </si>
  <si>
    <t>"ТАЙЁРЛОВСАВДО" масъулияти чекланган жамияти</t>
  </si>
  <si>
    <t>DANG`ARA CHORVA OZUQA SERVIS МАЪСУЛЯТИ ЧЕКЛАНГАН ЖАМИЯТ</t>
  </si>
  <si>
    <t>DANG`ARA HOJIAKBAR TRANS маъсуляти чекланган жамият</t>
  </si>
  <si>
    <t>SUPER SPORT SERVIS МЧЖ</t>
  </si>
  <si>
    <t>"ZO''R TAKSI" масъулияти чекланган жамияти</t>
  </si>
  <si>
    <t>"DANG`ARA MUKAMMAL MEBEL" оилавий корхонаси</t>
  </si>
  <si>
    <t>"KOKAND MEGA BIZNES SERVIS"МЧЖ</t>
  </si>
  <si>
    <t>"ANTARES TRADE" масъулияти чекланган жамияти</t>
  </si>
  <si>
    <t>DANGARA BALTIKA SAVDO маъсуляти чекланган жамият</t>
  </si>
  <si>
    <t>"МАШХУРАХОН РУХШОНА" МАСЪУЛИЯТИ ЧЕКЛАНГАН ЖАМИЯТИ</t>
  </si>
  <si>
    <t>ЯТТ Юлдашев Илхомжон Туронович</t>
  </si>
  <si>
    <t>Кукон чорва насл сервис МЧЖ</t>
  </si>
  <si>
    <t>"IDEAL BARAKA APPOLON" МЧЖ</t>
  </si>
  <si>
    <t>Нурматов Рустам Муратович тадбирокр (импортёр)</t>
  </si>
  <si>
    <t>Исроилов Аброржон Исроилжон угли ЯТТ</t>
  </si>
  <si>
    <t>DANGARA PROPAN МЧЖ</t>
  </si>
  <si>
    <t>"ORIGINAL PREMIUM TRANS" масъуляти чекланган жамияти</t>
  </si>
  <si>
    <t>ЯТТ Азимова Ирода Иноовна</t>
  </si>
  <si>
    <t>ЯТТ Шералиев Бахром Каххоралиевич</t>
  </si>
  <si>
    <t>"Dang''ara otsenka" масъуляти чекланган жамияти</t>
  </si>
  <si>
    <t>Шерматов Абдурасул Абдурахимович</t>
  </si>
  <si>
    <t>"Qo''qon ziyo nuri" масъуляти чекланган жамияти</t>
  </si>
  <si>
    <t>ЯТТ Мирзасобиров Нодирбек Норкузи угли</t>
  </si>
  <si>
    <t>ЯТТ Закирова Рахима Расуловна</t>
  </si>
  <si>
    <t>"ДАНГАРА ОЗИК ОВКАТ САВДО" МАСЪУЛЯТИ ЧЕКЛАНГАН ЖАМИЯТИ</t>
  </si>
  <si>
    <t>"Demand trans servis" МЧЖ</t>
  </si>
  <si>
    <t>ЯТТ Мадаминов Шарофиддин Кушмуротович</t>
  </si>
  <si>
    <t>ЯТТ БАДАЛОВ КАМОЛИДДИН ВАЛИЕВИЧ</t>
  </si>
  <si>
    <t>ЯТТ Абдурахимова Махоратхон Мухамадаминовна</t>
  </si>
  <si>
    <t>"Sevinch kimyo trans" масъуляти чекланган жамияти</t>
  </si>
  <si>
    <t>ЯТТ Мовлонова Лолахон Абдирашидовна</t>
  </si>
  <si>
    <t>SHAKIROV ABDUXAMID ДЕХКОН ХУЖАЛИГИ</t>
  </si>
  <si>
    <t>ЯТТ Мамаюсупов Уткиржон Холматович</t>
  </si>
  <si>
    <t>ЯТТ Тиллаев Абдурасил Долимович</t>
  </si>
  <si>
    <t>ЯТТ Усмонов Латифжон Аскарали угли</t>
  </si>
  <si>
    <t>ЯТТ Ахмедов Улугбек Муроджон угли</t>
  </si>
  <si>
    <t>ЯТТ Мелибоев Ботиржон Юнусович</t>
  </si>
  <si>
    <t>ЯТТ Имомалиев Баходиржон Хайдарович</t>
  </si>
  <si>
    <t>ЯТТ Мамажонова Нигора Номоновна</t>
  </si>
  <si>
    <t>ЯТТ Суюнова Дилноза Муродовна</t>
  </si>
  <si>
    <t>ЯТТ Абдурахмонов Хуршиджон Хаётжон угли</t>
  </si>
  <si>
    <t>ЯТТ Аноров Шерали Камбарович</t>
  </si>
  <si>
    <t>"САДОРБЕК ЁШЛАР ФАХРИ" ОИЛАВИЙ КОРХОНАСИ</t>
  </si>
  <si>
    <t>ЯТТ Олимов Рузибой Неъматович</t>
  </si>
  <si>
    <t>ЯТТ Мирсодикова Сарвиноз Махсудали кизи</t>
  </si>
  <si>
    <t>ЯТТ Йигиталиева Шохзодахон Азамжон кизи</t>
  </si>
  <si>
    <t>ЯТТ Кенджаев Расулжон Меликузиевич</t>
  </si>
  <si>
    <t>"Нон тўкинлик гарови" хусусий корхонаси</t>
  </si>
  <si>
    <t>"Qo''qon tong shabnami" масъуляти чекланган жамияти</t>
  </si>
  <si>
    <t>ЯТТ Ганиев Сайиджон Вахобжон-угли</t>
  </si>
  <si>
    <t>ЯТТ Кучкаров Толибжон Рахимович</t>
  </si>
  <si>
    <t>ЯТТ Саттаров Равшан Каххорович</t>
  </si>
  <si>
    <t>ЯТТ Исмоилов Темурбек Икболжон угли</t>
  </si>
  <si>
    <t>ЯТТ Усмонов Шавкатжон Гуломович</t>
  </si>
  <si>
    <t>ЯТТ Дехконов Бекмурод Меликузиевич</t>
  </si>
  <si>
    <t>ЯТТ Алиев Азиз Аминович</t>
  </si>
  <si>
    <t>ЯТТ Орипов Бахромжон Бахтиёр угли</t>
  </si>
  <si>
    <t>Муйдинов Икболжон Икромжон угли</t>
  </si>
  <si>
    <t>"PERPETUAL LUCRATIVE INVEST" масъулияти чекланган жамияти</t>
  </si>
  <si>
    <t>"Мухриддин Иродахон зийнати" оилавий корхонаси</t>
  </si>
  <si>
    <t>ЯТТ Гуломов Авазжон Гайратжон угли</t>
  </si>
  <si>
    <t>ЯТТ Содиков Низом Мирномонович</t>
  </si>
  <si>
    <t>ЯТТ Абдуллаев Ахроржон Абдусамадович</t>
  </si>
  <si>
    <t>"Bicycle trading invest" масъуляти чекланган жамияти</t>
  </si>
  <si>
    <t>ЯТТ Тешаева Иродахон Ризиевна</t>
  </si>
  <si>
    <t>"Xolis tarafdori" адвакатлик бюроси</t>
  </si>
  <si>
    <t>"Dang'ara chorva ko'zgusi " МЧЖ шаклидаги Агрофирма</t>
  </si>
  <si>
    <t>ЯТТ Мелизияев Азизбек Шукуржон угли</t>
  </si>
  <si>
    <t>ЯТТ Мирзалиев Дониёржон Сахобиддин угли</t>
  </si>
  <si>
    <t>ЯТТ Джурабоев Азизжон Абдухамидович</t>
  </si>
  <si>
    <t>ЯТТ Хайдаров Бокижон Тургунович</t>
  </si>
  <si>
    <t>ЯТТ Улугхаджаева Назокат Назировна</t>
  </si>
  <si>
    <t>ЯТТ Рахимов Фарходжон Мамурович</t>
  </si>
  <si>
    <t>ЯТТ Тожиев Муйдинхужа Мансурхужаевич</t>
  </si>
  <si>
    <t>ЯТТ Турсунов Азизбек Гайратович</t>
  </si>
  <si>
    <t>ЯТТ Кучкорова Нодирахон Комилжон кизи</t>
  </si>
  <si>
    <t>ЯТТ Мирвалиев Музаффарбек Абдурахмон угли</t>
  </si>
  <si>
    <t>ЯТТ Тухтаназаров Хумоюн Шоназар угли</t>
  </si>
  <si>
    <t>ЯТТ Алимов Исмаил Джурабоевич</t>
  </si>
  <si>
    <t>ЯТТ Масадикова Дилдора Исломходжаевна</t>
  </si>
  <si>
    <t>ЯТТ Мирхамзаев Мирмаксуд Мирмуксимович</t>
  </si>
  <si>
    <t>ЯТТ Аминжонов Абдулворис Исмоилжон-угли</t>
  </si>
  <si>
    <t>"Durdona ziyo" масъуляти чекланган жамияти</t>
  </si>
  <si>
    <t>"Ismoiljon Abdulaziz" масъуляти чекланган жамияти</t>
  </si>
  <si>
    <t>ЯТТ Исроилов Бахромжон Икболжон угли</t>
  </si>
  <si>
    <t>DANG`ARA AVTOSHINA SAVDO маъсуляти чекланган жамият</t>
  </si>
  <si>
    <t>ЯТТ РАХИМОВ ШУКУРЖОН ЮНУСОВИЧ</t>
  </si>
  <si>
    <t>"Хумоюн Мирзи Мебел" оилавий корхонаси</t>
  </si>
  <si>
    <t>ЯТТ Мирзатолибов Нодирбек Гайратжон угли</t>
  </si>
  <si>
    <t>"ZARRIN NUR SAVDO " масъуляти чекланган жамияти</t>
  </si>
  <si>
    <t>ЯТТ Расулов Абдурахмон Мамуржон угли</t>
  </si>
  <si>
    <t>ЯТТ Ахмадалиев Нуриддин Мухитдинович</t>
  </si>
  <si>
    <t>ЯТТ Хамидов Жамшид Рахмонович</t>
  </si>
  <si>
    <t>ЯТТ Рустамов Ахроржон Олимжонович</t>
  </si>
  <si>
    <t>ЯТТ Отакулов Нодиржон Нишонбоевич</t>
  </si>
  <si>
    <t>"Кароматхон Нурли зиёси" дехкон хужалиги</t>
  </si>
  <si>
    <t>"Umid nur trans" масъуляти чекланган жамияти</t>
  </si>
  <si>
    <t>"Etalon Elite Textile" масъуляти чекланган жамияти</t>
  </si>
  <si>
    <t>ЯТТ Норматова Гулмира Шарофидиновна</t>
  </si>
  <si>
    <t>"Найманча курки" дехкон хужалиги</t>
  </si>
  <si>
    <t>ЯТТ Масудов Муслимхон Мухаммадхон угли</t>
  </si>
  <si>
    <t>ЯТТ Джалолов Исмоил Хусанович</t>
  </si>
  <si>
    <t>"Erkinjon bo'stonliq fayzi" dexqon jo'jaliqi</t>
  </si>
  <si>
    <t>ЯТТ Муминов Бахтиёр Турсунович</t>
  </si>
  <si>
    <t>"Boqiy sharaf" масъуляти чекланган жамияти</t>
  </si>
  <si>
    <t>"Дангара Фар Нихон" дехкон хужалиги</t>
  </si>
  <si>
    <t>ЯТТ Аманходжаев Мухсин Мамурович</t>
  </si>
  <si>
    <t>ЯТТ Кодирова Шохсанамхон Камолиддин-кизи</t>
  </si>
  <si>
    <t>ЯТТ Рузматов Санжарбек Тохирович</t>
  </si>
  <si>
    <t>"Иззат Нурия савдо" МЧЖ</t>
  </si>
  <si>
    <t>ЯТТ Нурматов Давронжон Гуломович</t>
  </si>
  <si>
    <t>YATT Yigitaliyev Zaxriddin Zokirovich</t>
  </si>
  <si>
    <t>"Ширин чой файзи" оилавий корхонаси</t>
  </si>
  <si>
    <t>ЯТТ Рахматуллаев Ёркинжон Азамович</t>
  </si>
  <si>
    <t>Ozod yurt yog'dusi oilaviy korxonasi</t>
  </si>
  <si>
    <t>"Давронжон Жумабоев" дехкон хужалиги</t>
  </si>
  <si>
    <t>ADRAS TRADING MCHJ</t>
  </si>
  <si>
    <t>SARDORBEK NE'MATI ДЕХКОН ХУЖАЛИГИ</t>
  </si>
  <si>
    <t>ЯТТ АСКАРЖОНОВ МУХАММАДЮНУС РАУФЖОН УГЛИ</t>
  </si>
  <si>
    <t>DANG'ARA YUKSALISH SAVDO МЧЖ</t>
  </si>
  <si>
    <t>ЯTT MADAMINOV YODGORJON MUXTAROVICH</t>
  </si>
  <si>
    <t>MINAVAROVA SOLIXABONU ДЕХКОН ХУЖАЛИГИ</t>
  </si>
  <si>
    <t>ZILOLA ZIYODA GULZODA дехкон хужалиги</t>
  </si>
  <si>
    <t>ЯТТ Шодиев Рустам Шокир-угли</t>
  </si>
  <si>
    <t>ЯТТ МАМАТКУЛОВ САРДОРЖОН РЕЖАВАЛИ УГЛИ</t>
  </si>
  <si>
    <t>TAKOMIL KELAJAK МЧЖ</t>
  </si>
  <si>
    <t>ЯТТ Уктамов Убайдулло Хамидулло угли</t>
  </si>
  <si>
    <t>ЯТТ ХАЛИЛОВ САЛОХИДДИН САДИРДИН УГЛИ</t>
  </si>
  <si>
    <t>ORIENT KOMPOSIT INVEST мчж</t>
  </si>
  <si>
    <t>YUNUSOV ULUG'BEK FAYZI дехкон хужалиги</t>
  </si>
  <si>
    <t>ЯТТ ЭРМАНОВА ХУМОРАХОН ИЛХОМЖОН КИЗИ</t>
  </si>
  <si>
    <t>ЯТТНИШАНБАЕВ БАХРОМ ПУЛАТОВИЧ</t>
  </si>
  <si>
    <t>BAXROMJON TARAQQIYOTI МЧЖ</t>
  </si>
  <si>
    <t>ЯТТ МЕРГАНЖОНОВА МОХИНУР ГАЙРАТЖОН КИЗИ</t>
  </si>
  <si>
    <t>ЯТТ РУЗМАТОВА МАХЛИЁ ЮЛДАШЕВНА</t>
  </si>
  <si>
    <t>ЯТТ МАМАТКУЛОВ ХАБИБ ГУЛАМОВИЧ</t>
  </si>
  <si>
    <t>DOVUD хусусий корхонаси</t>
  </si>
  <si>
    <t>Мирзакаримхожи хсичф</t>
  </si>
  <si>
    <t>"Адолат шамчироги" адвакатлик фирмаси</t>
  </si>
  <si>
    <t>Хусусий тадбиркор Хамидов Нодир Абдурахимович</t>
  </si>
  <si>
    <t>Х Т Мамадалиев Рахимжон Умматалиевич</t>
  </si>
  <si>
    <t>Дангара икбол файзи дехкон хужалиги</t>
  </si>
  <si>
    <t>"Дангара Сохиби Лутф" дехкон хужалиги</t>
  </si>
  <si>
    <t>Дил Мехр Дилкаш дехкон хужалиги</t>
  </si>
  <si>
    <t>"Навкирон Вали Сохиб " мчж</t>
  </si>
  <si>
    <t>ЯТТ Омонов Элбек Шовкатжонович</t>
  </si>
  <si>
    <t>"УЛУГБЕК МЕГА ТРАНС" масъулияти чекланган жамият</t>
  </si>
  <si>
    <t>Кукон Хамкор файз маъсулияти чекланган жамияти</t>
  </si>
  <si>
    <t>"Шаркий Орбитал Транс" МЧЖ</t>
  </si>
  <si>
    <t>ЯТТ МАХКАМОВА ГУЛБАХОР НЕЪМАТОВНА</t>
  </si>
  <si>
    <t>"Дангара мукаммал инвест савдо" МЧЖ</t>
  </si>
  <si>
    <t>DANG`ARA ORIGINAL SERVIS маъсуляти чекланган жамият</t>
  </si>
  <si>
    <t>"Iskandar Raxmon" хусусий корхонаси</t>
  </si>
  <si>
    <t>DANGARA DOCTOR TRANS маъсуляти чекланган жамият</t>
  </si>
  <si>
    <t>"REAL RICHMOND INVEST" МЧЖ</t>
  </si>
  <si>
    <t>ABDULLAEV SHOXRUX FAYZI ОИЛАВИЙ КОРХОНАСИ</t>
  </si>
  <si>
    <t>20208000700206621001</t>
  </si>
  <si>
    <t>20208000900211569001</t>
  </si>
  <si>
    <t>20208000400224473002</t>
  </si>
  <si>
    <t>20208000200230390001</t>
  </si>
  <si>
    <t>20208000900280433001</t>
  </si>
  <si>
    <t>20208000900290628001</t>
  </si>
  <si>
    <t>20208000200301020001</t>
  </si>
  <si>
    <t>20208000900301205001</t>
  </si>
  <si>
    <t>20208000600392426001</t>
  </si>
  <si>
    <t>20208000900393235001</t>
  </si>
  <si>
    <t>20208000300393580001</t>
  </si>
  <si>
    <t>20218000200398185001</t>
  </si>
  <si>
    <t>20208000400401313001</t>
  </si>
  <si>
    <t>20208000300402419001</t>
  </si>
  <si>
    <t>20218000700402886001</t>
  </si>
  <si>
    <t>20218000600404750001</t>
  </si>
  <si>
    <t>20208000000405424001</t>
  </si>
  <si>
    <t>20208000900411170001</t>
  </si>
  <si>
    <t>20218000600417471001</t>
  </si>
  <si>
    <t>20218000200419603001</t>
  </si>
  <si>
    <t>20208000800424370001</t>
  </si>
  <si>
    <t>20218000200424540001</t>
  </si>
  <si>
    <t>20208000200426663001</t>
  </si>
  <si>
    <t>20218000300434169001</t>
  </si>
  <si>
    <t>20218000800440582001</t>
  </si>
  <si>
    <t>20208000600442044001</t>
  </si>
  <si>
    <t>20208000900442231001</t>
  </si>
  <si>
    <t>20218000700445485001</t>
  </si>
  <si>
    <t>20218000300447007001</t>
  </si>
  <si>
    <t>20218000000447099001</t>
  </si>
  <si>
    <t>20208000600449675001</t>
  </si>
  <si>
    <t>20218000700455158001</t>
  </si>
  <si>
    <t>20208000100457804001</t>
  </si>
  <si>
    <t>20218000200462088001</t>
  </si>
  <si>
    <t>20218000000462527001</t>
  </si>
  <si>
    <t>20218000000465499001</t>
  </si>
  <si>
    <t>20218000100465503001</t>
  </si>
  <si>
    <t>20218000200473140001</t>
  </si>
  <si>
    <t>20218000300473936001</t>
  </si>
  <si>
    <t>20218000000479761001</t>
  </si>
  <si>
    <t>20218000400479762001</t>
  </si>
  <si>
    <t>20218000000480953001</t>
  </si>
  <si>
    <t>20218000500480954001</t>
  </si>
  <si>
    <t>20208000300484425001</t>
  </si>
  <si>
    <t>20218000100487057001</t>
  </si>
  <si>
    <t>20218000700487058001</t>
  </si>
  <si>
    <t>20218000200487059001</t>
  </si>
  <si>
    <t>20218000700493084001</t>
  </si>
  <si>
    <t>20208000900493085001</t>
  </si>
  <si>
    <t>20208000000494079001</t>
  </si>
  <si>
    <t>20218000000497139001</t>
  </si>
  <si>
    <t>20218000400502419001</t>
  </si>
  <si>
    <t>20218000900503108001</t>
  </si>
  <si>
    <t>20218000900503109001</t>
  </si>
  <si>
    <t>20218000100512633001</t>
  </si>
  <si>
    <t>20218000300515162001</t>
  </si>
  <si>
    <t>20218000900517627001</t>
  </si>
  <si>
    <t>20218000900519007001</t>
  </si>
  <si>
    <t>20218000100519341001</t>
  </si>
  <si>
    <t>20208000000521207001</t>
  </si>
  <si>
    <t>20208000900522659001</t>
  </si>
  <si>
    <t>20218000100549268001</t>
  </si>
  <si>
    <t>20218000700549331001</t>
  </si>
  <si>
    <t>20218000900549353001</t>
  </si>
  <si>
    <t>20208000200552491001</t>
  </si>
  <si>
    <t>20218000500562312001</t>
  </si>
  <si>
    <t>20208000300562685001</t>
  </si>
  <si>
    <t>20208000700573582001</t>
  </si>
  <si>
    <t>20218000100578522001</t>
  </si>
  <si>
    <t>20218000000578523001</t>
  </si>
  <si>
    <t>20218000100582119001</t>
  </si>
  <si>
    <t>20218000800582260001</t>
  </si>
  <si>
    <t>20218000900585835001</t>
  </si>
  <si>
    <t>20218000200585867001</t>
  </si>
  <si>
    <t>20218000500589915001</t>
  </si>
  <si>
    <t>20218000400591040001</t>
  </si>
  <si>
    <t>20218000200596122001</t>
  </si>
  <si>
    <t>20218000900596123001</t>
  </si>
  <si>
    <t>20218000900598968001</t>
  </si>
  <si>
    <t>20218000800601266001</t>
  </si>
  <si>
    <t>20218000500602418001</t>
  </si>
  <si>
    <t>20218000600606283001</t>
  </si>
  <si>
    <t>20218000900606284001</t>
  </si>
  <si>
    <t>20208000400606847001</t>
  </si>
  <si>
    <t>20208000900606848001</t>
  </si>
  <si>
    <t>20218000900611139001</t>
  </si>
  <si>
    <t>20208000000611616001</t>
  </si>
  <si>
    <t>20218000900611705001</t>
  </si>
  <si>
    <t>20208000400611943001</t>
  </si>
  <si>
    <t>20218000100611944001</t>
  </si>
  <si>
    <t>20208000300611946001</t>
  </si>
  <si>
    <t>20218000500613004001</t>
  </si>
  <si>
    <t>20218000000613710001</t>
  </si>
  <si>
    <t>20218000700616248002</t>
  </si>
  <si>
    <t>20218000000616418001</t>
  </si>
  <si>
    <t>20218000100616923001</t>
  </si>
  <si>
    <t>20208000600617444001</t>
  </si>
  <si>
    <t>20208000500619370001</t>
  </si>
  <si>
    <t>20208000100624667001</t>
  </si>
  <si>
    <t>20218000400626729001</t>
  </si>
  <si>
    <t>20208000300626730001</t>
  </si>
  <si>
    <t>20218000100626731001</t>
  </si>
  <si>
    <t>20218000900628923001</t>
  </si>
  <si>
    <t>20208000900629175001</t>
  </si>
  <si>
    <t>20218000800633118001</t>
  </si>
  <si>
    <t>20208000600633119001</t>
  </si>
  <si>
    <t>20208000900639031001</t>
  </si>
  <si>
    <t>20218000000642475001</t>
  </si>
  <si>
    <t>20218000400644066001</t>
  </si>
  <si>
    <t>20218000700647797001</t>
  </si>
  <si>
    <t>20208000800648246001</t>
  </si>
  <si>
    <t>20218000900652942001</t>
  </si>
  <si>
    <t>20218000600656123001</t>
  </si>
  <si>
    <t>20208000800656450001</t>
  </si>
  <si>
    <t>20218000900658234001</t>
  </si>
  <si>
    <t>20208000800661706001</t>
  </si>
  <si>
    <t>20208000900664159001</t>
  </si>
  <si>
    <t>20208000000671982001</t>
  </si>
  <si>
    <t>20208000600674463001</t>
  </si>
  <si>
    <t>20218000100674464001</t>
  </si>
  <si>
    <t>20208000500675599001</t>
  </si>
  <si>
    <t>20218000800677202001</t>
  </si>
  <si>
    <t>20208000200679769001</t>
  </si>
  <si>
    <t>20208000000680322001</t>
  </si>
  <si>
    <t>20218000900681988001</t>
  </si>
  <si>
    <t>20218000800682335001</t>
  </si>
  <si>
    <t>20208000900683608001</t>
  </si>
  <si>
    <t>20218000100687373001</t>
  </si>
  <si>
    <t>20218000600689244001</t>
  </si>
  <si>
    <t>20208000900690649001</t>
  </si>
  <si>
    <t>20208000500691119001</t>
  </si>
  <si>
    <t>20218000200691340001</t>
  </si>
  <si>
    <t>20218000300692449001</t>
  </si>
  <si>
    <t>20208000900695877001</t>
  </si>
  <si>
    <t>20218000000697538001</t>
  </si>
  <si>
    <t>20218000700697539001</t>
  </si>
  <si>
    <t>20218000800701970001</t>
  </si>
  <si>
    <t>20208000302855578001</t>
  </si>
  <si>
    <t>20208000004007723001</t>
  </si>
  <si>
    <t>20208000904193940001</t>
  </si>
  <si>
    <t>20218000504402269001</t>
  </si>
  <si>
    <t>20218000404423679001</t>
  </si>
  <si>
    <t>20208000904512566001</t>
  </si>
  <si>
    <t>20208000904514422001</t>
  </si>
  <si>
    <t>20208000904518860001</t>
  </si>
  <si>
    <t>20218000904581961001</t>
  </si>
  <si>
    <t>20208000704591829001</t>
  </si>
  <si>
    <t>20218000904675424001</t>
  </si>
  <si>
    <t>20208000804746588001</t>
  </si>
  <si>
    <t>20208000704822914001</t>
  </si>
  <si>
    <t>20208000704855421001</t>
  </si>
  <si>
    <t>20218000804947118001</t>
  </si>
  <si>
    <t>20208000404959848001</t>
  </si>
  <si>
    <t>20208000104960728888</t>
  </si>
  <si>
    <t>20208000904976035001</t>
  </si>
  <si>
    <t>20208000804987183001</t>
  </si>
  <si>
    <t>20208000305011880005</t>
  </si>
  <si>
    <t>20208000905013538001</t>
  </si>
  <si>
    <t>00206621</t>
  </si>
  <si>
    <t>00211569</t>
  </si>
  <si>
    <t>00224473</t>
  </si>
  <si>
    <t>00230390</t>
  </si>
  <si>
    <t>00280433</t>
  </si>
  <si>
    <t>00290628</t>
  </si>
  <si>
    <t>00301020</t>
  </si>
  <si>
    <t>00301205</t>
  </si>
  <si>
    <t>00392426</t>
  </si>
  <si>
    <t>00393235</t>
  </si>
  <si>
    <t>00393580</t>
  </si>
  <si>
    <t>00398185</t>
  </si>
  <si>
    <t>00401313</t>
  </si>
  <si>
    <t>00402419</t>
  </si>
  <si>
    <t>00402886</t>
  </si>
  <si>
    <t>00404750</t>
  </si>
  <si>
    <t>00405424</t>
  </si>
  <si>
    <t>00411170</t>
  </si>
  <si>
    <t>00417471</t>
  </si>
  <si>
    <t>00419603</t>
  </si>
  <si>
    <t>00424370</t>
  </si>
  <si>
    <t>00424540</t>
  </si>
  <si>
    <t>00426663</t>
  </si>
  <si>
    <t>00434169</t>
  </si>
  <si>
    <t>00440582</t>
  </si>
  <si>
    <t>00442044</t>
  </si>
  <si>
    <t>00442231</t>
  </si>
  <si>
    <t>00445485</t>
  </si>
  <si>
    <t>00447007</t>
  </si>
  <si>
    <t>00447099</t>
  </si>
  <si>
    <t>00449675</t>
  </si>
  <si>
    <t>00455158</t>
  </si>
  <si>
    <t>00457804</t>
  </si>
  <si>
    <t>00462088</t>
  </si>
  <si>
    <t>00462527</t>
  </si>
  <si>
    <t>00465499</t>
  </si>
  <si>
    <t>00465503</t>
  </si>
  <si>
    <t>00473140</t>
  </si>
  <si>
    <t>00473936</t>
  </si>
  <si>
    <t>00479762</t>
  </si>
  <si>
    <t>00480953</t>
  </si>
  <si>
    <t>00480954</t>
  </si>
  <si>
    <t>00484425</t>
  </si>
  <si>
    <t>00487057</t>
  </si>
  <si>
    <t>00487058</t>
  </si>
  <si>
    <t>00487059</t>
  </si>
  <si>
    <t>00493084</t>
  </si>
  <si>
    <t>00493085</t>
  </si>
  <si>
    <t>00494079</t>
  </si>
  <si>
    <t>00497139</t>
  </si>
  <si>
    <t>00502419</t>
  </si>
  <si>
    <t>00503108</t>
  </si>
  <si>
    <t>00503109</t>
  </si>
  <si>
    <t>00512633</t>
  </si>
  <si>
    <t>00515162</t>
  </si>
  <si>
    <t>00517627</t>
  </si>
  <si>
    <t>00519007</t>
  </si>
  <si>
    <t>00519341</t>
  </si>
  <si>
    <t>00521207</t>
  </si>
  <si>
    <t>00522659</t>
  </si>
  <si>
    <t>00549268</t>
  </si>
  <si>
    <t>00549331</t>
  </si>
  <si>
    <t>00549353</t>
  </si>
  <si>
    <t>00552491</t>
  </si>
  <si>
    <t>00562312</t>
  </si>
  <si>
    <t>00562685</t>
  </si>
  <si>
    <t>00573582</t>
  </si>
  <si>
    <t>00578522</t>
  </si>
  <si>
    <t>00578523</t>
  </si>
  <si>
    <t>00582119</t>
  </si>
  <si>
    <t>00582260</t>
  </si>
  <si>
    <t>00585835</t>
  </si>
  <si>
    <t>00585867</t>
  </si>
  <si>
    <t>00589915</t>
  </si>
  <si>
    <t>00591040</t>
  </si>
  <si>
    <t>00596122</t>
  </si>
  <si>
    <t>00596123</t>
  </si>
  <si>
    <t>00598968</t>
  </si>
  <si>
    <t>00601266</t>
  </si>
  <si>
    <t>00602418</t>
  </si>
  <si>
    <t>00606283</t>
  </si>
  <si>
    <t>00606284</t>
  </si>
  <si>
    <t>00606847</t>
  </si>
  <si>
    <t>00606848</t>
  </si>
  <si>
    <t>00611139</t>
  </si>
  <si>
    <t>00611616</t>
  </si>
  <si>
    <t>00611705</t>
  </si>
  <si>
    <t>00611943</t>
  </si>
  <si>
    <t>00611944</t>
  </si>
  <si>
    <t>00611946</t>
  </si>
  <si>
    <t>00613004</t>
  </si>
  <si>
    <t>00613710</t>
  </si>
  <si>
    <t>00616248</t>
  </si>
  <si>
    <t>00616418</t>
  </si>
  <si>
    <t>00616923</t>
  </si>
  <si>
    <t>00617444</t>
  </si>
  <si>
    <t>00619370</t>
  </si>
  <si>
    <t>00624667</t>
  </si>
  <si>
    <t>00626729</t>
  </si>
  <si>
    <t>00626730</t>
  </si>
  <si>
    <t>00626731</t>
  </si>
  <si>
    <t>00628923</t>
  </si>
  <si>
    <t>00629175</t>
  </si>
  <si>
    <t>00633118</t>
  </si>
  <si>
    <t>00633119</t>
  </si>
  <si>
    <t>00639031</t>
  </si>
  <si>
    <t>00642475</t>
  </si>
  <si>
    <t>00644066</t>
  </si>
  <si>
    <t>00647797</t>
  </si>
  <si>
    <t>00648246</t>
  </si>
  <si>
    <t>00652942</t>
  </si>
  <si>
    <t>00656123</t>
  </si>
  <si>
    <t>00656450</t>
  </si>
  <si>
    <t>00658234</t>
  </si>
  <si>
    <t>00661706</t>
  </si>
  <si>
    <t>00664159</t>
  </si>
  <si>
    <t>00671982</t>
  </si>
  <si>
    <t>00674463</t>
  </si>
  <si>
    <t>00674464</t>
  </si>
  <si>
    <t>00675599</t>
  </si>
  <si>
    <t>00677202</t>
  </si>
  <si>
    <t>00679769</t>
  </si>
  <si>
    <t>00680322</t>
  </si>
  <si>
    <t>00681988</t>
  </si>
  <si>
    <t>00682335</t>
  </si>
  <si>
    <t>00683608</t>
  </si>
  <si>
    <t>00687373</t>
  </si>
  <si>
    <t>00689244</t>
  </si>
  <si>
    <t>00690649</t>
  </si>
  <si>
    <t>00691119</t>
  </si>
  <si>
    <t>00691340</t>
  </si>
  <si>
    <t>00692449</t>
  </si>
  <si>
    <t>00695877</t>
  </si>
  <si>
    <t>00697538</t>
  </si>
  <si>
    <t>00697539</t>
  </si>
  <si>
    <t>00701970</t>
  </si>
  <si>
    <t>02855578</t>
  </si>
  <si>
    <t>04007723</t>
  </si>
  <si>
    <t>04193940</t>
  </si>
  <si>
    <t>04402269</t>
  </si>
  <si>
    <t>04423679</t>
  </si>
  <si>
    <t>04512566</t>
  </si>
  <si>
    <t>04514422</t>
  </si>
  <si>
    <t>04518860</t>
  </si>
  <si>
    <t>04581961</t>
  </si>
  <si>
    <t>04591829</t>
  </si>
  <si>
    <t>04675424</t>
  </si>
  <si>
    <t>04746588</t>
  </si>
  <si>
    <t>04822914</t>
  </si>
  <si>
    <t>04855421</t>
  </si>
  <si>
    <t>04947118</t>
  </si>
  <si>
    <t>04959848</t>
  </si>
  <si>
    <t>04960728</t>
  </si>
  <si>
    <t>04976035</t>
  </si>
  <si>
    <t>04987183</t>
  </si>
  <si>
    <t>05011880</t>
  </si>
  <si>
    <t>05013538</t>
  </si>
  <si>
    <t>2016 йил 03 майда тугаган</t>
  </si>
  <si>
    <t>санаси ва бошкарувчи имзоси куйилмаган</t>
  </si>
  <si>
    <t>2016 йил августда тугаган</t>
  </si>
  <si>
    <t>Санаси ва бошкарувчи имзоси</t>
  </si>
  <si>
    <t>бошкарувчи имзоси</t>
  </si>
  <si>
    <t>Мижоз имзоси ва санаси хамда хисоб раками филиал бош бухгалтерининг имзоси куйилмаган</t>
  </si>
  <si>
    <t>2016 йил 04 февралда тугаган</t>
  </si>
  <si>
    <t>Мижоз имзоси</t>
  </si>
  <si>
    <t>санаси ва бошкарувчи имзоси</t>
  </si>
  <si>
    <t>санаси ва бошкурувчи имзоси</t>
  </si>
  <si>
    <t>мижоз имзоси</t>
  </si>
  <si>
    <t>ХТ Алиев сайдали султонович</t>
  </si>
  <si>
    <t>Информационные таблички</t>
  </si>
  <si>
    <t>Тадбиркорлик фаолияти конунчилиги 1-том</t>
  </si>
  <si>
    <t>Тадбиркорлик фаолияти конунчилиги 2-том</t>
  </si>
  <si>
    <t>квартальный календарь + лак (сетка 80гр.,28,7*67см)</t>
  </si>
  <si>
    <t>книга "Бош максадимиз-иктисодиётимизда олиб борилаётган..." И.Каримов</t>
  </si>
  <si>
    <t>конверт дарчасиз</t>
  </si>
  <si>
    <t>настенный календарь (А1,200гр, 4+0,лак)</t>
  </si>
  <si>
    <t>настольный календарь(вн.13листов,А5,4+4,250гр.),(4+4,хромэрзация 325 гр.)</t>
  </si>
  <si>
    <t>папка с карманом (А4,4+0,300гр.лак)</t>
  </si>
  <si>
    <t>КИЛОГРАММ</t>
  </si>
  <si>
    <t>МПК клиент</t>
  </si>
  <si>
    <t>А 4 форматдаги ок когоз олиш учун утказилди</t>
  </si>
  <si>
    <t>Скоросшиватель олиш учун уткащзилди</t>
  </si>
  <si>
    <t>Иш журнали олиш учун утказилди</t>
  </si>
  <si>
    <t>Рулон когозолиш учун утказилди</t>
  </si>
  <si>
    <t>Ручка олиш учун утказилди</t>
  </si>
  <si>
    <t>Шартномага асосан оракол хизмати учун утказилди</t>
  </si>
  <si>
    <t>2017 йил 09 феврал ҳолатига хатловдан кейинги қолдиқ</t>
  </si>
  <si>
    <t>Руководитель</t>
  </si>
  <si>
    <t>Главный бухгалтер</t>
  </si>
  <si>
    <t>45921</t>
  </si>
  <si>
    <t>Хисобдан чикарилган маблагларнинг кайтарилиши</t>
  </si>
  <si>
    <t>25.01.2018</t>
  </si>
  <si>
    <t>26.02.2018</t>
  </si>
  <si>
    <t>25.12.2017</t>
  </si>
  <si>
    <t>31.01.2018</t>
  </si>
  <si>
    <t>22.01.2018</t>
  </si>
  <si>
    <t>15.02.2018</t>
  </si>
  <si>
    <t>25.03.2018</t>
  </si>
  <si>
    <t>24.02.2018</t>
  </si>
  <si>
    <t>09.01.2018</t>
  </si>
  <si>
    <t>14.12.2017</t>
  </si>
  <si>
    <t>29.03.2018</t>
  </si>
  <si>
    <t>16.03.2018</t>
  </si>
  <si>
    <t>27.03.2018</t>
  </si>
  <si>
    <t>27.02.2018</t>
  </si>
  <si>
    <t>07.12.2017</t>
  </si>
  <si>
    <t>14.03.2018</t>
  </si>
  <si>
    <t>05.02.2018</t>
  </si>
  <si>
    <t>19.02.2018</t>
  </si>
  <si>
    <t>Омбордаги кам баҳоли ва тез эскирувчи буюмлар ҳамда бошқа қимматликлар</t>
  </si>
  <si>
    <t>01.12.2017</t>
  </si>
  <si>
    <t>04.12.2017</t>
  </si>
  <si>
    <t>05.12.2017</t>
  </si>
  <si>
    <t>06.12.2017</t>
  </si>
  <si>
    <t>11.12.2017</t>
  </si>
  <si>
    <t>12.12.2017</t>
  </si>
  <si>
    <t>13.12.2017</t>
  </si>
  <si>
    <t>15.12.2017</t>
  </si>
  <si>
    <t>17.12.2017</t>
  </si>
  <si>
    <t>18.12.2017</t>
  </si>
  <si>
    <t>19.12.2017</t>
  </si>
  <si>
    <t>20.12.2017</t>
  </si>
  <si>
    <t>21.12.2017</t>
  </si>
  <si>
    <t>27.12.2017</t>
  </si>
  <si>
    <t>28.12.2017</t>
  </si>
  <si>
    <t>04.01.2018</t>
  </si>
  <si>
    <t>05.01.2018</t>
  </si>
  <si>
    <t>06.01.2018</t>
  </si>
  <si>
    <t>08.01.2018</t>
  </si>
  <si>
    <t>10.01.2018</t>
  </si>
  <si>
    <t>11.01.2018</t>
  </si>
  <si>
    <t>12.01.2018</t>
  </si>
  <si>
    <t>15.01.2018</t>
  </si>
  <si>
    <t>17.01.2018</t>
  </si>
  <si>
    <t>18.01.2018</t>
  </si>
  <si>
    <t>19.01.2018</t>
  </si>
  <si>
    <t>23.01.2018</t>
  </si>
  <si>
    <t>24.01.2018</t>
  </si>
  <si>
    <t>27.01.2018</t>
  </si>
  <si>
    <t>30.01.2018</t>
  </si>
  <si>
    <t>02.02.2018</t>
  </si>
  <si>
    <t>06.02.2018</t>
  </si>
  <si>
    <t>07.02.2018</t>
  </si>
  <si>
    <t>08.02.2018</t>
  </si>
  <si>
    <t>09.02.2018</t>
  </si>
  <si>
    <t>12.02.2018</t>
  </si>
  <si>
    <t>13.02.2018</t>
  </si>
  <si>
    <t>14.02.2018</t>
  </si>
  <si>
    <t>28.02.2018</t>
  </si>
  <si>
    <t>01.03.2018</t>
  </si>
  <si>
    <t>02.03.2018</t>
  </si>
  <si>
    <t>05.03.2018</t>
  </si>
  <si>
    <t>06.03.2018</t>
  </si>
  <si>
    <t>07.03.2018</t>
  </si>
  <si>
    <t>09.03.2018</t>
  </si>
  <si>
    <t>12.03.2018</t>
  </si>
  <si>
    <t>13.03.2018</t>
  </si>
  <si>
    <t>15.03.2018</t>
  </si>
  <si>
    <t>17.03.2018</t>
  </si>
  <si>
    <t>28.03.2018</t>
  </si>
  <si>
    <t>30.03.2018</t>
  </si>
  <si>
    <t>31.03.2018</t>
  </si>
  <si>
    <t>10507</t>
  </si>
  <si>
    <t>Транзит хисобвараклари</t>
  </si>
  <si>
    <t>55995</t>
  </si>
  <si>
    <t>Бошка фоизсиз харажатлар</t>
  </si>
  <si>
    <t>55900</t>
  </si>
  <si>
    <t>№ 02 от 30.03.2018 20.03.17й №11/13-07 ОСОГО шартномага асосан согирта полиси учун утказилди</t>
  </si>
  <si>
    <t>29802000500000793003</t>
  </si>
  <si>
    <t>Авто таъмири учун</t>
  </si>
  <si>
    <t>56710/268</t>
  </si>
  <si>
    <t>НПС</t>
  </si>
  <si>
    <t xml:space="preserve">   - қисқа муддатли ва муддати утган ссудалар</t>
  </si>
  <si>
    <t>Хўжалик юритувчи субъектларнинг ва банкнинг транзит ҳисоб рақамларига мижозларнинг пластик карталардан келиб тушган маблағлари</t>
  </si>
  <si>
    <t>29.02.2016</t>
  </si>
  <si>
    <t>30.06.2016</t>
  </si>
  <si>
    <t>28.07.2016</t>
  </si>
  <si>
    <t>29.07.2016</t>
  </si>
  <si>
    <t>31.10.2016</t>
  </si>
  <si>
    <t>29.11.2016</t>
  </si>
  <si>
    <t>15.12.2016</t>
  </si>
  <si>
    <t>29.01.2017</t>
  </si>
  <si>
    <t>31.01.2017</t>
  </si>
  <si>
    <t>18.02.2017</t>
  </si>
  <si>
    <t>13.03.2017</t>
  </si>
  <si>
    <t>12.04.2017</t>
  </si>
  <si>
    <t>12.05.2017</t>
  </si>
  <si>
    <t>29.05.2017</t>
  </si>
  <si>
    <t>24.06.2017</t>
  </si>
  <si>
    <t>26.07.2017</t>
  </si>
  <si>
    <t>31.07.2017</t>
  </si>
  <si>
    <t>11.08.2017</t>
  </si>
  <si>
    <t>15.08.2017</t>
  </si>
  <si>
    <t>31.08.2017</t>
  </si>
  <si>
    <t>07.09.2017</t>
  </si>
  <si>
    <t>12.09.2017</t>
  </si>
  <si>
    <t>29.10.2017</t>
  </si>
  <si>
    <t>16.12.2017</t>
  </si>
  <si>
    <t>20.02.2018</t>
  </si>
  <si>
    <t>18.04.2018</t>
  </si>
  <si>
    <t>24.05.2018</t>
  </si>
  <si>
    <t>30.05.2018</t>
  </si>
  <si>
    <t>28.07.2018</t>
  </si>
  <si>
    <t>19909000000000708300</t>
  </si>
  <si>
    <t>19909000400000708561</t>
  </si>
  <si>
    <t>22205000200000708708</t>
  </si>
  <si>
    <t>19909000900000708290</t>
  </si>
  <si>
    <t>19909000000000708921</t>
  </si>
  <si>
    <t>Асасий воситаларни сотиб олиш</t>
  </si>
  <si>
    <t>Сотиб олинаётган Товар-моддий кимматликлар (Асосий восита) учун олдиндан тулов</t>
  </si>
  <si>
    <t>Навоий ш.ХБ.Бош банк/филиал-рга туланадиган маблаглар-Товар-моддий кимматликлар</t>
  </si>
  <si>
    <t>КБТЭБ-бошкалар</t>
  </si>
  <si>
    <t>Сотиб олинаётган Товар-моддий кимматликлар (КБТЭБ) учун олдиндан тулов</t>
  </si>
  <si>
    <t>Товар-моддий кимматликлар учун туланган маблаглар (асосий воситалар)</t>
  </si>
  <si>
    <t>00708</t>
  </si>
  <si>
    <t>№ 1 от 29.02.2016 1 дона кресло кирим килинди</t>
  </si>
  <si>
    <t>№ 1 от 30.06.2016 10,05,2016й №146 сонли шарт ас-н 2 дона уриндик олиш учун тулов 100%</t>
  </si>
  <si>
    <t>№ 292 от 12.07.2016 Терминал</t>
  </si>
  <si>
    <t>№ 320 от 29.07.2016 Кандиционер</t>
  </si>
  <si>
    <t>№ 402 от 17.10.2016</t>
  </si>
  <si>
    <t>№ 418 от 26.10.2016 4дона терминал</t>
  </si>
  <si>
    <t>№ 12 от 29.11.2016 03.11.2016 йилдаги №12 сонли шартномага асосан Навоий шахар Халк банкига Лотария столи олиш учун тулов</t>
  </si>
  <si>
    <t>№ 491 от 15.12.2016 1 терминал суммаси</t>
  </si>
  <si>
    <t>№ 489 от 14.12.2016 3 дона термопринтер суммаси</t>
  </si>
  <si>
    <t>№ 1 от 29.01.2017 23.01.2017 йилдаги №55 сонли шартномага асосан Ат Халк банки Навоий щахар филиали учун калонка ва микрофон олиш учун тулов</t>
  </si>
  <si>
    <t>№ 3 от 17.01.2017 1 дона омад лотто сканери суммаси</t>
  </si>
  <si>
    <t>№ 42 от 13.02.2017 Планшет наушник китоблар суммаси МПК</t>
  </si>
  <si>
    <t>№ 98 от 13.03.2017 2 дона терминал ва 200 дона МПК суммаси</t>
  </si>
  <si>
    <t>№ 121 от 12.04.2017 3 дона терминал шаркона лотто латареяси рекламаси</t>
  </si>
  <si>
    <t>№ 152 от 11.05.2017 Терминал ва плакатлар омад кулганда лат рекламаси</t>
  </si>
  <si>
    <t>№ 190 от 29.05.2017 7 дона терминал ва 1000 мпк суммаси</t>
  </si>
  <si>
    <t>№ 230 от 24.06.2017 2дона дамас суммаси</t>
  </si>
  <si>
    <t>№ 1 от 26.07.2017 За гос.номер а/м DAMAS 1 шт согл фарм №1102 от 15/06/17г..</t>
  </si>
  <si>
    <t>№ 243 от 22.07.2017 оргтехника суммаси</t>
  </si>
  <si>
    <t>№ 258 от 02.08.2017 пул санаш машинкаси ,сейф,</t>
  </si>
  <si>
    <t>№ 263 от 14.08.2017 3 дона терминал суммаси</t>
  </si>
  <si>
    <t>№ 284 от 26.08.2017 3 дона дамасга метан установка суммаси</t>
  </si>
  <si>
    <t>№ 288 от 28.08.2017 6 дона планшет суммаси</t>
  </si>
  <si>
    <t>№ 314 от 07.09.2017 5 дона терминал суммаси чиким килинди</t>
  </si>
  <si>
    <t>№ 1 от 12.09.2017 Вил Хб дан олинган 5 (беш) дона терминал ва уларга дастур</t>
  </si>
  <si>
    <t>№ 375 от 28.10.2017 Президент портрети,Терминал,Планшет,термопринтер ва плакат-вевискалар суммаси чиким килинди Навоий ш ХБ 00708</t>
  </si>
  <si>
    <t>№ 447 от 15.12.2017 15дона терминал суммаси</t>
  </si>
  <si>
    <t>№ 1 от 28.12.2017 Бошкарувнинг 2017 йил 07 декабр санасидаги 23-08/1068 сонли рухсат хати ва 12,12,2017йилдаги 278-сонли шартномага асосан кондиционер олиш учун тулов</t>
  </si>
  <si>
    <t>№ 1 от 17.01.2018 05.01.2018 йилги №ХВ-00708 сонли шартномага ас-н принтер сотиб олиш учун тулов ПК-2826</t>
  </si>
  <si>
    <t>№ 1 от 07.02.2018 30.11.2017 йилдаги 3-107-2018 -500558 SD шартномага асаосан Нексия-3 (AV-GS16)автомашина олиш учун 100 % олдиндан тулов</t>
  </si>
  <si>
    <t>№ 1 от 07.02.2018 За сч справка ГСБДД МВД РУ сог договор купли-продажи от 30,11,2017 г оплата 100 %</t>
  </si>
  <si>
    <t>№ 1 от 14.02.2018 За установку ГБО на автомашину Нексия-3 сог дог 08/02 от 08.02.2018г оплата 100% (1 комплект )</t>
  </si>
  <si>
    <t>№ 1 от 20.02.2018 26.01.2018 йилдаги 35/01 сонли шартномага асосан IP телефон Grandstream GXP 1625 телефон аппарати олиш учун тулов</t>
  </si>
  <si>
    <t>№ 1 от 27.02.2018 Нексия -3 автомашинасини техник куриги учун тулов ШХР 4014228605122343422948179</t>
  </si>
  <si>
    <t>№ 1 от 27.02.2018 Нексия-3 автомашинасини руйхатга олиш учун тулов ДРБ учунШХР 401428605122343422948179 ИНН 201122919 Навоий вил ЙХХБ</t>
  </si>
  <si>
    <t>№ 1 от 27.02.2018 Нексия-3 автомашинасига янги тоифадаги КЭГ учун тулов ШХР 4014228609122343422232179</t>
  </si>
  <si>
    <t>№ 1 от 27.02.2018 Нексия -3 автомашинасининг 3 % йул фонди учун тулов ШХР 2003108602122343422221093</t>
  </si>
  <si>
    <t>№ 155 от 18.04.2018 валютние дитектор</t>
  </si>
  <si>
    <t>№ 1 от 24.05.2018 02,05,2018 йилдаги 14 сонли шартномага асосан Домофон олиб укрнатиш учун тулов 100 %</t>
  </si>
  <si>
    <t>№ 220 от 29.05.2018 комп камплект ва призидент аппарати суммаси</t>
  </si>
  <si>
    <t>№ 271 от 19.07.2018 200дона мпк ва 10дона терминал суммаси</t>
  </si>
  <si>
    <t>06.10.2017</t>
  </si>
  <si>
    <t>12.10.2017</t>
  </si>
  <si>
    <t>За ТМЦ (НАКЛАДНАЯ СЧЕТ - ФАКТУРА) № 2 от 06.10.2017 06.10.2017й №2 счет фактурага ас-н Кармана филиалига асосий воситалар берилди</t>
  </si>
  <si>
    <t>За ТМЦ (НАКЛАДНАЯ СЧЕТ - ФАКТУРА) № 3 от 12.10.2017 12.10.2017й №3 счет фактурага ас-н Кармана филиалига асосий воситалар берилди</t>
  </si>
  <si>
    <t>16104000400000708001</t>
  </si>
  <si>
    <t>Нав.ш.ХБФ.Бош банк/филиаллардан олинадиган маблаглар-Товар-моддий кимматликлар.</t>
  </si>
  <si>
    <t>Асосий воситани олиб кетиш учун ишончнома</t>
  </si>
  <si>
    <t>Счёт фактураси йўқ</t>
  </si>
  <si>
    <t>12599</t>
  </si>
  <si>
    <t>22614</t>
  </si>
  <si>
    <t>Мижозларнинг валюта бозорида конвертация килинган маблаглари</t>
  </si>
  <si>
    <t>23110</t>
  </si>
  <si>
    <t>42001</t>
  </si>
  <si>
    <t>Жисмоний шахсларга берилган киска муддатли кредитлар буйича фоизли даромадлар</t>
  </si>
  <si>
    <t>Ижара тулови</t>
  </si>
  <si>
    <t>Банкнинг кредит ва лизинг бериш мажбурияти</t>
  </si>
  <si>
    <t>91800</t>
  </si>
  <si>
    <t>Банкнинг кредит ва лизинг бериш мажбурияти буйича контр-хисобварак</t>
  </si>
  <si>
    <t>АТ "Халқ банк"</t>
  </si>
  <si>
    <t>20208000000600257044</t>
  </si>
  <si>
    <t>20210000600177892001</t>
  </si>
  <si>
    <t>22626000504635779001</t>
  </si>
  <si>
    <t>20208000304839514001</t>
  </si>
  <si>
    <t>22626000504171589001</t>
  </si>
  <si>
    <t>20218000904971307001</t>
  </si>
  <si>
    <t>20210000900305623001</t>
  </si>
  <si>
    <t>20204000200306055002</t>
  </si>
  <si>
    <t>20210000000305986021</t>
  </si>
  <si>
    <t>20208000904972087001</t>
  </si>
  <si>
    <t>20210000900356312001</t>
  </si>
  <si>
    <t>20208000504405775001</t>
  </si>
  <si>
    <t>20206000300000708606</t>
  </si>
  <si>
    <t>20208000100189023001</t>
  </si>
  <si>
    <t>20208000900400610001</t>
  </si>
  <si>
    <t>20208000400810824002</t>
  </si>
  <si>
    <t>РКП УзРТСБ</t>
  </si>
  <si>
    <t>ОА Навоийавтотеххизмат</t>
  </si>
  <si>
    <t>"Ербобоев Алпомиш" хусусий корхонаси</t>
  </si>
  <si>
    <t>"Хуршид авто сервис" МЧЖ</t>
  </si>
  <si>
    <t>ХСУУА Аброр-98</t>
  </si>
  <si>
    <t>АО Навоийавтотеххизмат</t>
  </si>
  <si>
    <t>ЧП Бозорова Г</t>
  </si>
  <si>
    <t>ЖКУ НГМК</t>
  </si>
  <si>
    <t>Навоий ОГФС</t>
  </si>
  <si>
    <t>АО Страх.комп Кафолат</t>
  </si>
  <si>
    <t>YOGDU-TASVIRIY OYINA</t>
  </si>
  <si>
    <t>GRAND KINOVIDEO МЧЖ</t>
  </si>
  <si>
    <t>ООО Business Standart</t>
  </si>
  <si>
    <t>Навоий шахар Халк банки</t>
  </si>
  <si>
    <t>OOO "NG SERVICE"</t>
  </si>
  <si>
    <t>OOO COMPASSGROUP</t>
  </si>
  <si>
    <t>Avtotest Navoiy МЧЖ</t>
  </si>
  <si>
    <t>АО "Уз РТСБ"</t>
  </si>
  <si>
    <t>00491</t>
  </si>
  <si>
    <t>00206</t>
  </si>
  <si>
    <t>00703</t>
  </si>
  <si>
    <t>00211</t>
  </si>
  <si>
    <t>00197</t>
  </si>
  <si>
    <t>00202</t>
  </si>
  <si>
    <t>00196</t>
  </si>
  <si>
    <t>00205</t>
  </si>
  <si>
    <t>00198</t>
  </si>
  <si>
    <t>01086</t>
  </si>
  <si>
    <t>01075</t>
  </si>
  <si>
    <t>2016 йи 27 июаи Уз. Рес. ВМ 242 сони карорига асосан Узбекистон Республикаси товар хом-ашё биржасида иштирок этиш учун ку</t>
  </si>
  <si>
    <t>Согласно договора 194 от 22.08.2016 (Банк балансида булган дамас русумли автомашинани ремонт килиш учун тулов)</t>
  </si>
  <si>
    <t>Согласно договора 45 от 21.12.2016 (21.12.2016 ЙИЛДАГИ №45 СОНЛИ ШАРТНОМАГА АСОСАН Навоий Ш ХБ балансдаги дамас авто маши</t>
  </si>
  <si>
    <t>Согласно договора 102 от 24.08.2017 (24,08,2017 йилдаги 102-сонли шартномага асосан Дамас автомашиналарининг Матор мйи ва</t>
  </si>
  <si>
    <t>Согласно договора 153 от 28.08.2017 (ПК2826 га асосан пенсия таркатадиган Дамас автомашиналарига 153-сонли ш-ма га асосан</t>
  </si>
  <si>
    <t>Согласно договора 261 от 29.11.2017 (Уз.рес През.нинг ПК 2826 карори, Бошкарувнинг 28-5 сонли кар</t>
  </si>
  <si>
    <t>Согласно договора 14/Б от 22.02.2018 (За ТО и ремонт автомашины нексия-3 замена масло и фильтр сог дог 14/Б от 22,02,2018</t>
  </si>
  <si>
    <t>Согласно договора 1480 от 22.09.2016 (22.09.2016 йилги счет фак №1480 ас-н 85 062 LAA дАМАС Автомашина таьмири харажатл</t>
  </si>
  <si>
    <t>Согласно договора 256 от 14.09.2016 (14.09.2016 йилдаги №256 сонли шартномага асосан Халк банки Навоий шахар филиалининг</t>
  </si>
  <si>
    <t>Согласно договора 564 от 01.01.2014 (30.11.2015 йилдаги №4/86487 сонли фактурага асосан 2015 йил декабр ойи коммунал туло</t>
  </si>
  <si>
    <t>Согласно договора 15 от 20.12.2015 (20.12.2015 йилдаги №15 сонли фактурага асосан 2015 йил декабр ойи фелд связ хизмати у</t>
  </si>
  <si>
    <t>Согласно договора 6/ОСГ-013 от 06.04.2018 (шартнома №6/ОСГОР-013 ас-н Иш берувчининг фукаролик жавобгарлигини мажбурий су</t>
  </si>
  <si>
    <t>Согласно договора 16 от 18.03.2016 (Баннер печатлаш хизмати учун тулов)</t>
  </si>
  <si>
    <t>Согласно договора 182 от 09.11.2016 (09.11.2016 йилдаги №182 сонли шартномага асосан Баннерга босма ёзувда эълон ёзиш учу</t>
  </si>
  <si>
    <t>Согласно договора 273-17 от 13.07.2017 (13072017 йилдаги 273-17- сонли шартномага асосан Банк балансидаги Шодлик магазини</t>
  </si>
  <si>
    <t>Согласно договора 1 от 01.03.2015 (01.03.2015 йилдаги №1 сонли шартномага асосан Янги хаёт Мини банкининг 2016 йил январ</t>
  </si>
  <si>
    <t>Согласно договора 396 от 20.07.2017 (За техническому обслуживанию и ремонтуЁ комьютерной техники, принтеров и оргтехники</t>
  </si>
  <si>
    <t>Согласно договора 08/18 от 06.02.2018 (За техническому обслуживанию и ремонту компьютерной техники принтеров и оргтехники</t>
  </si>
  <si>
    <t>Согласно договора 1016 от 24.05.2018 (2018йил 24- майдаги 1016- сонли шартномага асосан Банк хайдовчилари малакасини ошир</t>
  </si>
  <si>
    <t>Согласно договора 13851 от 07.07.2018 (07.07.2018й №13851 шартномага ас-н курсатилган хизматлар(восстонавления картриджа)</t>
  </si>
  <si>
    <t>Согласно договора 13853 от 07.07.2018 (07.07.2018й №13853 шартномага ас-н курсатилган хизматлар(Техническое обслуживание</t>
  </si>
  <si>
    <t>Согласно договора 13854 от 07.07.2018 (07.07.2018й №13854 шартномага ас-н курсатилган хизматлар(Установка и замена цилинд</t>
  </si>
  <si>
    <t>Согласно договора 13846 от 07.07.2018 (07.07.2018й №13846 шартномага ас-н Курсатилган хизматлар(ремонт принтера) учун тул</t>
  </si>
  <si>
    <t>23.02.2017</t>
  </si>
  <si>
    <t>26.08.2016</t>
  </si>
  <si>
    <t>26.12.2016</t>
  </si>
  <si>
    <t>27.09.2017</t>
  </si>
  <si>
    <t>27.11.2017</t>
  </si>
  <si>
    <t>23.02.2018</t>
  </si>
  <si>
    <t>17.05.2018</t>
  </si>
  <si>
    <t>04.10.2016</t>
  </si>
  <si>
    <t>26.01.2016</t>
  </si>
  <si>
    <t>27.01.2016</t>
  </si>
  <si>
    <t>06.04.2018</t>
  </si>
  <si>
    <t>04.05.2016</t>
  </si>
  <si>
    <t>15.11.2016</t>
  </si>
  <si>
    <t>30.08.2017</t>
  </si>
  <si>
    <t>13.09.2017</t>
  </si>
  <si>
    <t>22.12.2017</t>
  </si>
  <si>
    <t>27.06.2018</t>
  </si>
  <si>
    <t>13.07.2018</t>
  </si>
  <si>
    <t>20208000700306206001</t>
  </si>
  <si>
    <t>20208000904238936001</t>
  </si>
  <si>
    <t>22626000204238936001</t>
  </si>
  <si>
    <t>22626000204724770001</t>
  </si>
  <si>
    <t>20208000904805170001</t>
  </si>
  <si>
    <t>20208000301453128001</t>
  </si>
  <si>
    <t>20208000704817700001</t>
  </si>
  <si>
    <t>22626000104600588001</t>
  </si>
  <si>
    <t>20208000300474589001</t>
  </si>
  <si>
    <t>22626000304362188002</t>
  </si>
  <si>
    <t>22624000900532305200</t>
  </si>
  <si>
    <t>22626000600286656001</t>
  </si>
  <si>
    <t>20208000703211886001</t>
  </si>
  <si>
    <t>22626000404808655001</t>
  </si>
  <si>
    <t>20208000000831432001</t>
  </si>
  <si>
    <t>20208000004319788001</t>
  </si>
  <si>
    <t>20208000300873497001</t>
  </si>
  <si>
    <t>20208000100279256001</t>
  </si>
  <si>
    <t>20208000400616481001</t>
  </si>
  <si>
    <t>22626000004568414002</t>
  </si>
  <si>
    <t>22626000000224822002</t>
  </si>
  <si>
    <t>20208000000474843001</t>
  </si>
  <si>
    <t>23402000300100001010</t>
  </si>
  <si>
    <t>20218000904810754001</t>
  </si>
  <si>
    <t>22626000305021664001</t>
  </si>
  <si>
    <t>ПФ Ал-Хоразмий</t>
  </si>
  <si>
    <t>Kans Market</t>
  </si>
  <si>
    <t>Навоий Когоз Савдо ООО</t>
  </si>
  <si>
    <t>ООО Фреско Самарканд</t>
  </si>
  <si>
    <t>Фирма Тараккиёт</t>
  </si>
  <si>
    <t>NAVBAXOR OMAD POLIGRAF</t>
  </si>
  <si>
    <t>Said Bapaka Kenjaev МЧЖ</t>
  </si>
  <si>
    <t>ЧП NAVOIY-MEDIA-SERVIS</t>
  </si>
  <si>
    <t>OOO NAVOIY ELEKTROLUX</t>
  </si>
  <si>
    <t>АО "ДжиЭм Узбекистон"</t>
  </si>
  <si>
    <t>Абдурахмон ИХА ООО</t>
  </si>
  <si>
    <t>"Навоийполиграфсервис"</t>
  </si>
  <si>
    <t>ООО LASER COMPUTERS</t>
  </si>
  <si>
    <t>ООО KESH MINERAL BOTTLERS</t>
  </si>
  <si>
    <t>"Хуршид Фарход" ишлаб чикариш савдо фирмаси</t>
  </si>
  <si>
    <t>АББОС САРДОРБЕК МЧЖ</t>
  </si>
  <si>
    <t>Massiy stroy оилавий корхона</t>
  </si>
  <si>
    <t>Зарафшон Мебел ХК</t>
  </si>
  <si>
    <t>OOO "FORT-PRO BIZNES"</t>
  </si>
  <si>
    <t>OOO "ASPELL"</t>
  </si>
  <si>
    <t>ООО Ахмедов Газ сервис</t>
  </si>
  <si>
    <t>Молия Вазирлиги Ягона Газна хисобвараги</t>
  </si>
  <si>
    <t>ЧП Рахимова М.Р</t>
  </si>
  <si>
    <t>OOO "ORCHIDEALABRADOR"</t>
  </si>
  <si>
    <t>01007</t>
  </si>
  <si>
    <t>00283</t>
  </si>
  <si>
    <t>00199</t>
  </si>
  <si>
    <t>01064</t>
  </si>
  <si>
    <t>00873</t>
  </si>
  <si>
    <t>00086</t>
  </si>
  <si>
    <t>00216</t>
  </si>
  <si>
    <t>01088</t>
  </si>
  <si>
    <t>00974</t>
  </si>
  <si>
    <t>00966</t>
  </si>
  <si>
    <t>00014</t>
  </si>
  <si>
    <t>01067</t>
  </si>
  <si>
    <t>Товар моддий қимматликлари учун олдиндан килинган харажатлар</t>
  </si>
  <si>
    <t>17.06.2016</t>
  </si>
  <si>
    <t>11.07.2016</t>
  </si>
  <si>
    <t>04.04.2017</t>
  </si>
  <si>
    <t>24.07.2017</t>
  </si>
  <si>
    <t>09.08.2017</t>
  </si>
  <si>
    <t>17.08.2017</t>
  </si>
  <si>
    <t>08.09.2017</t>
  </si>
  <si>
    <t>14.09.2017</t>
  </si>
  <si>
    <t>29.09.2017</t>
  </si>
  <si>
    <t>19.10.2017</t>
  </si>
  <si>
    <t>03.11.2017</t>
  </si>
  <si>
    <t>14.11.2017</t>
  </si>
  <si>
    <t>20.11.2017</t>
  </si>
  <si>
    <t>16.02.2018</t>
  </si>
  <si>
    <t>03.04.2018</t>
  </si>
  <si>
    <t>04.04.2018</t>
  </si>
  <si>
    <t>19.04.2018</t>
  </si>
  <si>
    <t>03.05.2018</t>
  </si>
  <si>
    <t>14.05.2018</t>
  </si>
  <si>
    <t>28.05.2018</t>
  </si>
  <si>
    <t>28.06.2018</t>
  </si>
  <si>
    <t>11.07.2018</t>
  </si>
  <si>
    <t>19.07.2018</t>
  </si>
  <si>
    <t>13.08.2018</t>
  </si>
  <si>
    <t>15.08.2018</t>
  </si>
  <si>
    <t>24.05.2016</t>
  </si>
  <si>
    <t>26.05.2016</t>
  </si>
  <si>
    <t>13.06.2016</t>
  </si>
  <si>
    <t>10.11.2016</t>
  </si>
  <si>
    <t>14.06.2017</t>
  </si>
  <si>
    <t>06.01.2016</t>
  </si>
  <si>
    <t>09.02.2016</t>
  </si>
  <si>
    <t>19.02.2016</t>
  </si>
  <si>
    <t>18.03.2016</t>
  </si>
  <si>
    <t>08.04.2016</t>
  </si>
  <si>
    <t>15.04.2016</t>
  </si>
  <si>
    <t>12.05.2016</t>
  </si>
  <si>
    <t>23.08.2016</t>
  </si>
  <si>
    <t>25.08.2016</t>
  </si>
  <si>
    <t>25.10.2016</t>
  </si>
  <si>
    <t>25.11.2016</t>
  </si>
  <si>
    <t>22.12.2016</t>
  </si>
  <si>
    <t>25.01.2017</t>
  </si>
  <si>
    <t>10.09.2017</t>
  </si>
  <si>
    <t>20.10.2017</t>
  </si>
  <si>
    <t>Согласно договора 4 от 17.02.2016 (17,02,2016 йилдаги №4 сонли шартномага асосан 1дона кресло сотиб олиш учун 100 % тулов</t>
  </si>
  <si>
    <t>Согласно договора 587 от 14.06.2016 (14.06.2016й №587 сонли шарт ас-н канцтовар олиш учун тулов)</t>
  </si>
  <si>
    <t>Согласно договора 633 от 04.07.2016 (04,07,2016й №633 сонли шарт ас-н канцтовар олиш учун тулов)</t>
  </si>
  <si>
    <t>Согласно договора 147 от 04.07.2016 (04,07,2016й №МБ 147 сонли шарт ас-н бланка олиш учун тулов)</t>
  </si>
  <si>
    <t>ЛОТ № 9010136 10.03.2017 йилаги №299 сонли шартномага асосан канцлария моллари олиш учун тулов</t>
  </si>
  <si>
    <t>ЛОТ 9014893 10.07.2017 йилдаги №346 сонли шартномага асосан канцлария моллари олиш учун тулов</t>
  </si>
  <si>
    <t>ЛОЕ№ 9024120 18.06.2017 йилдаги 54 сонлиш-мага асосан канцелярия моллари ва ок когоз олиш учун тулов</t>
  </si>
  <si>
    <t>28.072.2017 йилдаги 82 сонли шартномага асосан канц товарлар сотиб олиш учун олдиндан тулов</t>
  </si>
  <si>
    <t>02,08.2017 йилдаги 112- шартномага асоан ичимлик суви ( фреско) сотиб олиш учун тулов</t>
  </si>
  <si>
    <t>Согласно договора 112 от 02.08.2017 (02,08.2017 йилдаги 112- шартномага асоан ичимлик суви ( фреско) сотиб олиш учун тул</t>
  </si>
  <si>
    <t>Согласно договора 115 от 25.08.2017 (25,08,2017 йилдаги 115-сонли шартномага асосан олинадиган канцелярия моллари учун ту</t>
  </si>
  <si>
    <t>Согласно договора 101 от 25.08.2017 (25,08,2017 йилдаги 101- сонли сч договорга асосан канцелярия моллари олиш учун тулов</t>
  </si>
  <si>
    <t>Согласно договора 174 от 08.09.2017 (08,09,2017 йилдаги 174 сонли шартномага аосан туртбурчак тамга сотиб олиш учун тулов</t>
  </si>
  <si>
    <t>Согласно договора 584 от 08.09.2017 (08092017 йилдаги 584-сонли шартномага асосан светодиодли лампалар олиш учун тулов АТ</t>
  </si>
  <si>
    <t>Согласно договора 181 от 19.09.2017 (19,09,2017 йилдаги 181-сонли шартномага асосан хар хил штамплар таерлаш учун тулов</t>
  </si>
  <si>
    <t>Согласно договора 125 от 26.09.2017 (26,09,2017 йилдаги 125- сонли сч договорга асосан ок когоз олиш учун тулов ККСсиз (</t>
  </si>
  <si>
    <t>Согласно договора 123 от 25.08.2017 (25.08.2017 йилдаги 123- сонли шартномага асосан канцелярия моллари олиш учун тулов 1</t>
  </si>
  <si>
    <t>Согласно договора 66 от 17.10.2017 (17.10.2017 йилдаги 66- хисоб шартномага асосан хар хил кассага тегишли бланкалар олиш</t>
  </si>
  <si>
    <t>Согласно договора 878 от 14.09.2017 (14.09.2017г сог дог 878 - за питания кабель, оптическая мишь, Кабел FR mart UTP Gat5</t>
  </si>
  <si>
    <t>Согласно договора 132 от 13.10.2017 (13,10,2017 йилдаги 132- сонли шартномага асосан пенция булимига олинадиган ок когоз</t>
  </si>
  <si>
    <t>Согласно договора 136 от 06.11.2017 (06.11.2017 йилдаги 136- шартномага асосан канцелярия моллари олиш учун тулов ККСсиз</t>
  </si>
  <si>
    <t>Согласно договора 349 от 15.11.2017 (15.11.2017 йилдаги 349 сонли шартномага асосан Фреско ичимлик суви олиш учун тулов)</t>
  </si>
  <si>
    <t>Согласно договора 3-107-2018 от 30.11.2017 (30.11.2017 йилдаги 3-107-2018 -500558 SD шартномага асаосан Нексия-3 (AV-GS16</t>
  </si>
  <si>
    <t>Согласно договора 132 от 13.10.2017 (13.10.2017 йилдаги 132 сонли шартномага асосан Ок когоз олиш учун тулов декабр ойи п</t>
  </si>
  <si>
    <t>Согласно договора 72 от 28.11.2017 (28.11.2017 йилдаги 72- сонли сч договорга асосан хар хил бланкаолар олиш учун олдинда</t>
  </si>
  <si>
    <t>Согласно договора мб21 от 30.11.2017 (2017 йил 30-ноябрдаги МБ21- сонли шартномага асосан хар хил бланкалар олиш учун ту</t>
  </si>
  <si>
    <t>Согласно договора 1341 от 29.11.2017 (29,11,2017 йилдаги 1341- сонли шартномага асосан олинадиган канцелярия моллари олиш</t>
  </si>
  <si>
    <t>Согласно договора 3-107-2018 от 30.11.2017 (За сч справка ГСБДД МВД РУ сог договор купли-продажи от 30,11,2017 г оплата 1</t>
  </si>
  <si>
    <t>Согласно договора 278 от 12.12.2017 (Бошкарувнинг 2017 йил 07 декабр санасидаги 23-08/1068 сонли рухсат хати ва 12,</t>
  </si>
  <si>
    <t>Согласно договора 336 от 20.12.2017 (20.12.2017 йилдаги 336- сонли шартномага асосан янги йил аткриткалари олиш учун туло</t>
  </si>
  <si>
    <t>Согласно договора 751 от 10.01.2018 (10,01,2018 йилдаги 751/01- сонли шартномага асосан DURALIGHT раз цвет фасадни безаш</t>
  </si>
  <si>
    <t>Согласно договора 1 от 05.01.2018 (05.01.2018 йилдаги 01- сонли сч договорга асосан канцелярия моллари олиш учун олдиндан</t>
  </si>
  <si>
    <t>Согласно договора 3 от 12.01.2018 (12,01,2018 йилдаги 3- сонли шартномага асосан канцелярия моллари олиш учун олдиндан 10</t>
  </si>
  <si>
    <t>Согласно договора 13 от 29.01.2018 (29.01.2017 йилдаги 13- сонли хисоб шартномага асосан олинадиган канцелярия моллари уч</t>
  </si>
  <si>
    <t>Согласно договора 71 от 13.02.2018 (13.002.2018 йилдаги 71- сонли шартномага асосан лазернкй картридж олиш учун тул</t>
  </si>
  <si>
    <t>Согласно договора 28 от 09.02.2018 (09,02,2018 йилдаги 28-сонли шартномага асосан ичимлик суви "KESH WATER" олиш учун тул</t>
  </si>
  <si>
    <t>Согласно договора 32 от 22.02.2018 (Ок когоз олиш учун 22,02,2018 йилдаги 32- сонли шартномага асосан олдиндан 100 % туло</t>
  </si>
  <si>
    <t>Согласно договора 34 от 01.03.2018 (За канц товары сог дог 34 от 01,03,2018 г предоплата 100 % без НДС)</t>
  </si>
  <si>
    <t>Согласно договора 13 от 01.03.2018 (01.03.2018 йилдаги 13- сонли шартномага асосан хар хил бланкалар олиш учун тулов)</t>
  </si>
  <si>
    <t>Согласно договора 453 от 29.03.2018 (29.03.2018 йилдаги 453- сонли шартномага асосан пенсия булимига тулов кайдномаларни</t>
  </si>
  <si>
    <t>Согласно договора МБ-87 от 03.04.2018 (03.04.2018й №МБ-87 шартномага ас-н хар кли бланкалар олиш учун тулов)</t>
  </si>
  <si>
    <t>Согласно договора 554 от 17.04.2018 (17.04.2018 йилдаги 554 сонли шартномага асосан канцелятия моллари олиш учун тулов)</t>
  </si>
  <si>
    <t>Согласно договора 90 от 15.02.2018 (15,02,2018 ЙИЛДАГИ 90- СОНЛИ ШАРТНОМАГА АСОСАН ХУЖАЛИК МОЛЛАРИ КЛЕЙ пва, КЛЕЙ ДЛЯ КЕР</t>
  </si>
  <si>
    <t>Согласно договора 55 от 17.04.2018 (17,04,2018 йилдаги 55- сонли шартномага асосан клей,бандерол ва шпагат олиш учун туло</t>
  </si>
  <si>
    <t>Согласно договора 634 от 27.04.2018 (27.04.2018й №634 шартномага ас-н канцеллария моллари олиш учун тулов)</t>
  </si>
  <si>
    <t>Согласно договора 635 от 27.04.2018 (27.04.2018й №635 шартномага ас-н 2018й май ойи учун нафака ведомостларини печатлашга</t>
  </si>
  <si>
    <t>Согласно договора 14 от 02.05.2018 (02,05,2018 йилдаги 14 сонли шартномага асосан Домофон олиб укрнатиш учун тулов 100 %)</t>
  </si>
  <si>
    <t>Согласно договора 112 от 15.05.2018 (15.05.2018 йилдаги МБ-112 сонли шартномага асосан хар хил бланкалар олиш учун тулов)</t>
  </si>
  <si>
    <t>Согласно договора 1 от 23.05.2018 (23,05,2018 йилдаги 1- сонли шартномага асосан кассага тегишли хар хил бланкалар сотиб</t>
  </si>
  <si>
    <t>Согласно договора 157 от 03.05.2018 (03,05,2018 йилдаги 157- сонли шартномага асосан ичимлик суви "Фреско Самарканд" олиш</t>
  </si>
  <si>
    <t>Согласно договора 712 от 15.05.2018 (15,05,2018 йилдаги 712- сонли шартномага асосан канцелярия моллари олиш учун олдинда</t>
  </si>
  <si>
    <t>Согласно договора 68599 от 18.06.2018 (18,06,2018 йилдаги 68599 сонли шартномага асосан когоз олиш учун тулов)</t>
  </si>
  <si>
    <t>Согласно договора 14502 от 08.07.2018 (08.07.2018й №14502 шартномага ас-н ок когоз А4 сотиб олиш учун тулов лот №6100)</t>
  </si>
  <si>
    <t>Согласно договора 15258 от 12.07.2018 (12.07.2018й № 15258 сонли шартномага ас-н бланклар сотиб олиш учун тулов лот №6938</t>
  </si>
  <si>
    <t>Согласно договора 70865 от 13.07.2018 (13.07.2018й №70865 сонли шартномага ас-н ок когоз А4 сотиб олиш учун тулов лот №11</t>
  </si>
  <si>
    <t>Согласно договора 70863 от 13.07.2018 (13.07.2018й №70863 сонли шартномага ас-н Ок когоз А4 сотиб олиш учун тулов лот №11</t>
  </si>
  <si>
    <t>Согласно договора 40500 от 19.07.2018 (19.07.2018 йилги №40500-сонли шартномага ас-н Хар-хил бланкалар олиш учун тулов ло</t>
  </si>
  <si>
    <t>Согласно договора 60936 от 04.08.2018 (ЛОТ 15980 За изготовление бланка ( чиким ордер) сог дог 60936 от 04,08,2018)</t>
  </si>
  <si>
    <t>Согласно договора 60935 от 04.08.2018 (лот 15979 за изготовление бланка (кирим ордери) сог дог 60935 от 04082018)</t>
  </si>
  <si>
    <t>Согласно договора 60960 от 04.08.2018 (ЛОТ 15981 За бумага для офисной сог дог 60960 от 04082018)</t>
  </si>
  <si>
    <t>Согласно договора 60934 от 04.08.2018 (ЛОТ 15978 За изготовление бланка ( кирим ордери) сог дог 60934 от 04,08,2018)</t>
  </si>
  <si>
    <t>Согласно договора 72829 от 11.08.2018 (ЛОТ 1895711,08,2018 йилдаги 72829- сонли шартномага асосан печат ва штамп ясаш учу</t>
  </si>
  <si>
    <t>Согласно договора 457 от 23.05.2016 (23.05.2016й №457 сонли шарт ас-н махсус кассаларга 7 дона Usb 3G модем олиш учун)</t>
  </si>
  <si>
    <t>Согласно договора 460 от 24.05.2016 (24.05.2016й №460 сонли шарт ас-н USB кабел олиш у-н махсус касса принтерларига 7 дон</t>
  </si>
  <si>
    <t>Согласно договора 146 от 10.05.2016 (10,05,2016й №146 сонли шарт ас-н 2 дона уриндик олиш учун тулов 100%)</t>
  </si>
  <si>
    <t>Согласно договора 12 от 03.11.2016 (03.11.2016 йилдаги №12 сонли шартномага асосан Навоий шахар Халк банкига Лотария стол</t>
  </si>
  <si>
    <t>ЛОТ№ 9022209 За бланки сог дог 34 от 31.05.2017 опл 100 %</t>
  </si>
  <si>
    <t>Согласно договора XB-00708 от 05.01.2018 (05.01.2018 йилги №ХВ-00708 сонли шартномага ас-н принтер сотиб олиш учун тулов</t>
  </si>
  <si>
    <t>Согласно договора 35/01 от 26.01.2018 (26.01.2018 йилдаги 35/01 сонли шартномага асосан IP телефон Grandstream GXP 1625 т</t>
  </si>
  <si>
    <t>Согласно договора 08/02 от 08.02.2018 (За установку ГБО на автомашину Нексия-3 сог дог 08/02 от 08.02.2018г оплата 100% (</t>
  </si>
  <si>
    <t>~2003108602122343422221093~08102 Согласно договора 1 от 08.02.2018 (Нексия -3 автомашинасининг 3 % йул фонди учун тулов ШХР 2003108602122343422221093)</t>
  </si>
  <si>
    <t>~4014228605122343422948179~08102 Согласно договора 1 от 08.02.2018 (Нексия -3 автомашинасини техник куриги учун тулов ШХР 4014228605122343422948179)</t>
  </si>
  <si>
    <t>~4014228605122343422948179~08102 Согласно договора 1 от 08.02.2018 (Нексия-3 автомашинасини руйхатга олиш учун тулов ДРБ учунШХР 401428605122343422948179</t>
  </si>
  <si>
    <t>~4014228609122343422232179~08102 Согласно договора 1 от 08.02.2018 (Нексия-3 автомашинасига янги тоифадаги КЭГ учун тулов ШХР 4014228609122343422232179)</t>
  </si>
  <si>
    <t>Согласно договора 40515 от 19.07.2018 (19.07.2018й №40515-сон шартномага ас-н Ок когоз А4 сотиб олиш учун тулов лот №9409</t>
  </si>
  <si>
    <t>13.03.17йилдаги ПК-2826 сонли карор ижроси.12.06.17йилдаги "6 баённома ва 18.06.17йилдаги 120-сонли шартномага ас-н банер</t>
  </si>
  <si>
    <t>Согласно договора 1001 от 04.12.2015 (04.12.2015 йилдаги №1001 сонли шартномага асосан канцлария моллари олиш учун тулов)</t>
  </si>
  <si>
    <t>Согласно договора МБ 255 от 17.12.2015 (17.12.2015т йилдаги №МБ 255 сонли шартномага асосан айланма кассада фойдаланиш уч</t>
  </si>
  <si>
    <t>Согласно договора 114 от 18.01.2015 (18.01.2016 йилдаги №114 сонли шартномага асосан канцлария моллари олиш учун тулов)</t>
  </si>
  <si>
    <t>Согласно договора 151 от 26.01.2016 (26.01.2016 йилдаги №151 сонли шартномага асосан канцлария моллари олиш учун кучирилд</t>
  </si>
  <si>
    <t>Согласно договора 218 от 12.02.2016 (12.02.2016 йилдаги №218 сонли шартномага асосан канцлария моллари олиш учун тулов)</t>
  </si>
  <si>
    <t>Согласно договора МБ45 от 12.02.2016 (12.02.2016 йилдаги №МБ45 сонли шартномага асосан Касса бланкалари олиш учун тулов)</t>
  </si>
  <si>
    <t>Согласно договора 285 от 14.03.2016 (14.03.2016 йилдаги №285 сонли шартномага асосан канцлария моллари олиш учун тулов)</t>
  </si>
  <si>
    <t>Согласно договора мб88 от 07.04.2016 (07,04,2016й №мб88 сонли шарт ас-н бланка махсулотлари олиш у-н тулов)</t>
  </si>
  <si>
    <t>Согласно договора 354 от 07.04.2016 (07,04,2016й №354 сонли шарт ас-н канц моллари олиш у-н тулов)</t>
  </si>
  <si>
    <t>Согласно договора 476 от 06.05.2016 (06.05.2016 йилдаги №476 сонли ш-га ас-н канцлария товарлари олиш учун тулов)</t>
  </si>
  <si>
    <t>Согласно договора МБ109 от 06.05.2016 (Айланма кассага бланкалар олиш учун тулов)</t>
  </si>
  <si>
    <t>Согласно договора 707 от 11.08.2016 (2016 йил 11 августдаги № 707 шартномага асосан канцелярия махсулотлари олиш учун тул</t>
  </si>
  <si>
    <t>Согласно договора МБ174 от 24.08.2016 (ШАртномага асосан бланкалар олиш учун тулов)</t>
  </si>
  <si>
    <t>Согласно договора 312 от 26.08.2016 (Ат Халк банки Навоий шахар филиалига Мустакиллик байрамига табрикнома олиш учун тул</t>
  </si>
  <si>
    <t>Согласно договора 836 от 09.09.2016 (09.09.2016й №836 с ш-га ас-н Ат Халк банки Навоий ш филиалига Канцлария моллари олиш</t>
  </si>
  <si>
    <t>Согласно договора 32 от 14.09.2016 (14.09.2016 йилдаги №32 Навоий шахар Халк банкининг ижро назорати булими учун кирим чи</t>
  </si>
  <si>
    <t>Согласно договора МБ от 17.10.2016 (17.10.2016 йилдаги № МБ235 сонли шартномага асосан банк айланма кассаси ва махсус кас</t>
  </si>
  <si>
    <t>Согласно договора 923 от 17.10.2016 (17.10.2016 йилдаги №923 сонли шартномага асосан Банкда фойдаланиш учун канцлария мол</t>
  </si>
  <si>
    <t>Согласно договора 1012 от 18.11.2016 (18.11.2016 йилдаги №1012 сонли шартномага асосан канцлария товарлари олиш учун туло</t>
  </si>
  <si>
    <t>Согласно договора МБ270 от 17.11.2016 (17.11.2016 йилдаги № МБ 270 сонли шартномага асосан АТ Халк банки Навоий шахар фил</t>
  </si>
  <si>
    <t>Согласно договора 1075 от 06.12.2016 (06,12,2016 йилдаги № 1075 ш/а канцелария махсулотлари олиш учун тулов)</t>
  </si>
  <si>
    <t>Согласно договора 434 от 26.12.2016 (26.12.2016 й №434 сонли шартномага асосан Навоий ш ХБ учун Янги йил табрикномалари о</t>
  </si>
  <si>
    <t>23.01.2017 йилдаги №55 сонли шартномага асосан Ат Халк банки Навоий щахар филиали учун калонка ва микрофон олиш учун туло</t>
  </si>
  <si>
    <t>12,01,2017 йилдаги № 94 шартномага асосан канцелария моллари олиш учун тулов</t>
  </si>
  <si>
    <t>04,01,2017 йилдаги № МБ-04 шартномага асосан канцелария моллари олиш учун тулов</t>
  </si>
  <si>
    <t>Согласно договора 456 от 16.06.2017 (ЛОТ 9024127 сч дог 456 от 16062017 за оптическая мышь и мультимедийная клавиатура)</t>
  </si>
  <si>
    <t>Согласно договора 63 от 09.09.2017 (09.09.2017 й №63 шартномага асосан 30 дона галстук (женский)сотиб олиш учун кучирилди</t>
  </si>
  <si>
    <t>~399921860124017950100237001~200005952~09510 Согласно договора 69 от 10.10.2017 (пенсия булими ходимларига 10,10,2017 йилдаги 69- сонли ш!мага асосан 17 дона мехнат д</t>
  </si>
  <si>
    <t>Реклама ва эълон хизмати</t>
  </si>
  <si>
    <t>Автотранспорт таъмири-жорий</t>
  </si>
  <si>
    <t>НАВОИЙ Ш., АТ ХАЛК БАНКИ НАВОИЙ ШАХАР ФИЛИАЛИ</t>
  </si>
  <si>
    <t>Сотиб олинган Товар-моддий кимматликлар (КБТЭБ) учун тулов</t>
  </si>
  <si>
    <t>Бош банк/филиалларга туланадиган маблаглар -Товар-моддий кимматликлар Нав.ш.ХБФ</t>
  </si>
  <si>
    <t>Оргтехника таъмири-жорий</t>
  </si>
  <si>
    <t>30.09.2017</t>
  </si>
  <si>
    <t>29.11.2017</t>
  </si>
  <si>
    <t>31.01.2016</t>
  </si>
  <si>
    <t>23.11.2016</t>
  </si>
  <si>
    <t>28.01.2017</t>
  </si>
  <si>
    <t>28.04.2016</t>
  </si>
  <si>
    <t>30.04.2017</t>
  </si>
  <si>
    <t>30.06.2017</t>
  </si>
  <si>
    <t>10.11.2017</t>
  </si>
  <si>
    <t>29.12.2017</t>
  </si>
  <si>
    <t>23.04.2018</t>
  </si>
  <si>
    <t>26.03.2016</t>
  </si>
  <si>
    <t>26.04.2016</t>
  </si>
  <si>
    <t>28.05.2016</t>
  </si>
  <si>
    <t>30.07.2016</t>
  </si>
  <si>
    <t>31.07.2016</t>
  </si>
  <si>
    <t>15.03.2017</t>
  </si>
  <si>
    <t>16.06.2017</t>
  </si>
  <si>
    <t>10.07.2017</t>
  </si>
  <si>
    <t>11.10.2017</t>
  </si>
  <si>
    <t>30.10.2017</t>
  </si>
  <si>
    <t>21.05.2018</t>
  </si>
  <si>
    <t>23.07.2018</t>
  </si>
  <si>
    <t>30.08.2018</t>
  </si>
  <si>
    <t>05.09.2018</t>
  </si>
  <si>
    <t>30.08.2016</t>
  </si>
  <si>
    <t>01.06.2017</t>
  </si>
  <si>
    <t>29.06.2018</t>
  </si>
  <si>
    <t>22.09.2017</t>
  </si>
  <si>
    <t>23.03.2018</t>
  </si>
  <si>
    <t>22.06.2016</t>
  </si>
  <si>
    <t>28.11.2016</t>
  </si>
  <si>
    <t>13.12.2016</t>
  </si>
  <si>
    <t>19907000700000708254</t>
  </si>
  <si>
    <t>19907000100000708217</t>
  </si>
  <si>
    <t>19909000700000708254</t>
  </si>
  <si>
    <t>29802000200000708921</t>
  </si>
  <si>
    <t>22205000900000708001</t>
  </si>
  <si>
    <t>19907000200000708218</t>
  </si>
  <si>
    <t>№ 1 от 30.09.2017 08092017 йилдаги 584-сонли шартномага асосан светодиодли лампалар олиш учун тулов АТ Халк банки навоий шахар филиалидаги куйган лампочкаларни алмаштириш учун кучирилмокда</t>
  </si>
  <si>
    <t>№ 1 от 29.11.2017 14.09.2017г сог дог 878 - за питания кабель, оптическая мишь, Кабел FR mart UTP Gat5e, сетовой филтрь, коннектор предоплата 100 проц без НДС</t>
  </si>
  <si>
    <t>№ 13 от 21.01.2016 Латарея билет тайёрлаш харажати суммаси</t>
  </si>
  <si>
    <t>№ 1 от 23.05.2016 Канц товар ва принтер жамгарма касса учун</t>
  </si>
  <si>
    <t>№ 1 от 31.05.2016 Баннер печатлаш хизмати учун тулов</t>
  </si>
  <si>
    <t>№ 313 от 25.07.2016 манитор</t>
  </si>
  <si>
    <t>№ 403 от 18.10.2016 Жамгарма китоблари ва лат тайёр хараж суммаси</t>
  </si>
  <si>
    <t>№ 443 от 11.11.2016 Кармана туман Халк банкидан олинган товарлар хазина хонага кирим килинди</t>
  </si>
  <si>
    <t>№ 35 от 29.11.2016 09.11.2016 йилдаги №182 сонли шартномага асосан Баннерга босма ёзувда эълон ёзиш учун тулов</t>
  </si>
  <si>
    <t>№ 16 от 25.01.2017 омонат дафтарча календар ва рухсатнома</t>
  </si>
  <si>
    <t>№ 101 от 13.04.2016 200дона МПК клент</t>
  </si>
  <si>
    <t>№ 1 от 31.08.2016 Банк балансида булган дамас русумли автомашинани ремонт килиш учун тулов</t>
  </si>
  <si>
    <t>№ 1 от 29.04.2017 ЛОТ № 9010136 10.03.2017 йилаги №299 сонли шартномага асосан канцлария моллари олиш учун тулов</t>
  </si>
  <si>
    <t>№ 1 от 30.06.2017 13.03.17йилдаги ПК-2826 сонли карор ижроси.12.06.17йилдаги "6 баённома ва 18.06.17йилдаги 120-сонли шартномага ас-н банерга чоп этиш, эшик учун табличка тахлатиш тулови</t>
  </si>
  <si>
    <t>№ 1 от 31.08.2017 02,08.2017 йилдаги 112- шартномага асоан ичимлик суви ( фреско) сотиб олиш учун тулов</t>
  </si>
  <si>
    <t>№ 390 от 10.11.2017 "Янги йил совгаси" лотореяси суммаси Навоий шахар 00708</t>
  </si>
  <si>
    <t>№ 1 от 29.11.2017 15.11.2017 йилдаги 349 сонли шартномага асосан Фреско ичимлик суви олиш учун тулов</t>
  </si>
  <si>
    <t>№ 1 от 29.11.2017 09.09.2017 й №63 шартномага асосан 30 дона галстук (женский)сотиб олиш учун кучирилди</t>
  </si>
  <si>
    <t>№ 447 от 28.12.2017 200 дона омонат дафтарча суммаси</t>
  </si>
  <si>
    <t>№ 1 от 23.04.2018 15,02,2018 ЙИЛДАГИ 90- СОНЛИ ШАРТНОМАГА АСОСАН ХУЖАЛИК МОЛЛАРИ КЛЕЙ пва, КЛЕЙ ДЛЯ КЕРАМИКА, ДУРА ЛАЙТ,ЛАМПЫ ЭЛЕКТРИЧЕСКИЕ ОЛИШ УЧУН ТУЛОВ</t>
  </si>
  <si>
    <t>№ 1 от 30.05.2018 03,05,2018 йилдаги 157- сонли шартномага асосан ичимлик суви "Фреско Самарканд" олиш учун тулов</t>
  </si>
  <si>
    <t>№ 1 от 31.01.2016 04.12.2015 йилдаги №1001 сонли шартномага асосан канцлария моллари олиш учун тулов</t>
  </si>
  <si>
    <t>№ 1 от 31.01.2016 17.12.2015т йилдаги №МБ 255 сонли шартномага асосан айланма кассада фойдаланиш учун 7-илова бланкаси олиш учун тулов</t>
  </si>
  <si>
    <t>№ 1 от 31.01.2016 18.01.2016 йилдаги №114 сонли шартномага асосан канцлария моллари олиш учун тулов</t>
  </si>
  <si>
    <t>№ 1 от 26.02.2016 12.02.2016 йилдаги №218 сонли шартномага асосан канцлария моллари олиш учун тулов</t>
  </si>
  <si>
    <t>№ 1 от 26.02.2016 12.02.2016 йилдаги №МБ45 сонли шартномага асосан Касса бланкалари олиш учун тулов</t>
  </si>
  <si>
    <t>№ 56 от 29.02.2016 омонат дафтарча суммаси</t>
  </si>
  <si>
    <t>№ 1 от 26.03.2016 14.03.2016 йилдаги №285 сонли шартномага асосан канцлария моллари олиш учун тулов</t>
  </si>
  <si>
    <t>№ 1 от 26.04.2016 07,04,2016й №354 сонли шарт ас-н канц моллари олиш у-н тулов</t>
  </si>
  <si>
    <t>№ 1 от 30.04.2016 07,04,2016й №мб88 сонли шарт ас-н бланка махсулотлари олиш у-н тулов</t>
  </si>
  <si>
    <t>№ 1 от 28.05.2016 Айланма кассага бланкалар олиш учун тулов</t>
  </si>
  <si>
    <t>№ 1 от 28.05.2016 06.05.2016 йилдаги №476 сонли ш-га ас-н канцлария товарлари олиш учун тулов</t>
  </si>
  <si>
    <t>№ 1 от 30.06.2016 14.06.2016й №587 сонли шарт ас-н канцтовар олиш учун тулов</t>
  </si>
  <si>
    <t>№ 1 от 28.07.2016 04,07,2016й №633 сонли шарт ас-н канцтовар олиш учун тулов</t>
  </si>
  <si>
    <t>№ 1 от 28.07.2016 04,07,2016й №МБ 147 сонли шарт ас-н бланка олиш учун тулов</t>
  </si>
  <si>
    <t>№ 322 от 30.07.2016 200 дона омонат дафтарча суммаси</t>
  </si>
  <si>
    <t>№ 1 от 30.08.2016 Ат Халк банки Навоий шахар филиалига Мустакиллик байрамига табрикнома олиш учун тулов</t>
  </si>
  <si>
    <t>№ 1 от 06.10.2016 09.09.2016й №836 с ш-га ас-н Ат Халк банки Навоий ш филиалига Канцлария моллари олиш учун тулов</t>
  </si>
  <si>
    <t>№ 1 от 31.10.2016 17.10.2016 йилдаги № МБ235 сонли шартномага асосан банк айланма кассаси ва махсус кассаларда фойдаланишда бланкалар олиш учун тулов</t>
  </si>
  <si>
    <t>№ 1 от 31.10.2016 17.10.2016 йилдаги №923 сонли шартномага асосан Банкда фойдаланиш учун канцлария моллари олиш учун тулов</t>
  </si>
  <si>
    <t>№ 1 от 29.01.2017 04,01,2017 йилдаги № МБ-04 шартномага асосан канцелария моллари олиш учун тулов</t>
  </si>
  <si>
    <t>№ 91 от 02.03.2017 200 дона омонат дафтарча суммаси</t>
  </si>
  <si>
    <t>№ 210 от 16.06.2017 омонат дафтарча суммаси</t>
  </si>
  <si>
    <t>№ 1 от 30.06.2017 ЛОТ№ 9022209 За бланки сог дог 34 от 31.05.2017 опл 100 %</t>
  </si>
  <si>
    <t>№ 239 от 10.07.2017 200 дона омонат дафтарча шахасий варак суммаси</t>
  </si>
  <si>
    <t>№ 1 от 31.08.2017 28.072.2017 йилдаги 82 сонли шартномага асосан канц товарлар сотиб олиш учун олдиндан тулов</t>
  </si>
  <si>
    <t>№ 1 от 30.09.2017 19,09,2017 йилдаги 181-сонли шартномага асосан хар хил штамплар таерлаш учун тулов ПК 2826</t>
  </si>
  <si>
    <t>№ 33 от 30.09.2017 08,09,2017 йилдаги 174 сонли шартномага аосан туртбурчак тамга сотиб олиш учун тулов</t>
  </si>
  <si>
    <t>№ 1 от 30.09.2017 25,08,2017 йилдаги 101- сонли сч договорга асосан канцелярия моллари олиш учун тулов ККСсиз ПК-2826</t>
  </si>
  <si>
    <t>№ 361 от 11.10.2017 100 дона омонат дафтарча суммаси</t>
  </si>
  <si>
    <t>№ 1 от 30.10.2017 25.08.2017 йилдаги 123- сонли шартномага асосан канцелярия моллари олиш учун тулов 100 % ККСсиз</t>
  </si>
  <si>
    <t>№ 1 от 30.10.2017 пенсия булими ходимларига 10,10,2017 йилдаги 69- сонли ш!мага асосан 17 дона мехнат дафтарчаси учун тулов</t>
  </si>
  <si>
    <t>№ 1 от 29.11.2017 06.11.2017 йилдаги 136- шартномага асосан канцелярия моллари олиш учун тулов ККСсиз 100 % олдиндан тулов</t>
  </si>
  <si>
    <t>№ 1 от 29.11.2017 17.10.2017 йилдаги 66- хисоб шартномага асосан хар хил кассага тегишли бланкалар олиш учун тулов ККСсиз</t>
  </si>
  <si>
    <t>№ 4 от 28.12.2017 20.12.2017 йилдаги 336- сонли шартномага асосан янги йил аткриткалари олиш учун тулов</t>
  </si>
  <si>
    <t>№ 1 от 23.04.2018 03.04.2018й №МБ-87 шартномага ас-н хар кли бланкалар олиш учун тулов</t>
  </si>
  <si>
    <t>№ 1 от 23.04.2018 17,04,2018 йилдаги 55- сонли шартномага асосан клей,бандерол ва шпагат олиш учун тулов</t>
  </si>
  <si>
    <t>№ 176 от 14.05.2018 6000 дона кухна хива,7500дона Бахт куши,6000дона Кадимий Бухоро латарея билетларининг тайёрлаш харажати суммаси</t>
  </si>
  <si>
    <t>№ 1 от 24.05.2018 15.05.2018 йилдаги МБ-112 сонли шартномага асосан хар хил бланкалар олиш учун тулов</t>
  </si>
  <si>
    <t>№ 1 от 30.05.2018 23,05,2018 йилдаги 1- сонли шартномага асосан кассага тегишли хар хил бланкалар сотиб олиш учун тулов ККСсиз</t>
  </si>
  <si>
    <t>№ 1 от 23.07.2018 19.07.2018 йилги №40500-сонли шартномага ас-н Хар-хил бланкалар олиш учун тулов лот №9397</t>
  </si>
  <si>
    <t>№ 1 от 23.07.2018 12.07.2018й № 15258 сонли шартномага ас-н бланклар сотиб олиш учун тулов лот №6938</t>
  </si>
  <si>
    <t>№ 290 от 20.08.2018 Бешкарра беш латарея тайёрлаш харажати</t>
  </si>
  <si>
    <t>№ 281 от 07.08.2018 6000дона Олтин балик,7500дона бахт куши латареяси тайёрлаш суммаси</t>
  </si>
  <si>
    <t>№ 1 от 05.09.2018 ЛОТ 15980 За изготовление бланка ( чиким ордер) сог дог 60936 от 04,08,2018</t>
  </si>
  <si>
    <t>№ 1 от 05.09.2018 ЛОТ 15978 За изготовление бланка ( кирим ордери) сог дог 60934 от 04,08,2018</t>
  </si>
  <si>
    <t>№ 1 от 05.09.2018 ЛОТ 1895711,08,2018 йилдаги 72829- сонли шартномага асосан печат ва штамп ясаш учун тулов</t>
  </si>
  <si>
    <t>№ 1 от 05.09.2018 лот 15979 за изготовление бланка (кирим ордери) сог дог 60935 от 04082018</t>
  </si>
  <si>
    <t>№ 1 от 31.12.2016 21.12.2016 ЙИЛДАГИ №45 СОНЛИ ШАРТНОМАГА АСОСАН Навоий Ш ХБ балансдаги дамас авто машинасига акумлятор олиш учун тулов</t>
  </si>
  <si>
    <t>№ 1 от 31.08.2017 ЛОТ 9024127 сч дог 456 от 16062017 за оптическая мышь и мультимедийная клавиатура</t>
  </si>
  <si>
    <t>№ 1 от 26.02.2016 26.01.2016 йилдаги №151 сонли шартномага асосан канцлария моллари олиш учун кучирилди</t>
  </si>
  <si>
    <t>№ 34 от 04.02.2016 Руйхатга олиш китоби</t>
  </si>
  <si>
    <t>№ 281 от 29.06.2016 3000дона ФЖБПТТ дафтарчаси суммаси</t>
  </si>
  <si>
    <t>№ 1 от 30.08.2016 ШАртномага асосан бланкалар олиш учун тулов</t>
  </si>
  <si>
    <t>№ 325 от 04.08.2016 ФЖБПТТ руйхатга олиш китоби</t>
  </si>
  <si>
    <t>№ 1 от 30.08.2016 2016 йил 11 августдаги № 707 шартномага асосан канцелярия махсулотлари олиш учун тулов</t>
  </si>
  <si>
    <t>№ 1 от 31.10.2016 14.09.2016 йилдаги №32 Навоий шахар Халк банкининг ижро назорати булими учун кирим чиким хатларини кайт килиш дафтари олиш учун тулов</t>
  </si>
  <si>
    <t>№ 397 от 11.10.2016 Фармойишга ас-н Олтин баликча лат тайёрлаш харажати суммаси 55000дона</t>
  </si>
  <si>
    <t>№ 1 от 29.11.2016 18.11.2016 йилдаги №1012 сонли шартномага асосан канцлария товарлари олиш учун тулов</t>
  </si>
  <si>
    <t>№ 1 от 29.11.2016 17.11.2016 йилдаги № МБ 270 сонли шартномага асосан АТ Халк банки Навоий шахар филиалининг кассаларида фойдаланиш учун бланкалар тулови</t>
  </si>
  <si>
    <t>№ 1 от 31.12.2016 26.12.2016 й №434 сонли шартномага асосан Навоий ш ХБ учун Янги йил табрикномалари олиш учун тулов</t>
  </si>
  <si>
    <t>№ 1 от 31.12.2016 06,12,2016 йилдаги № 1075 ш/а канцелария махсулотлари олиш учун тулов</t>
  </si>
  <si>
    <t>№ 1 от 29.01.2017 12,01,2017 йилдаги № 94 шартномага асосан канцелария моллари олиш учун тулов</t>
  </si>
  <si>
    <t>№ 198 от 01.06.2017 30 дона омонат дафтарча суммаси</t>
  </si>
  <si>
    <t>№ 1 от 31.07.2017 ЛОТ 9014893 10.07.2017 йилдаги №346 сонли шартномага асосан канцлария моллари олиш учун тулов</t>
  </si>
  <si>
    <t>№ 1 от 31.07.2017 ЛОЕ№ 9024120 18.06.2017 йилдаги 54 сонлиш-мага асосан канцелярия моллари ва ок когоз олиш учун тулов</t>
  </si>
  <si>
    <t>№ 1 от 30.09.2017 25,08,2017 йилдаги 115-сонли шартномага асосан олинадиган канцелярия моллари учун тулов ККСсиз</t>
  </si>
  <si>
    <t>№ 1 от 30.09.2017 26,09,2017 йилдаги 125- сонли сч договорга асосан ок когоз олиш учун тулов ККСсиз (ПК-2826 нафакахурлар ведомостини когозга чоп этиш учун)</t>
  </si>
  <si>
    <t>№ 1 от 29.11.2017 13,10,2017 йилдаги 132- сонли шартномага асосан пенция булимига олинадиган ок когоз А-4 олиш учун тулов ККСсиз пенсия жамгармаси ведемостьларни чикариб банкга такдим этилиши учун</t>
  </si>
  <si>
    <t>№ 2 от 28.12.2017 28.11.2017 йилдаги 72- сонли сч договорга асосан хар хил бланкаолар олиш учун олдиндан 100 % тулов ККСсиз</t>
  </si>
  <si>
    <t>№ 1 от 28.12.2017 13.10.2017 йилдаги 132 сонли шартномага асосан Ок когоз олиш учун тулов декабр ойи пенсия кайдномаларини чикариш учун тулов</t>
  </si>
  <si>
    <t>№ 3 от 28.12.2017 2017 йил 30-ноябрдаги МБ21- сонли шартномага асосан хар хил бланкалар олиш учун тулов 100 % ККСсиз</t>
  </si>
  <si>
    <t>№ 5 от 28.12.2017 29,11,2017 йилдаги 1341- сонли шартномага асосан олинадиган канцелярия моллари олиш учун олдиндан 100 5 тулов ККСсиз</t>
  </si>
  <si>
    <t>№ 1 от 30.01.2018 12,01,2018 йилдаги 3- сонли шартномага асосан канцелярия моллари олиш учун олдиндан 100 % тулов ККСсиз</t>
  </si>
  <si>
    <t>№ 1 от 31.01.2018 05.01.2018 йилдаги 01- сонли сч договорга асосан канцелярия моллари олиш учун олдиндан тулов 100 %</t>
  </si>
  <si>
    <t>№ 1 от 26.02.2018 20,01,2018 йилдаги 14-сонли шартномага асосан о когоз учун тулов пенсия булими феврал ойи тулов кайдномаларини чакариши учун тулов</t>
  </si>
  <si>
    <t>№ 62 от 23.02.2018 11000 дона омад кулганда лат тайёрлаш хараж суммаси</t>
  </si>
  <si>
    <t>№ 1 от 27.02.2018 Ок когоз олиш учун 22,02,2018 йилдаги 32- сонли шартномага асосан олдиндан 100 % тулов пенсия булими март ойи тулов кайдномаларини чикариш учун</t>
  </si>
  <si>
    <t>№ 1 от 27.02.2018 29.01.2017 йилдаги 13- сонли хисоб шартномага асосан олинадиган канцелярия моллари учун олдиндан 100 % тулов</t>
  </si>
  <si>
    <t>№ 1 от 26.02.2018 29.01.2017 йилдаги 13- сонли хисоб шартномага асосан олинадиган канцелярия моллари учун олдиндан 100 % тулов</t>
  </si>
  <si>
    <t>№ 47 от 28.02.2018 50 дона омонат дафтарча суммаси МФО 00708</t>
  </si>
  <si>
    <t>№ 97 от 15.03.2018 омонат дафтарча ва омад кулганда лат рекламаси ишонч телефонлар суммаси</t>
  </si>
  <si>
    <t>№ 1 от 29.03.2018 26.03.2018 таксимотга ас-н антивирус суммаси</t>
  </si>
  <si>
    <t>№ 1 от 29.03.2018 За канц товары сог дог 34 от 01,03,2018 г предоплата 100 % без НДС</t>
  </si>
  <si>
    <t>№ 1 от 29.03.2018 01.03.2018 йилдаги 13- сонли шартномага асосан хар хил бланкалар олиш учун тулов</t>
  </si>
  <si>
    <t>№ 453 от 04.04.2018 29.03.2018 йилдаги 453- сонли шартномага асосан пенсия булимига тулов кайдномаларни чикариш учун ёзув когози А-4 олиш учун тулов ПК №2826 карор</t>
  </si>
  <si>
    <t>№ 1 от 23.04.2018 17.04.2018 йилдаги 554 сонли шартномага асосан канцелятия моллари олиш учун тулов</t>
  </si>
  <si>
    <t>№ 1 от 03.05.2018 27.04.2018й №634 шартномага ас-н канцеллария моллари олиш учун тулов</t>
  </si>
  <si>
    <t>№ 1 от 03.05.2018 27.04.2018й №635 шартномага ас-н 2018й май ойи учун нафака ведомостларини печатлашга Ок когоз олиш учун тулов ПК №2826</t>
  </si>
  <si>
    <t>№ 1 от 30.05.2018 15,05,2018 йилдаги 712- сонли шартномага асосан канцелярия моллари олиш учун олдиндан тулов</t>
  </si>
  <si>
    <t>№ 1 от 29.06.2018 18,06,2018 йилдаги 68599 сонли шартномага асосан когоз олиш учун тулов</t>
  </si>
  <si>
    <t>№ 1 от 11.07.2018 08.07.2018й №14502 шартномага ас-н ок когоз А4 сотиб олиш учун тулов лот №6100</t>
  </si>
  <si>
    <t>№ 1 от 23.07.2018 13.07.2018й №70865 сонли шартномага ас-н ок когоз А4 сотиб олиш учун тулов лот №1128260</t>
  </si>
  <si>
    <t>№ 1 от 23.07.2018 13.07.2018й №70863 сонли шартномага ас-н Ок когоз А4 сотиб олиш учун тулов лот №1128259</t>
  </si>
  <si>
    <t>№ 1 от 23.07.2018 19.07.2018й №40515-сон шартномага ас-н Ок когоз А4 сотиб олиш учун тулов лот №9409</t>
  </si>
  <si>
    <t>№ 1 от 05.09.2018 ЛОТ 15981 За бумага для офисной сог дог 60960 от 04082018</t>
  </si>
  <si>
    <t>№ 1 от 07.09.2017 За ТМЦ (НАКЛАДНАЯ СЧЕТ - ФАКТУРА) № 314 от 07.09.2017 5 дона терминал суммаси чиким килинди</t>
  </si>
  <si>
    <t>№ 1 от 31.01.2018 10,01,2018 йилдаги 751/01- сонли шартномага асосан DURALIGHT раз цвет фасадни безаш учун ва банк биносидаги куйган Электрические лампа светодиодные лампалар олиш учун тулов</t>
  </si>
  <si>
    <t>№ 1 от 27.02.2018 09,02,2018 йилдаги 28-сонли шартномага асосан ичимлик суви "KESH WATER" олиш учун тулов 100 %</t>
  </si>
  <si>
    <t>№ 1 от 27.02.2018 13.002.2018 йилдаги 71- сонли шартномага асосан лазернкй картридж олиш учун тулов олдиндан 100 %</t>
  </si>
  <si>
    <t>№ 98 от 23.03.2018 олтин балик 30000дона тайёрлаш харажати суммаси</t>
  </si>
  <si>
    <t>№ 1 от 30.05.2016 23.05.2016й №457 сонли шарт ас-н махсус кассаларга 7 дона Usb 3G модем олиш учун</t>
  </si>
  <si>
    <t>№ 1 от 30.05.2016 24.05.2016й №460 сонли шарт ас-н USB кабел олиш у-н махсус касса принтерларига 7 дона</t>
  </si>
  <si>
    <t>№ 292 от 05.07.2016 3 дона терминал ва персанализатор лентаси</t>
  </si>
  <si>
    <t>№ 1 от 06.10.2016 14.09.2016 йилдаги №256 сонли шартномага асосан Халк банки Навоий шахар филиалининг кардрежларини ранглаш ва ремонт килиш учун тулов</t>
  </si>
  <si>
    <t>№ 34 от 04.02.2016 МПК тайёрлаш харажати суммаси</t>
  </si>
  <si>
    <t>№ 34 от 04.02.2016 Пластик карта он-лайн</t>
  </si>
  <si>
    <t>№ 265 от 15.06.2016 1000дона мпк суммаси</t>
  </si>
  <si>
    <t>№ 265 от 30.06.2016 1000дона мпк тайёрлаш харажати суммаси 716 сум</t>
  </si>
  <si>
    <t>№ 468 от 28.11.2016 50 дона мпк суммаси</t>
  </si>
  <si>
    <t>№ 478 от 05.12.2016 100 дона мпк суммаси</t>
  </si>
  <si>
    <t>№ 488 от 14.12.2016 100 дона мпк суммаси</t>
  </si>
  <si>
    <t>№ 42 от 13.02.2017 МПК суммаси</t>
  </si>
  <si>
    <t>№ 8 от 24.01.2018 7000 олтин балик,5000 омад куши суммаси</t>
  </si>
  <si>
    <t>№ 35 от 02.02.2018 340 дона мпк суммаси</t>
  </si>
  <si>
    <t>№ 109 от 30.03.2018 6000дона ФЖБПТТ дафтарчаси суммаси</t>
  </si>
  <si>
    <t>№ 34 от 04.02.2016 Настолъный Календар</t>
  </si>
  <si>
    <t>№ 34 от 04.02.2016 Карманный Календаръ</t>
  </si>
  <si>
    <t>№ 34 от 04.02.2016 Настенный Календаръ</t>
  </si>
  <si>
    <t>№ 34 от 04.02.2016 Кварталный Календаръ</t>
  </si>
  <si>
    <t xml:space="preserve">Жами </t>
  </si>
  <si>
    <t>22812000899003284001</t>
  </si>
  <si>
    <t>Ярошова Аноргул Косимовна</t>
  </si>
  <si>
    <t>12505000799000041001</t>
  </si>
  <si>
    <t>99000041</t>
  </si>
  <si>
    <t>Муминов Санъат Жахонгирович</t>
  </si>
  <si>
    <t>16377000299000041001</t>
  </si>
  <si>
    <t>16309000699000041001</t>
  </si>
  <si>
    <t>16377000499000041002</t>
  </si>
  <si>
    <t>22812000999002972001</t>
  </si>
  <si>
    <t>Pузикулов Абдумалик Одилович</t>
  </si>
  <si>
    <t>27.07.2017</t>
  </si>
  <si>
    <t>14901000699003356001</t>
  </si>
  <si>
    <t>99003356</t>
  </si>
  <si>
    <t>Очилов Хусниддин Рузимуродович</t>
  </si>
  <si>
    <t>12505000099003062001</t>
  </si>
  <si>
    <t>99003062</t>
  </si>
  <si>
    <t>Муминов Жахонгир Рамазонович</t>
  </si>
  <si>
    <t>22812000999006882001</t>
  </si>
  <si>
    <t>Йулдошев Сохиб Кахрамонович</t>
  </si>
  <si>
    <t>05.02.2016</t>
  </si>
  <si>
    <t>22812000199006886001</t>
  </si>
  <si>
    <t>КАДИРОВ АКРАМ ЧАРИБОЕВИЧ</t>
  </si>
  <si>
    <t>22812000799003050001</t>
  </si>
  <si>
    <t>Авезов Феруз Фазлиддинович</t>
  </si>
  <si>
    <t>16377000699002986004</t>
  </si>
  <si>
    <t>99002986</t>
  </si>
  <si>
    <t>Авезов Фаррух Фазлиддинович</t>
  </si>
  <si>
    <t>16377000199002986007</t>
  </si>
  <si>
    <t>16309000499002986001</t>
  </si>
  <si>
    <t>12505000599002986001</t>
  </si>
  <si>
    <t>14</t>
  </si>
  <si>
    <t>22812000399000152001</t>
  </si>
  <si>
    <t>Давронова Юлдуз Юнус кизи</t>
  </si>
  <si>
    <t>16309000299000246002</t>
  </si>
  <si>
    <t>99000246</t>
  </si>
  <si>
    <t>Акабиров Фазлиддин Садуллаевич</t>
  </si>
  <si>
    <t>22812000999000162001</t>
  </si>
  <si>
    <t>Жураев Аминжон Олим угли</t>
  </si>
  <si>
    <t>22812000099000222001</t>
  </si>
  <si>
    <t>Турдиева Мамура Марданкуловна</t>
  </si>
  <si>
    <t>22812000899000235001</t>
  </si>
  <si>
    <t>Бекназарова Феруза Акабоевна</t>
  </si>
  <si>
    <t>22812000399002970001</t>
  </si>
  <si>
    <t>Халимова Дилдора Одиловна</t>
  </si>
  <si>
    <t>14901000899000246002</t>
  </si>
  <si>
    <t>22812000599002976001</t>
  </si>
  <si>
    <t>Бозоров Садирдин Шералиевич</t>
  </si>
  <si>
    <t>22812000999002992001</t>
  </si>
  <si>
    <t>Маматназаров Абдужабар Базарбаевич</t>
  </si>
  <si>
    <t>22812000699002995001</t>
  </si>
  <si>
    <t>Хамидова Гулшода Турдиевна</t>
  </si>
  <si>
    <t>22812000799003003001</t>
  </si>
  <si>
    <t>Хужамова Дилбар Нуритдиновна</t>
  </si>
  <si>
    <t>22812000999003036001</t>
  </si>
  <si>
    <t>Турдиев Гафур Нуриддинович</t>
  </si>
  <si>
    <t>22812000299003051001</t>
  </si>
  <si>
    <t>Жураев Хусниддин Нуриллаевич</t>
  </si>
  <si>
    <t>22812000699003062001</t>
  </si>
  <si>
    <t>22812000199003353001</t>
  </si>
  <si>
    <t>Буронова Нафосат Истамовна</t>
  </si>
  <si>
    <t>22812000699003779001</t>
  </si>
  <si>
    <t>Халилов Наримон Шавкетович</t>
  </si>
  <si>
    <t>22812000899003868001</t>
  </si>
  <si>
    <t>Минглиева Шахзода Махаматовна</t>
  </si>
  <si>
    <t>22812000199003889001</t>
  </si>
  <si>
    <t>Ахатов Учкунжон Хаитович</t>
  </si>
  <si>
    <t>22812000399004290001</t>
  </si>
  <si>
    <t>Хасанов Шерали Исматович</t>
  </si>
  <si>
    <t>22812000999004540001</t>
  </si>
  <si>
    <t>Сафарова Нодира Уразбаевна</t>
  </si>
  <si>
    <t>22812000999004766001</t>
  </si>
  <si>
    <t>Рахмонов Мирвохид Ражабович</t>
  </si>
  <si>
    <t>22812000899005127001</t>
  </si>
  <si>
    <t>Муродов Исомиддин Дурдиевич</t>
  </si>
  <si>
    <t>22812000699005273001</t>
  </si>
  <si>
    <t>Рахимова Гавхар Искандаровна</t>
  </si>
  <si>
    <t>22812000899006152001</t>
  </si>
  <si>
    <t>Бобомуродов Бекзод Нуриддинович</t>
  </si>
  <si>
    <t>22812000099006392001</t>
  </si>
  <si>
    <t>Худойбердиев Аъзамжон Исматович</t>
  </si>
  <si>
    <t>22812000399006434001</t>
  </si>
  <si>
    <t>Хусанова Дилафруз Умиркуловна</t>
  </si>
  <si>
    <t>22812000099006505001</t>
  </si>
  <si>
    <t>Курбонова Мухайё Бекмуродовна</t>
  </si>
  <si>
    <t>22812000999006517001</t>
  </si>
  <si>
    <t>Ашурова Мухабатхон Ибадуллаевна</t>
  </si>
  <si>
    <t>22812000899006518001</t>
  </si>
  <si>
    <t>Тоштемиров Музаффар Эркинович</t>
  </si>
  <si>
    <t>22812000699006530001</t>
  </si>
  <si>
    <t>Шарипова Улбусин Ташпулатовна</t>
  </si>
  <si>
    <t>22812000999006674001</t>
  </si>
  <si>
    <t>Ботиров Шерзод Рахматиллоевич</t>
  </si>
  <si>
    <t>22812000899006819001</t>
  </si>
  <si>
    <t>Эгамова Холида Бобомуродовна</t>
  </si>
  <si>
    <t>22812000199006878001</t>
  </si>
  <si>
    <t>Хамидова Мавжуда Суннатовна</t>
  </si>
  <si>
    <t>22812000899006881001</t>
  </si>
  <si>
    <t>Ибрагимов Аброр Эшмирзаевич</t>
  </si>
  <si>
    <t>Кадиров Акрам Чарибоевич</t>
  </si>
  <si>
    <t>22812000799007968001</t>
  </si>
  <si>
    <t>Sanakulova Dilafruz Djaxongirovna</t>
  </si>
  <si>
    <t>22812000999010969001</t>
  </si>
  <si>
    <t>Бабаяров Акмал Негматуллаевич</t>
  </si>
  <si>
    <t>22812000299013833001</t>
  </si>
  <si>
    <t>Ибрагимова Нигора Исмоиловна</t>
  </si>
  <si>
    <t>22812000999013998001</t>
  </si>
  <si>
    <t>Кодиров Ахматжон Абдугаффорович</t>
  </si>
  <si>
    <t>22812000399014116001</t>
  </si>
  <si>
    <t>Норбутаев Сардор Хамитович</t>
  </si>
  <si>
    <t>22812000999014245001</t>
  </si>
  <si>
    <t>Нуримбетова Муслима Равиловна</t>
  </si>
  <si>
    <t>22812000799014267001</t>
  </si>
  <si>
    <t>Шамшиев Сирожитдин Уктамович</t>
  </si>
  <si>
    <t>22812000899014312001</t>
  </si>
  <si>
    <t>Ходжабаев Фарход Далатбаевич</t>
  </si>
  <si>
    <t>22812000099014363001</t>
  </si>
  <si>
    <t>Примов Гайбулло Садуллоевич</t>
  </si>
  <si>
    <t>22812000499014364001</t>
  </si>
  <si>
    <t>Фармонова Маргуба Абдуллаевна</t>
  </si>
  <si>
    <t>22812000199014375001</t>
  </si>
  <si>
    <t>Хасанов Шерзод Равшанович</t>
  </si>
  <si>
    <t>22812000799014539001</t>
  </si>
  <si>
    <t>Бекбутаева Гулхаё Илхомиддин кизи</t>
  </si>
  <si>
    <t>22812000799014540001</t>
  </si>
  <si>
    <t>Хакбердиев Музаффар Кулдошевич</t>
  </si>
  <si>
    <t>22812000099014542001</t>
  </si>
  <si>
    <t>Бекмуродов Толиб Махмадмуродович</t>
  </si>
  <si>
    <t>22812000099014567001</t>
  </si>
  <si>
    <t>Намозова Жамила Йулдошевна</t>
  </si>
  <si>
    <t>22812000899014574001</t>
  </si>
  <si>
    <t>Атамуродов Аваз Актамович</t>
  </si>
  <si>
    <t>22812000599014576001</t>
  </si>
  <si>
    <t>Шодиев Бобир Ботирович</t>
  </si>
  <si>
    <t>22812000999014577001</t>
  </si>
  <si>
    <t>Абдуахатова Нафиса Хикматуллаевна</t>
  </si>
  <si>
    <t>22812000299014578001</t>
  </si>
  <si>
    <t>Бахронов Акмал Фуркатович</t>
  </si>
  <si>
    <t>22812000699014579001</t>
  </si>
  <si>
    <t>Исмоилов Шерзод Мирсолиевич</t>
  </si>
  <si>
    <t>22812000199014600001</t>
  </si>
  <si>
    <t>Тилавов Бехзод Ёкубжонович</t>
  </si>
  <si>
    <t>22812000199014606001</t>
  </si>
  <si>
    <t>Фахриддинов Илхомжон Тохирович</t>
  </si>
  <si>
    <t>22812000199014608001</t>
  </si>
  <si>
    <t>Очилов Ибодулла Садуллаевич</t>
  </si>
  <si>
    <t>22812000899014627001</t>
  </si>
  <si>
    <t>Мавлонов Фахриддин Очилович</t>
  </si>
  <si>
    <t>22812000299014631001</t>
  </si>
  <si>
    <t>Разаков Ихтияр Исматович</t>
  </si>
  <si>
    <t>22812000799014633001</t>
  </si>
  <si>
    <t>Омонова Дилором Облакуловна</t>
  </si>
  <si>
    <t>22812000699014683001</t>
  </si>
  <si>
    <t>Хусанов Шерали Рахматович</t>
  </si>
  <si>
    <t>22812000899014701001</t>
  </si>
  <si>
    <t>ЖУРАКУЛОВ БАХТИЁР ОСТОНАКУЛОВИЧ</t>
  </si>
  <si>
    <t>22812000999014713001</t>
  </si>
  <si>
    <t>Жуманазаров Бобир Кодирович</t>
  </si>
  <si>
    <t>22812000199014775001</t>
  </si>
  <si>
    <t>Бобожонова Мухаббат Хасановна</t>
  </si>
  <si>
    <t>22812000599014783001</t>
  </si>
  <si>
    <t>Мирзаев Норбек Илхомович</t>
  </si>
  <si>
    <t>22812000399014786001</t>
  </si>
  <si>
    <t>Рахматов Камол Жабборович</t>
  </si>
  <si>
    <t>22812000299014978001</t>
  </si>
  <si>
    <t>Сайфуллаев Мухтор Зиядиллаевич</t>
  </si>
  <si>
    <t>22812000699015137001</t>
  </si>
  <si>
    <t>Гайбуллаева Мехриноз Исомиддин кизи</t>
  </si>
  <si>
    <t>22812000999015141001</t>
  </si>
  <si>
    <t>Бутаева Манзура Миржоновна</t>
  </si>
  <si>
    <t>22812000799015142001</t>
  </si>
  <si>
    <t>Джалилов Жамшит Увайдуллоевич</t>
  </si>
  <si>
    <t>22812000399015176001</t>
  </si>
  <si>
    <t>Хусанов Акмал Рахматиллаевич</t>
  </si>
  <si>
    <t>22812000299015197001</t>
  </si>
  <si>
    <t>Сапаров Абдихолик Кенжаевич</t>
  </si>
  <si>
    <t>22812000399015279001</t>
  </si>
  <si>
    <t>Исоева Заррина Илёсовна</t>
  </si>
  <si>
    <t>22812000999015304001</t>
  </si>
  <si>
    <t>Камилов Шохрух Камил угли</t>
  </si>
  <si>
    <t>22812000999015305001</t>
  </si>
  <si>
    <t>Аблакулов Толибжон Мирзаевич</t>
  </si>
  <si>
    <t>22812000599015383001</t>
  </si>
  <si>
    <t>Пулатов Абдинаби Рахматович</t>
  </si>
  <si>
    <t>22812000099015466001</t>
  </si>
  <si>
    <t>Очилов Азимжон Тухтамишович</t>
  </si>
  <si>
    <t>22812000499015477001</t>
  </si>
  <si>
    <t>Илхомов Хамзажон Илхомович</t>
  </si>
  <si>
    <t>22812000599015615001</t>
  </si>
  <si>
    <t>Базаров Шавкат Ахтамович</t>
  </si>
  <si>
    <t>22812000999015793001</t>
  </si>
  <si>
    <t>Yandusov Ilxom Xakberdievich</t>
  </si>
  <si>
    <t>22812000599016296001</t>
  </si>
  <si>
    <t>Кохоров Хусниддин Олимжонович</t>
  </si>
  <si>
    <t>22812000699016448001</t>
  </si>
  <si>
    <t>NURMAMATOVA MOHIGUL FURQAT QIZI</t>
  </si>
  <si>
    <t>22812000199016647001</t>
  </si>
  <si>
    <t>Кенжаева Мохинур Бобир кизи</t>
  </si>
  <si>
    <t>22812000999017159001</t>
  </si>
  <si>
    <t>Раззокова Дилора Гиёс кизи</t>
  </si>
  <si>
    <t>22812000999017160001</t>
  </si>
  <si>
    <t>Курбонова Дурдона Бекмурод кизи</t>
  </si>
  <si>
    <t>22812000999017424001</t>
  </si>
  <si>
    <t>Абдуназаров Шерзодбек Набижон угли</t>
  </si>
  <si>
    <t>22812000799017426001</t>
  </si>
  <si>
    <t>Абдуназаров Дилшодбек Набижон угли</t>
  </si>
  <si>
    <t>22812000399017442001</t>
  </si>
  <si>
    <t>КАРИМОВА ШОИРА АМОНОВНА</t>
  </si>
  <si>
    <t>22812000499017975001</t>
  </si>
  <si>
    <t>Буриев Отабек Гафурович</t>
  </si>
  <si>
    <t>22812000699019234001</t>
  </si>
  <si>
    <t>Кадырова Раъно Эркиновна</t>
  </si>
  <si>
    <t>22812000699019248001</t>
  </si>
  <si>
    <t>Рахмонов Хасан Садритдин угли</t>
  </si>
  <si>
    <t>22812000299019249001</t>
  </si>
  <si>
    <t>Нормуродов Мирзабек Тошназар угли</t>
  </si>
  <si>
    <t>22812000199019324001</t>
  </si>
  <si>
    <t>Ходжамкулов Шахбоз Ганижон угли</t>
  </si>
  <si>
    <t>22812000099019325001</t>
  </si>
  <si>
    <t>Акрамова Мухлиса Нурали кизи</t>
  </si>
  <si>
    <t>22812000899019326001</t>
  </si>
  <si>
    <t>Нематова Умида Эрдон кизи</t>
  </si>
  <si>
    <t>22812000899019360001</t>
  </si>
  <si>
    <t>Имомова Мухайё Сайдулло кизи</t>
  </si>
  <si>
    <t>22812000299019431001</t>
  </si>
  <si>
    <t>Каримов Махмуд Абдурахимович</t>
  </si>
  <si>
    <t>22812000099019432001</t>
  </si>
  <si>
    <t>Рахмонов Шерзод Шухрат угли</t>
  </si>
  <si>
    <t>22812000799019433001</t>
  </si>
  <si>
    <t>Джунаидов Ихтиёр Бахтиёр угли</t>
  </si>
  <si>
    <t>22812000799019459001</t>
  </si>
  <si>
    <t>Жураев Фарход Ганиевич</t>
  </si>
  <si>
    <t>22812000599019469001</t>
  </si>
  <si>
    <t>Махмудова Дилноза Халимовна</t>
  </si>
  <si>
    <t>22812000199019473001</t>
  </si>
  <si>
    <t>Нурмуродов Камолиддин Пирмаматович</t>
  </si>
  <si>
    <t>22812000199019553001</t>
  </si>
  <si>
    <t>Намозова Шахлохон Анвар кизи</t>
  </si>
  <si>
    <t>22812000999019579001</t>
  </si>
  <si>
    <t>Хамроева Максуда Алижон кизи</t>
  </si>
  <si>
    <t>22812000199019580001</t>
  </si>
  <si>
    <t>Хамзаева Рушана Дилшод кизи</t>
  </si>
  <si>
    <t>22812000799019582001</t>
  </si>
  <si>
    <t>Ишмуродова Хабиба Иззатиллаевна</t>
  </si>
  <si>
    <t>22812000099019583001</t>
  </si>
  <si>
    <t>Мухамадиева Интизора Вали кизи</t>
  </si>
  <si>
    <t>22812000999019639001</t>
  </si>
  <si>
    <t>Мурадов Мирзохид Тулкинович</t>
  </si>
  <si>
    <t>22812000999019653001</t>
  </si>
  <si>
    <t>Равшанова Ситора Тулкин кизи</t>
  </si>
  <si>
    <t>22812000999019875001</t>
  </si>
  <si>
    <t>Шадиев Азизжон Ёкубжонович</t>
  </si>
  <si>
    <t>22812000999020116001</t>
  </si>
  <si>
    <t>Додоева Румия Рустамовна</t>
  </si>
  <si>
    <t>22812000099020238001</t>
  </si>
  <si>
    <t>Мухитдинова Гулшода Илхом кизи</t>
  </si>
  <si>
    <t>22812000799020407001</t>
  </si>
  <si>
    <t>Абдуллаева Сохиба Акмал кизи</t>
  </si>
  <si>
    <t>22812000399020429001</t>
  </si>
  <si>
    <t>Киёмова Фарогатбону Махмуд кизи</t>
  </si>
  <si>
    <t>22812000499020445001</t>
  </si>
  <si>
    <t>Тогаев Содикжон Искандар угли</t>
  </si>
  <si>
    <t>22812000199020470001</t>
  </si>
  <si>
    <t>Тухтамуродова Ситора Сайит кизи</t>
  </si>
  <si>
    <t>22812000299020698001</t>
  </si>
  <si>
    <t>Hamraeva Sitora Murodilla</t>
  </si>
  <si>
    <t>22812000599020886001</t>
  </si>
  <si>
    <t>Кантуреева Фарида Сериковна</t>
  </si>
  <si>
    <t>22812000099020970001</t>
  </si>
  <si>
    <t>SHARIPOV OTABEK DANIYAROVICH</t>
  </si>
  <si>
    <t>Хисоб раками</t>
  </si>
  <si>
    <t>Маблаг эгасининг номи</t>
  </si>
  <si>
    <t>Нотўғри ўтказилган санаси</t>
  </si>
  <si>
    <t>Ассоссиз ўндирилган кредит ва фоиз хисоб рақами</t>
  </si>
  <si>
    <t>Ассосиз ундирилган сумма</t>
  </si>
  <si>
    <t>Кредит ва фоизи сундирилган қарздор номи</t>
  </si>
  <si>
    <t>АТ Халқ банки Навоий шахар филиалида 22812-хисоб рақамида ассосиз бошқа мижозларнинг кредит қарздорликларини сундирилганлиги бўйича 2018 йил 1 сентябр холатига маълумот</t>
  </si>
  <si>
    <t>29802000100000708201</t>
  </si>
  <si>
    <t>03.06.2016</t>
  </si>
  <si>
    <t>27.01.2017</t>
  </si>
  <si>
    <t>31.12.2017</t>
  </si>
  <si>
    <t>56202/201</t>
  </si>
  <si>
    <t>№ 9 от 05.02.2016 01.03.2015 йилдаги №1 сонли шартномага асосан Янги хаёт Мини банкининг 2015 йил декабр ойи ижара тулови</t>
  </si>
  <si>
    <t>№ 9 от 16.03.2016 01.03.2015 йилдаги №1 сонли шартномага асосан Янги хаёт Мини банкининг 2016 йил январ феврал ойлари ижара тулови</t>
  </si>
  <si>
    <t>№ 1 от 03.06.2016 янги хаёт мини банки март ойи ижарта тулови</t>
  </si>
  <si>
    <t>№ 27 от 27.01.2017 06.01.2016 й №187 сонли шартномага асосан Янги хаёт мини банкининг 2016 йил сентябр ойидан 2016-й декабр ойигача ижара тулови</t>
  </si>
  <si>
    <t>Ижара туловлари</t>
  </si>
  <si>
    <t>Товар-моддий кимматликлар ва курсатилган хизматлар учун туланадиган маблаглар (бошкалар)</t>
  </si>
  <si>
    <t>29802000300000708202</t>
  </si>
  <si>
    <t>29802000700000708100</t>
  </si>
  <si>
    <t>56202/601</t>
  </si>
  <si>
    <t>27.03.2017</t>
  </si>
  <si>
    <t>27.04.2017</t>
  </si>
  <si>
    <t>23.09.2017</t>
  </si>
  <si>
    <t>23.10.2017</t>
  </si>
  <si>
    <t>29.01.2018</t>
  </si>
  <si>
    <t>22.02.2018</t>
  </si>
  <si>
    <t>26.03.2018</t>
  </si>
  <si>
    <t>12.04.2018</t>
  </si>
  <si>
    <t>29.05.2018</t>
  </si>
  <si>
    <t>16.07.2018</t>
  </si>
  <si>
    <t>27.08.2018</t>
  </si>
  <si>
    <t>№ 63 от 27.03.2017 05.01.2017й илдаги №Г/188 сонли ш-га асосан Янги хаёт мини банкининг 2017 йил январ феврал март ойлари ижара тулови кучирилди</t>
  </si>
  <si>
    <t>№ 21 от 27.04.2017 05.01.2017 йилдаги №Г/188 сонли шартномага асосан Янги хаёт мини банкининг 2017 йил апрел ойи ижара тулови кучирилди</t>
  </si>
  <si>
    <t>№ 1 от 31.07.2017 4 каватли савдо мажмуасидаги 187 гдуконнинг май июн ойлари ижара хакки "Янги хает" мини банки</t>
  </si>
  <si>
    <t>№ 1 от 23.10.2017</t>
  </si>
  <si>
    <t>№ 1 от 13.12.2017</t>
  </si>
  <si>
    <t>№ 1 от 29.01.2018 27.01.2018 йиллдаги 4- сонли сч фактурага асосан Янги хает мини банки учун 4 каватли савдо мажмуасидаги 187- сонли дуконнинг 2018 й январ ойига ижара тулови</t>
  </si>
  <si>
    <t>№ 1 от 22.02.2018 20.02.2018 йилдаги 5- сонли сч фактурага асосан 4 каватли савдо мажмуасидаги 187 сонли дуконнинг 2018 й феврал ойи ижараси учун тулов</t>
  </si>
  <si>
    <t>№ 1 от 27.02.2018 Марказлашган.АТ Халк банки Навоий вил филиалининг 2018 йил феврал ойи таксимотига аоссан марказлашган туловлар</t>
  </si>
  <si>
    <t>№ 1 от 26.03.2018 Марказлашган.АТ Халк банки Навоий вил.фил.нинг 2018йил март ойи таксимотига асосан марказлашган туловлар</t>
  </si>
  <si>
    <t>№ 1 от 12.04.2018 аренда</t>
  </si>
  <si>
    <t>№ 1 от 21.05.2018 Ижара тулови учун апрель 2018</t>
  </si>
  <si>
    <t>№ 1 от 21.05.2018 май ойи учун ижара тулови</t>
  </si>
  <si>
    <t>№ 1 от 29.05.2018 Марказлашган. АТ Халк банки Навоий вил. фил.нинг 2018 йил май ойи таксимотига асосан марказлашган туловлар</t>
  </si>
  <si>
    <t>№ 1 от 29.06.2018 Марказлашган. АТ Халк банки Навоий вил. филиалининг 2018 йил июн ойи таксимотига ас-н марказлашган туловлар</t>
  </si>
  <si>
    <t>№ 1 от 16.07.2018 1</t>
  </si>
  <si>
    <t>№ 1 от 27.08.2018 Янги хает мини банки ижараси учун тулов Июн июл август ойларига 187- сонли дукон</t>
  </si>
  <si>
    <t>29802000600000708221</t>
  </si>
  <si>
    <t>Бошка коммунал туловлар</t>
  </si>
  <si>
    <t>56206/202</t>
  </si>
  <si>
    <t>№ 00668 от 10.11.2016 АТ Халк банки Навоий уахар филиалининг 2016 йил октябр ойи совук сув тулови</t>
  </si>
  <si>
    <t>29802000900000708206</t>
  </si>
  <si>
    <t>Товар-моддий кимматликлар ва курсатилган хизматлар учун туланадиган маблаглар (Сув тулови)</t>
  </si>
  <si>
    <t>26.08.2017</t>
  </si>
  <si>
    <t>28.08.2017</t>
  </si>
  <si>
    <t>21.02.2018</t>
  </si>
  <si>
    <t>18.05.2018</t>
  </si>
  <si>
    <t>23.05.2018</t>
  </si>
  <si>
    <t>14.06.2018</t>
  </si>
  <si>
    <t>18.07.2018</t>
  </si>
  <si>
    <t>56206/206</t>
  </si>
  <si>
    <t>№ 6 от 27.03.2017 28.02.2017 йилдаги №4/16280 сонли хисоб фактурага асосан 2017 йил март ойи ишлатилгант совук сув тулови кучирилди</t>
  </si>
  <si>
    <t>№ 1 от 24.07.2017 31.05.2017 йилдаги 4/22331- сонли сч фактурага асосан сув тулови</t>
  </si>
  <si>
    <t>№ 1 от 24.07.2017 3006.2017 йилдаги 4/23809- сонли сч фактурага асосан сув тулови</t>
  </si>
  <si>
    <t>№ 1 от 23.08.2017</t>
  </si>
  <si>
    <t>№ 1 от 28.08.2017</t>
  </si>
  <si>
    <t>№ 1 от 23.09.2017</t>
  </si>
  <si>
    <t>№ 1 от 20.11.2017</t>
  </si>
  <si>
    <t>№ 1 от 17.12.2017</t>
  </si>
  <si>
    <t>№ 1 от 15.02.2018</t>
  </si>
  <si>
    <t>№ 1 от 21.02.2018</t>
  </si>
  <si>
    <t>№ 1 от 27.03.2018 За ХВС и стоки сог сч фактура 4/01245 от 28,02,2018 г</t>
  </si>
  <si>
    <t>№ 1 от 18.05.2018 ХВС стоки сог сч факт 4/01245 от 31,03,2018 й</t>
  </si>
  <si>
    <t>№ 1 от 23.05.2018 За вода</t>
  </si>
  <si>
    <t>№ 1 от 14.06.2018 1</t>
  </si>
  <si>
    <t>№ 1 от 18.07.2018 1</t>
  </si>
  <si>
    <t>№ 1 от 19.07.2018 1</t>
  </si>
  <si>
    <t>56210/601</t>
  </si>
  <si>
    <t>56210/203</t>
  </si>
  <si>
    <t>56210/101</t>
  </si>
  <si>
    <t>56210/204</t>
  </si>
  <si>
    <t>56210/102</t>
  </si>
  <si>
    <t>29802000800000708210</t>
  </si>
  <si>
    <t>Электр энергияси иссиклик манбаи</t>
  </si>
  <si>
    <t>29802000500000708203</t>
  </si>
  <si>
    <t>Электр энергияси харажатлари</t>
  </si>
  <si>
    <t>29802000400000708903</t>
  </si>
  <si>
    <t>ФЖБПТТ Электр энергияси харажатлари</t>
  </si>
  <si>
    <t>№ 05 от 27.03.2017 09.02.2017 йилдаги №16 сонли хисоб фактурага асосан Гепер 187 дуконда жойлашган янги хаёт мини банкининг электр энергияси учун тулов</t>
  </si>
  <si>
    <t>№ 15 от 27.04.2017 27.04.2017 йилдаги №0417080432 сонли хисоб фактурага асосан 2017 йил апрел ойи электр энергия тулови кучирилди</t>
  </si>
  <si>
    <t>№ 11 от 26.01.2016 01.01.2015 йилдаги №22/1242/16 сонли шартномага асосан 2015 йил декабр ойи элект энергия тулови</t>
  </si>
  <si>
    <t>№ 22 от 15.02.2016 25.01.2016 йилдаги №0116080432 сонли сечет фактурага асосан 2016 йил феврал ойи элект энергия тулови</t>
  </si>
  <si>
    <t>№ 3 от 16.03.2016 2016 йил феврал ойи электр энергия тулови кучирилди</t>
  </si>
  <si>
    <t>№ 11 от 03.05.2016 23.04.2016 йилдаги №0416080432 сонли счет фактурага асосан 2016 йил апрел ойи электр энергия тулови</t>
  </si>
  <si>
    <t>№ 15 от 03.05.2016 26.03.2016 йилдаги №0316080432 сонли счет фактурага асосан 2016 йил март ойи электр энергия тулови</t>
  </si>
  <si>
    <t>№ 1 от 24.05.2016 23.05.2016 йилдаги №0516080432 сонли счет фактурага асосан 2016 йил май ойи электр энергия тулови</t>
  </si>
  <si>
    <t>№ 5 от 24.06.2016 2016 йил июнь ойи электр энергия тулови кучирилди</t>
  </si>
  <si>
    <t>№ 19 от 26.07.2016 2016 йил июл ойи электр энергия тулови</t>
  </si>
  <si>
    <t>№ 17 от 20.08.2016 17,08,2016 йилдаги № 22/649 сч фак асосан август ойи эл эн учун тулов</t>
  </si>
  <si>
    <t>№ 27 от 27.09.2016 Ат Халк банки Навоий шахар филиалининг 2016 йил сентябр ойи электр энергияси учун тулов</t>
  </si>
  <si>
    <t>№ 00653 от 25.10.2016 АТ Халк банки Навоий шахар филиалининг 2016 йил октябр ойи электр энергия тулови</t>
  </si>
  <si>
    <t>№ 3 от 25.11.2016 22.11.2016 йилдаги № 22/649 счёт фактурага асосан эл эн учун тулов</t>
  </si>
  <si>
    <t>№ 00668 от 30.12.2016 22.12.2016 йилдаги №1216080432 сонли хисоб фактурага асосан АТ Халк банки Навоий шахар филиалининг 2016 йил декабр ойи электр энергияси учун тулов</t>
  </si>
  <si>
    <t>№ 5 от 24.01.2017 23,01,2017 йилдаги № 0117080432 сч фактурага асосан электр энергия учун тулов</t>
  </si>
  <si>
    <t>№ 6 от 31.01.2017 Ат Халк банки Навоий шахар филиалининг 2017 йил январ ойи элект энергия тулови кучирилди</t>
  </si>
  <si>
    <t>№ 5 от 10.03.2017 27.02.2017 йилдаги № 0217080432 сонли шартномага асосан феврал ойи электр энергияси олиш учун тулов</t>
  </si>
  <si>
    <t>№ 1 от 28.05.2017 24.05.2017 йилдаги № 22/649 сонли счёт фактурага асосан электр энергия учун тулов</t>
  </si>
  <si>
    <t>№ 9 от 27.03.2017 24.03.2017 йилдаги №0317080432 сонли хисоб фактурага асосан март ойи электр энергияси учун тулов</t>
  </si>
  <si>
    <t>№ 1 от 24.07.2017 За потреблению эл энергию за май мгц 2017 г</t>
  </si>
  <si>
    <t>№ 1 от 24.07.2017 АКТ 0617080432 от 01072017 г за потроелению электрэнергию сог дог 22/649 от 01.01.2017</t>
  </si>
  <si>
    <t>№ 1 от 31.08.2017</t>
  </si>
  <si>
    <t>№ 1 от 14.11.2017</t>
  </si>
  <si>
    <t>№ 1 от 19.12.2017</t>
  </si>
  <si>
    <t>№ 1 от 31.12.2017 Электр энергияси харажатлари</t>
  </si>
  <si>
    <t>№ 1 от 28.02.2018 Электр энергияси харажатлари январ ойи учун</t>
  </si>
  <si>
    <t>№ 1 от 30.03.2018 Электр энергияси харажатлари</t>
  </si>
  <si>
    <t>№ 1 от 16.04.2018 Электр энергияси харажатлари</t>
  </si>
  <si>
    <t>№ 1 от 23.04.2018 1</t>
  </si>
  <si>
    <t>№ 1 от 23.05.2018 АКт сверка</t>
  </si>
  <si>
    <t>№ 1 от 27.06.2018 1</t>
  </si>
  <si>
    <t>№ 3 от 27.08.2018 270,06,2018 йилдаги 80432 сонлм сч фактурага асосан июн ойи электр энергияси учун тулов</t>
  </si>
  <si>
    <t>№ 1 от 30.08.2018 27,08,2018 йилдаги 081080432- сонли сч фактурага асосан август ойида ишлатилган электр энергия учун тулов</t>
  </si>
  <si>
    <t>№ 1 от 30.08.2018 31,07,2018 йилдаги 718080432 сонли сч фактурага асосан июл ойида ишлатилган электр энергия учун тулов</t>
  </si>
  <si>
    <t>№ 1 от 05.06.2017 30.04.2017 йилдаги № 4/20056 счёт фактурага асосан каммунал тулов</t>
  </si>
  <si>
    <t>№ 1 от 15.02.2018(Банкнинг иссиқлик тармоғи учун харажати</t>
  </si>
  <si>
    <t>19921000400000708123</t>
  </si>
  <si>
    <t>Омбордаги эхтиёт кисмлар</t>
  </si>
  <si>
    <t>29802000500000708218</t>
  </si>
  <si>
    <t>29802000000000708906</t>
  </si>
  <si>
    <t>ФЖБПТТ Бино таъмири-жорий Бахолаш харажатлари</t>
  </si>
  <si>
    <t>29802000400000708217</t>
  </si>
  <si>
    <t>29802000000000708535</t>
  </si>
  <si>
    <t>Курсатилган хизматлар (Жихозлар таъмири) учун тулов</t>
  </si>
  <si>
    <t>19907000300000708221</t>
  </si>
  <si>
    <t>19907000900000708214</t>
  </si>
  <si>
    <t>Курсатилган хизматлар (Таъмирлаш ишлари) учун олдиндан тулов</t>
  </si>
  <si>
    <t>29802000600000708220</t>
  </si>
  <si>
    <t>Касса амалиёти асосий воситалари таъмири-жорий</t>
  </si>
  <si>
    <t>19921000000000708134</t>
  </si>
  <si>
    <t>Омбордаги хужалик моллари</t>
  </si>
  <si>
    <t>№ 1 от 18.11.2016 Марказлашган.За сервис.обсл.терминалов.за сент.2016г.сч.фак.№2254от30.09.2016г.акт вып.раб.№2254от30.09.2016г.по дог.№POS-132-16от04.01.2016г.</t>
  </si>
  <si>
    <t>№ 3 от 26.12.2016 Марказлашган.За сервис.обсл.терминалов.за нояб.2016г.сч.фак.№2681от30.11.2016г.акт вып.раб.№2681от30.11.2016г.по дог.№POS-132-16от04.01.2016г.</t>
  </si>
  <si>
    <t>№ 1 от 29.12.2016 Марказлашган.За сервис.обсл.терминалов.за октяб.2016г.сч.фак.№2502от31.10.2016г.акт вып.раб.№2502от31.10.2016г.по дог.№POS-132-16от04.01.2016г.</t>
  </si>
  <si>
    <t>№ 2 от 31.01.2017 Марказлашган.За сервис.обсл.терминалов за декаб.2016г.27.12.16й сч.фак.№2938.акт вып.раб.№2938от27.12.16г.по дог.POS-132-16от04.01.2016г... Кол-во договоров за месяц по данному клиенту: 9 шт.</t>
  </si>
  <si>
    <t>№ 10 от 28.02.2017 Марказлашган 04.01.17й№POS-132-16 шартномага ас-н январ ойи терминалларнинг техник холатига хизмат курсатиш тулови. Кол-во договоров за месяц по данному клиенту: 11 шт.</t>
  </si>
  <si>
    <t>№ 1 от 31.03.2017 Марказлашган 04.01.17й№POS-132-16 шартномага ас-н феврал ойи терминалларнинг техник холатига хизмат курсатиш тулови..</t>
  </si>
  <si>
    <t>За ТМЦ (ТРЕБОВАНИЕ) № 1 от 31.07.2016 Далолатномага асосан Дамас русумлм авто машинани эхтиёт кисмлари чиким килинмокда</t>
  </si>
  <si>
    <t>За ТМЦ (ТРЕБОВАНИЕ) № 1 от 31.12.2016 Далолатномага асосан хисобдорликда сотиш учун</t>
  </si>
  <si>
    <t>№ 1 от 31.08.2017 согл требованию</t>
  </si>
  <si>
    <t>№ 8 от 31.01.2016 Марказлашган сумма</t>
  </si>
  <si>
    <t>№ 01 от 09.02.2016 04.02.2016 йилдаги №39 сонли шартномага асосан банк компютер ва кардрежларини ремонт килиш учун тулов</t>
  </si>
  <si>
    <t>№ 19 от 19.04.2016 15.03.2016 йилдаги №64 сонли шартномага асосан банк кардрежларини ранглаш ва компютерлар ремонти учун тулов</t>
  </si>
  <si>
    <t>№ 2 от 24.06.2016 2016 йил май июнь ойларида кмопютерлар ремонти ва кардрежларни ранглаш харажати учун тулов</t>
  </si>
  <si>
    <t>№ 28 от 24.08.2016 17,08,2016 йилдаги № 217 ш/а катреж ремонти запрафкава компютерга хизмат курсатиш учун тулов</t>
  </si>
  <si>
    <t>№ 25 от 25.10.2016 18.10.2016 йилдаги №286 сонли шартномага асосан банкнинг комютерлари кайта дастурлаш ва притер картрежлари ремонти ва ранглаш хизмати учун тулов</t>
  </si>
  <si>
    <t>№ 00668 от 21.12.2016 09.12.2016 йилдаги № 340 ш/а кадреж заправкаси ва ремонти учун тулов</t>
  </si>
  <si>
    <t>№ 00668 от 25.03.2017 Марказлашган 04.01.17й№POS-132-16 шартномага ас-н январ ойи терминалларнинг техник холатига хизмат курсатиш тулови</t>
  </si>
  <si>
    <t>№ 1 от 26.08.2017 За ремонт и обслуживание оргтехники модернизация компьютеров</t>
  </si>
  <si>
    <t>№ 1 от 27.11.2017</t>
  </si>
  <si>
    <t>№ 1 от 23.02.2018 За ТО и ремонт автомашины нексия-3 замена масло и фильтр сог дог 14/Б от 22,02,2018 г</t>
  </si>
  <si>
    <t>№ 1 от 24.04.2018 УЗБ.РЕС Президентининг №2826 карори,Бошкарувнинг 28-5 карори ва 11.04.2018й №83 шартномага ас-е пенсия таркатувчи хизматдаги Дамас русумли автомашиналарнинг мотор мойи ва фильтрни алмаштириш учун</t>
  </si>
  <si>
    <t>№ 1 от 22.09.2016 акт</t>
  </si>
  <si>
    <t>№ 15 от 16.06.2016 28.04.16й №10с ш-га ас-н Навоий ш ХБ нинг омборхоносидаги яроксиз холга келган утда ёнмас сейфини таъмирлаш хизмати учун тулов</t>
  </si>
  <si>
    <t>№ 1 от 25.04.2016 2016 й март ойи комунал тулови</t>
  </si>
  <si>
    <t>№ 3 от 26.05.2016 30.04.2016 йилдаги № 4/95558 сонли хисоб фактурага асосан 2016 йил апрел ойи коммунал тулови</t>
  </si>
  <si>
    <t>№ 00668 от 22.12.2016 31,10,2016 йилдаги № 4/10041 сч фак асосан каммунал тулов</t>
  </si>
  <si>
    <t>№ 23 от 22.12.2016 31.07.2016 йилдаги № 4/1953 сч фак асосан каммунал тулови</t>
  </si>
  <si>
    <t>№ 00668 от 28.01.2017 31.12.2016 йилдаги № 4/11746 сч фак асосан Ат Халк банки Навоий шахар филиалининг 2017 йил январ ойи коммунал тулови</t>
  </si>
  <si>
    <t>№ 256 от 25.03.2017 31,012017 йилдаги № 4/14541 сонли счёт фактурага асосан ХВС</t>
  </si>
  <si>
    <t>№ 1 от 29.04.2017 31.03.2017 йилдаги №4/17982 сонли хисоб фактурага асосан 2017 йил атопления учун иссик сув ва ичмлик учун совук сув тулови кучирилди</t>
  </si>
  <si>
    <t>№ 1 от 23.07.2018 1</t>
  </si>
  <si>
    <t>№ 3 от 23.07.2018 3</t>
  </si>
  <si>
    <t>№ 2 от 23.07.2018 2</t>
  </si>
  <si>
    <t>№ 1 от 30.09.2017 Бажарилган ишлар учун</t>
  </si>
  <si>
    <t>№ 1 от 22.12.2017 За техническому обслуживанию и ремонтуЁ комьютерной техники, принтеров и оргтехники и технических осмотр согг дог 396 от 20072017 г</t>
  </si>
  <si>
    <t>№ 1 от 28.02.2018 25.02.2018 йилдаги 13/18- сонли шартномага асосан компьютер техникаларини таъмирлаш ва техник хизмат курсатиш учун тулов</t>
  </si>
  <si>
    <t>№ 1 от 02.03.2018 За чистка смазка дефиктация счет машинка WEERONG сог дог 4 от 02,03,2018 г</t>
  </si>
  <si>
    <t>№ 1 от 23.04.2018 12</t>
  </si>
  <si>
    <t>№ 1 от 24.04.2018 1</t>
  </si>
  <si>
    <t>№ 1 от 30.09.2017 Ввод в эксплутацию МБП</t>
  </si>
  <si>
    <t>№ 2 от 29.11.2017 Выдача в эксплутацию МБП</t>
  </si>
  <si>
    <t>№ 1 от 30.07.2017 Марказлашган.За сервис.обсл.терминалов.за Июн.сч.фак.№1510от30.06.2017г.акт вып.раб.№1510от30.06.2017г.по дог.№POS-132-16от04.01.2016г.</t>
  </si>
  <si>
    <t>№ 1 от 31.08.2017 Марказлашган.За сервис.обсл.банкомат.и инфокиоск.за июл.17г.сч.фак.№1663от31.07.17г.акт вып.раб.№1663от31.07.17г.по дог.№POS-132-16от04.01.2016г.</t>
  </si>
  <si>
    <t>№ 1 от 23.09.2017 Марказлашган.За сервис.обсл.банкомат.и инфокиоск.за август.17 г.сч.фак.№1919 от 31.08.17 г.акт вып.раб.№1919 от 31.08.17 г.по дог.№POS-132-16 от 04.01.2016г.</t>
  </si>
  <si>
    <t>№ 1 от 29.10.2017 Марказлашган.За сервис.обсл.банкомат.и инфокиоск.за сентябр.17 г.сч.фак.№2182 от 30.09.17 г.акт вып.раб.№2182 от 30.09.17</t>
  </si>
  <si>
    <t>№ 1 от 29.11.2017 Марказлашган.За сервис.обсл.банкомат.и инфокиоск.за октябр.17 г.сч.фак.№2423 от 31.10.17 г.акт вып.раб.№2423 от 31.10.17</t>
  </si>
  <si>
    <t>№ 1 от 30.11.2017 Марказлашган.ремонт терминалов с заменой комп.част.за октябр 2017 г.сч.фак.№2461 от 31.10.17 г.акт вып.раб.№2461 от 31.10.17</t>
  </si>
  <si>
    <t>№ 1 от 28.12.2017 Марказлашган.За сервис.обсл.банкомат.и инфокиоск.за ноябр.17 г.сч.фак.№2660 от 30.11.17 г.акт вып.раб.№2660 от 30.11.17</t>
  </si>
  <si>
    <t>№ 1 от 31.01.2018 Марказлашган.За сервис.обсл.банкомат.и инфокиоск.за декабр.17 г.сч.фак.№2911 от 25.12.17 г.акт вып.раб.№2911 от 25.12.17</t>
  </si>
  <si>
    <t>№ 1 от 28.02.2018 Марказлашган.За сервис.обсл.банкомат.и инфокиоск.за 2017 г согл. акт сверки от 30,11,2017г</t>
  </si>
  <si>
    <t>№ 6 от 25.03.2016 Марказлашган.За сервис.обсл.терминалов.за декабр.15г.сч.фак.№2625от24.12.15г.акт вып.раб.№2625от24.12.15г.по дог.№POS 33-14от02.09.14г.</t>
  </si>
  <si>
    <t>№ 1 от 25.04.2016 Марказлашган.За сервис.обсл.терминалов.за янв.16г.сч.фак.№194от31.01.16г.акт вып.раб.№194от31.01.16г.по дог.№POS-132-16от04.01.2016г.</t>
  </si>
  <si>
    <t>№ 1 от 29.04.2016 Марказлашган.За сервис.обсл.терминалов.за февр.16г.сч.фак.№429от29.02.16г.акт вып.раб.№429от29.02.16г.по дог.№POS-132-16от04.01.2016г.</t>
  </si>
  <si>
    <t>№ 1 от 17.05.2016 Марказлашган.За сервис.обсл.терминалов.за апр.2016г.сч.фак.№916от30.04.2016г.акт вып.раб.№916от30.04.2016г.по дог.№POS-132-16от04.01.2016г.</t>
  </si>
  <si>
    <t>№ 2 от 17.05.2016 Марказлашган.За сервис.обсл.терминалов.за март.2016г.сч.фак.№727от31.03.2016г.акт вып.раб.№727от31.03.2016г.по дог.№POS-132-16от04.01.2016г.</t>
  </si>
  <si>
    <t>№ 1 от 29.06.2016 Марказлашган.За сервис.обсл.терминалов.за май.2016г.сч.фак.№1181от31.05.2016г.акт вып.раб.№1181от31.05.2016г.по дог.№POS-132-16от04.01.2016г.</t>
  </si>
  <si>
    <t>№ 2 от 29.08.2016 Марказлашган.За сервис.обсл.терминалов.за июн.2016г.сч.фак.№1486от30.06.2016г.акт вып.раб.№1486от30.06.2016г.по дог.№POS-132-16от04.01.2016г.</t>
  </si>
  <si>
    <t>№ 1 от 29.08.2016 Марказлашган.За сервис.обсл.терминалов.за июл.2016г.сч.фак.№1733от31.07.2016г.акт вып.раб.№1733от31.07.2016г.по дог.№POS-132-16от04.01.2016г.</t>
  </si>
  <si>
    <t>№ 9 от 30.09.2016 Марказлашган.За сервис.обсл.терминалов.за авг.2016г.сч.фак.№1949от31.08.2016г.акт вып.раб.№1949от31.08.2016г.по дог.№POS-132-16от04.01.2016г.</t>
  </si>
  <si>
    <t>№ 1 от 24.11.2016 Марказлашган.За ремонт терминал.с замен.компл.частей за янв.16г(Навоий вил.Навоий ш.фил.00708)сч.фак.№184от31.01.16г.акт вып.раб.№184от31.01.16г.по дог.№POS-132-16от04.01.16г.</t>
  </si>
  <si>
    <t>№ 2 от 31.03.2017 Марказлашган 28.03.2017 28.02.17й сч.фак.№399.акт вып.раб.№399от28.02.17г.по дог.POS-132-16от04.01.2016г.за феврал.ремон терминалов</t>
  </si>
  <si>
    <t>№ 1 от 30.05.2017 Марказлашган.За сервис.обсл.терминалов.за апр.17г.акт выпол.работ и сч.фак.№862 от 30.04.17г.по дог.№POS-132-16 от 04.01.2016г.</t>
  </si>
  <si>
    <t>№ 1 от 31.05.2017 Марказлашган.За сервис.обсл.терминалов.за март.17г.акт выпол.работ и сч.фак.№706 от 31.03.17г.по дог.№POS-132-16 от 04.01.2016г</t>
  </si>
  <si>
    <t>56214/231</t>
  </si>
  <si>
    <t>56214/123</t>
  </si>
  <si>
    <t>56214/218</t>
  </si>
  <si>
    <t>56214/105</t>
  </si>
  <si>
    <t>56214/219</t>
  </si>
  <si>
    <t>56214/221</t>
  </si>
  <si>
    <t>56214/107</t>
  </si>
  <si>
    <t>56214/102</t>
  </si>
  <si>
    <t>56214/134</t>
  </si>
  <si>
    <t>56214/208</t>
  </si>
  <si>
    <t>56214/230</t>
  </si>
  <si>
    <t>18.11.2016</t>
  </si>
  <si>
    <t>29.12.2016</t>
  </si>
  <si>
    <t>28.02.2017</t>
  </si>
  <si>
    <t>31.03.2017</t>
  </si>
  <si>
    <t>19.04.2016</t>
  </si>
  <si>
    <t>24.06.2016</t>
  </si>
  <si>
    <t>24.08.2016</t>
  </si>
  <si>
    <t>21.12.2016</t>
  </si>
  <si>
    <t>25.03.2017</t>
  </si>
  <si>
    <t>24.04.2018</t>
  </si>
  <si>
    <t>16.06.2016</t>
  </si>
  <si>
    <t>29.04.2017</t>
  </si>
  <si>
    <t>30.07.2017</t>
  </si>
  <si>
    <t>30.11.2017</t>
  </si>
  <si>
    <t>25.03.2016</t>
  </si>
  <si>
    <t>29.04.2016</t>
  </si>
  <si>
    <t>29.06.2016</t>
  </si>
  <si>
    <t>29.08.2016</t>
  </si>
  <si>
    <t>24.11.2016</t>
  </si>
  <si>
    <t>30.05.2017</t>
  </si>
  <si>
    <t>31.05.2017</t>
  </si>
  <si>
    <t>15.02.2016</t>
  </si>
  <si>
    <t>26.07.2016</t>
  </si>
  <si>
    <t>20.08.2016</t>
  </si>
  <si>
    <t>27.09.2016</t>
  </si>
  <si>
    <t>30.12.2016</t>
  </si>
  <si>
    <t>24.01.2017</t>
  </si>
  <si>
    <t>10.03.2017</t>
  </si>
  <si>
    <t>28.05.2017</t>
  </si>
  <si>
    <t>16.04.2018</t>
  </si>
  <si>
    <t>05.06.2017</t>
  </si>
  <si>
    <t>19908000100000708080</t>
  </si>
  <si>
    <t>Шарипов Отабек билан хисоб китоблар</t>
  </si>
  <si>
    <t>19908000500000708999</t>
  </si>
  <si>
    <t>Муртазоев Шухрат Мухиддин угли</t>
  </si>
  <si>
    <t>19908000600000708036</t>
  </si>
  <si>
    <t>Кудратов Иззат</t>
  </si>
  <si>
    <t>19908000400000708321</t>
  </si>
  <si>
    <t>Равшанов Бобомуроднинг хизмат сафари харажати учун</t>
  </si>
  <si>
    <t>19908000900000708069</t>
  </si>
  <si>
    <t>Мусаев Солижон Шукуриллаевич</t>
  </si>
  <si>
    <t>19908000400000708062</t>
  </si>
  <si>
    <t>Сайфуллаев Мухтор хизмат сафари харажатлари х/р</t>
  </si>
  <si>
    <t>19908000000000708066</t>
  </si>
  <si>
    <t>Назаров Элбек Шерали угли</t>
  </si>
  <si>
    <t>19908000700000708064</t>
  </si>
  <si>
    <t>Эрмаматов Исобек Бобокулович хизмат сафари харажати х/р</t>
  </si>
  <si>
    <t>19908000600000708067</t>
  </si>
  <si>
    <t>Ибрагимов Бахтиёр Алишервич</t>
  </si>
  <si>
    <t>19908000899013384001</t>
  </si>
  <si>
    <t>Jumayev Abbos Boratovich командировоч</t>
  </si>
  <si>
    <t>19908000699021194001</t>
  </si>
  <si>
    <t>Jumayev Uktam Farhodovich командировоч</t>
  </si>
  <si>
    <t>19908000099005360001</t>
  </si>
  <si>
    <t>КУДРАТОВ ИЗЗАТ РАХИМБЕРДИЕВИЧ командировоч</t>
  </si>
  <si>
    <t>19908000499014960001</t>
  </si>
  <si>
    <t>МУСАЕВ СОЛИЖОН ШУКУРИЛЛАЕВИЧ командировоч</t>
  </si>
  <si>
    <t>19908000899021816001</t>
  </si>
  <si>
    <t>AKABIROV SHERALI ABDULLAYEVICH</t>
  </si>
  <si>
    <t>19908000200000708068</t>
  </si>
  <si>
    <t>Каюмов Элхом Гаффарович хизмат сафари харажати</t>
  </si>
  <si>
    <t>19908000100000708070</t>
  </si>
  <si>
    <t>Асланова Хайринисо хизмат сафари бунак маблаглари</t>
  </si>
  <si>
    <t>19908000900000708340</t>
  </si>
  <si>
    <t>Муминов Фуркат Жахонгирович хизмат сафари харажатлари х/в</t>
  </si>
  <si>
    <t>19908000700000708071</t>
  </si>
  <si>
    <t>Бобокулов Одилжон бунак маблаглари хизмат сафари</t>
  </si>
  <si>
    <t>19908000200000708072</t>
  </si>
  <si>
    <t>Abdullayev Uralbek Rabbimkulovich</t>
  </si>
  <si>
    <t>19908000300000708074</t>
  </si>
  <si>
    <t>Эгамбердиев Жавохир Маратович</t>
  </si>
  <si>
    <t>Шарипов Отабекнинг Тошкент шах.хизмат сафари харажати копланди</t>
  </si>
  <si>
    <t>Муртозаев Шухратнинг Тошкент шах.хизмат сафари харажати суммаси копланди</t>
  </si>
  <si>
    <t>ХБ Бош-нг 16.03.2016 й 11/1-01-11-69 с №17-с телефонаграммасига ас-н НПС ходими И.Кудратовнинг Тошкент шахрига бориб келиш учун Хизмат сафари йул харажати копланмокда</t>
  </si>
  <si>
    <t>АТ Хб бошкарувининг 11.01.2016 й №3/1 сонли хати ва Навоий ш ХБ нинг 01.04.16 й №26 сонли фармойишига ас-н Б.Равшанов тошкент шахрига хизмат сафари йул харажати суммаси коплпнмокда</t>
  </si>
  <si>
    <t>ХББошк-г08.11.16й.№06-02-02-6/1279хат.Навоий ш ХБ-г16.11.16й.№78ич буйр.ас.С.Ш. Мусаев-г Тошк.шахр.хизмат сафари харажати суммаси.</t>
  </si>
  <si>
    <t>Навоий ш ХБ-г06.10.16й.№69ич буйр.ас.М.З.Сайфуллаев-г Тошк.шахр.хизмат сафари харажати суммаси.</t>
  </si>
  <si>
    <t>00634 АТ Халк банки Бошкарувининг 10,01,2017 й №15 сон фармойишига ас-н НПС ходими Кудратов Иззатнинг Учкудук туманига бориш келиш харажатлари копланди</t>
  </si>
  <si>
    <t>АТ Халк банки Бошкарувининг 08,02,2017 й №211-сон фармойишига ас-н Назаров Элбекнинг Тошкент ш. Пк у-н бориш-келиш йулкира харажати копланди</t>
  </si>
  <si>
    <t>00668 04.01.2017 йилдагн №4 /ич сонли Вилоят филалини буругига асосан Эрмаматов Исобек Бобокуловичнинг Нургота фил ахоли креди даст буй хиз сафари 27 кун харажат копланди</t>
  </si>
  <si>
    <t>04.01.2017 йилдагн №4 /ич сонли Вилоят филалини буругига асосан Ибрагимов Бахтиёр Алишервичнинг Кизилтепа фил ахоли креди даст буй хиз сафари 8 кун харажат коп</t>
  </si>
  <si>
    <t>Бухгалтерия хисоби ва хисоботи булими бош мутахассиси Шарипов Отабекнинг Самарканд вилоятига бориш келиш йулкира харажатлари копланди</t>
  </si>
  <si>
    <t>Халк банки Бошкарувининг 22.02.2017 й №06-02-02-6/285 сон хатига ас-нТошкент ш бориш келиш йулкира харжати копланди</t>
  </si>
  <si>
    <t>00599 05.12.2016 йилдаги 90-ИЧ буйрукга асосан Жумаев Анинг хизмат сафари учун олинган бунак харажатга олинди</t>
  </si>
  <si>
    <t>00599 05.12.2016 йилдаги 90-ИЧ буйрукга асосан Джумаев Унинг хизмат сафари учун олинган бунак харажатга олинди</t>
  </si>
  <si>
    <t>00599 05.12.2016 йилдаги 90-ИЧ буйрукга асосан Кудратов Ининг хизмат сафари учун олинган бунак харажатга олинди</t>
  </si>
  <si>
    <t>00599 05.12.2016 йилдаги 90-ИЧ буйрукга асосан Мусаев Снинг хизмат сафари учун олинган бунак харажатга олинди</t>
  </si>
  <si>
    <t>Узбекистон республикаси АТ Халк банкининг 2017 йилдаги 14 августдаги 274- сонли хизмат фармойишига асосан Кудратов Ининг Бухоро вилоятига хизмат сафарига бориб келиш учун йул кира харажатга олинди</t>
  </si>
  <si>
    <t>АТ Халк банки бошкарувининг 276-сонли фармойишига асосан AKABIROV SHERALI ABDULLAYEVICHнинг самарканд вилоятига бориб келиши учун йул кира хакки Навоий Самарканд плацкарт вагони 43000 сумдан маълумотномага асосан</t>
  </si>
  <si>
    <t>Каюмов Элхом Гаффарович хизмат сафари харажати йул кира харажати Навоий_ Тошкент поезди пласкарт Билет № 838031 АТ Халк банки Навоий булимига УАЗ автомашинаси олиб келиш учун</t>
  </si>
  <si>
    <t>Командировочные расходы Х.Аслоновой за проезд Навоий-Ташкент-Навоий согласно авансового отчета от 24.11.2017г</t>
  </si>
  <si>
    <t>Командировочные расходы Ф.Муминову за проезд Навоий-Ташкент согласно авансовго отчета от 24.11.2017г</t>
  </si>
  <si>
    <t>Командировочные расходы Ф.Муминову за проезд Ташкент-Навоий согасно авансового отчета от 24.11.2017г</t>
  </si>
  <si>
    <t>Командировочные расходы О.Бобокулову за проезд Навоий-Ташкент-Навоий</t>
  </si>
  <si>
    <t>Командировочные расходы У.Абдуллаеву за проезд Навоий-Ташкент согласно авансового отчета от 13.12.2017г</t>
  </si>
  <si>
    <t>Командировочные расходы У.Абдуллаеву за проезд Ташкент-Навоий согласно авансового отчета от 13.12.2017г</t>
  </si>
  <si>
    <t>Командировочные расходы И.Кудратову за проезд Навоий-Ургенч-Навоий сог служ расп 381 от 30.10.2017г и авансового отчета от 14.12.2017г</t>
  </si>
  <si>
    <t>Командировочные расходы У.Абдуллаеву за проживание в гостинице согласно авансового отчета от 13.12.2017г</t>
  </si>
  <si>
    <t>Командировочные расходы И.Кудратову за проезд Навоий-Ташкент-Навоий согласно авансового отчета от 24.04.2018г</t>
  </si>
  <si>
    <t>АТ Халк банки Навоий вилоят филиалининг 2018 йил 30 апрелдаги 47-ШТ буйругига асосан Тошкент шахрига касбга мувофиклигини аниклаш комиссияси сухбатидан утиш учун Ж.Эгамбердиевга хизмат сафари йул кира харажати</t>
  </si>
  <si>
    <t>30.11.2016</t>
  </si>
  <si>
    <t>05.12.2016</t>
  </si>
  <si>
    <t>22.02.2017</t>
  </si>
  <si>
    <t>01.03.2017</t>
  </si>
  <si>
    <t>29.03.2017</t>
  </si>
  <si>
    <t>22.04.2017</t>
  </si>
  <si>
    <t>10.05.2018</t>
  </si>
  <si>
    <t>56302/300</t>
  </si>
  <si>
    <t>56306/308</t>
  </si>
  <si>
    <t>Шарипов Отабекнинг Тошкент шах.хизмат сафарида кунлик харажати суммаси копланди</t>
  </si>
  <si>
    <t>Муртозаев Шухратнинг Тошкент шах.хизмат сафарида кунлик харажати суммаси копланди</t>
  </si>
  <si>
    <t>ХБ Бош-нг 16.03.2016 й 11/1-01-11-69 с №17-с телефонаграммасига ас-н НПС ходими И.Кудратовнинг Тошкент шахрига Хизмат сафари 2-кунлик харажати копланмокда</t>
  </si>
  <si>
    <t>АТ Хб бошкарувининг 11.01.2016 й №3/1 сонли хати ва Навоий ш ХБ нинг 01.04.16 й №26 сонли фармойишига ас-н Б.Равшановнинг Тошкент шахрига хизмат сафари кунлик харажати суммаси копланмокда</t>
  </si>
  <si>
    <t>АТ Халк банки Бошкарувининг 08,02,2017 й №211-сон фармойишига ас-н Назаров Элбекнинг Тошкент ш. Пк у-н бориш-келиш кунлик харажати копланди</t>
  </si>
  <si>
    <t>Бухгалтерия хисоби ва хисоботи булими бош мутахассиси Шарипов Отабекнинг Самарканд вилоятига бориш келиш кунлик харажатлари копланди</t>
  </si>
  <si>
    <t>Халк банки Бошкарувининг 22.02.2017 й №06-02-02-6/285 сон хатига ас-нТошкент ш бориш келиш кунлик харажати копланди</t>
  </si>
  <si>
    <t>00668 Узбекистон республикаси АТ Халк банкининг 2017 йилдаги 14 августдаги 274- сонли хизмат фармойишига асосан Кудратов Ининг Бухоро вилоятига хизмат сафари учун 30 кунга кунлик харажатлари учун тулов</t>
  </si>
  <si>
    <t>АТ Халк банки бошкарувининг 2017 й 15-августдаги 276 сонли фармойишига асосан AKABIROV SHERALI ABDULLAYEVICHнинг самрканд вилоятига хизмат сафари кунлик харажатлари 16 кун учун тулов кунлик 14977,50 сумдан</t>
  </si>
  <si>
    <t>Каюмов Элхом Гаффарович хизмат сафари харажати тошкент шахрига АТ Халк банки Навоий Булимига УАЗ автомашинаси олиб келиш учун кунлик харажат 2 кунга туланди</t>
  </si>
  <si>
    <t>Командировочные расходы Х.Аслоновой суточные по лимиту согласно авансового отчета от 24.11.2017г</t>
  </si>
  <si>
    <t>Командировочные расходы О.Бобокулову суточные по лимиту согласно авансового отчета</t>
  </si>
  <si>
    <t>Командировочные расходы Ф.Муминову суточные по лимиту согласно авансового отчета от 24.11.2017г</t>
  </si>
  <si>
    <t>Командировочные расходы У.Абдуллаеву суточные по лимиту согласно авансового отчета от 13.12.2017г</t>
  </si>
  <si>
    <t>Командировочные расходы И.Кудратову суточные по лимиту 10% сог служ расп 381 от 30.10.2017г и авансового отчета от 14.12.2017г 01.11-30.11.2017г-449325с , 01.12-06.12.2017г-103334с</t>
  </si>
  <si>
    <t>Командировочные расходы И.Кудратову суточные по лимиту согласно авансового отчета от 24.04.2018г</t>
  </si>
  <si>
    <t>АТ Халк банки Навоий вилоят филиалининг 2018 йил 30 апрелдаги 47-ШТ буйругига асосан Тошкент шахрига касбга мувофиклигини аниклаш комиссияси сухбатидан утиш учун Ж.Эгамбердиевга хизмат сафари кунлик харажати</t>
  </si>
  <si>
    <t>АТ Халк банки Навоий вилоят филиалининг 2018 йил 30 апрелдаги 47-ШТ буйругига асосан Ж.Эгамбердиевга хизмат сафари мехмонхона харажати</t>
  </si>
  <si>
    <t>29802000100000708410</t>
  </si>
  <si>
    <t>Товар-моддий кимматликлар ва курсатилган хизматлар учун туланадиган маблаглар (Почта, телефон, факс)</t>
  </si>
  <si>
    <t>29802000400000708256</t>
  </si>
  <si>
    <t>Телефон харажатлари хизмати</t>
  </si>
  <si>
    <t>29802000900000708258</t>
  </si>
  <si>
    <t>Интернет хизмати</t>
  </si>
  <si>
    <t>19907000400000708255</t>
  </si>
  <si>
    <t>Почта хизмати</t>
  </si>
  <si>
    <t>29802000700000708255</t>
  </si>
  <si>
    <t>29802000100000708257</t>
  </si>
  <si>
    <t>Уяли алока хизмати</t>
  </si>
  <si>
    <t>№ 9 от 27.03.2017 27.02.2017 йилдаги №RG 029360010004/D сонли хисоб фактурага асосан 2016 йил март ойи аълока тулови</t>
  </si>
  <si>
    <t>№ 95 от 27.03.2017 02.01.2008 йилдаги №89 сонли шартномага асосан аълока тулови учун кучирилди</t>
  </si>
  <si>
    <t>№ 56 от 27.04.2017 31.03.2017 йилдаги №326344-102 сонли хисоб фактурага асосан 2017 йил март ойи аълока тулови кучирилди</t>
  </si>
  <si>
    <t>№ 3 от 29.04.2016 2016-йил март ойи Телефон харажатлари хизмати тулови</t>
  </si>
  <si>
    <t>№ 4 от 29.04.2016 2016-йил март ойи Телефон харажатлари хизмати тулови</t>
  </si>
  <si>
    <t>№ 31 от 27.09.2016 Навоий шахар Халк банкининг 2016 сентябр ойи аълока тулови</t>
  </si>
  <si>
    <t>№ 32 от 27.09.2016 Ат халк банки Навоий шахар филиалининг 2016 йил сентябр ойи аълока тулови</t>
  </si>
  <si>
    <t>№ 5 от 25.11.2016 31.10.2016 йилдаги № 89 сч фак асосан телефон хизмати учун тулов</t>
  </si>
  <si>
    <t>№ 6 от 25.11.2016 31,10,2016 йилдаги № 800-698 сч фак асосан телефон хизмати учун тулов</t>
  </si>
  <si>
    <t>№ 24 от 24.01.2017 31,12,2016 йилдаги № 89 хисоб фактурага асосан телефон хизмати учун тулов</t>
  </si>
  <si>
    <t>№ 15 от 27.01.2017 31.12.2016 йилдаги № 800-698 сонли ш/а телефон хизмати учун тулов</t>
  </si>
  <si>
    <t>№ 5 от 25.03.2017 31,01,2017 йилдаги № 00029360010085/D сонли счёт фактурага асосан абонентся (ДВО).линия абон плата январ сверхлимент и междугородней связ</t>
  </si>
  <si>
    <t>№ 20 от 20.02.2017 Ат Халк банки Навоий шахар филиалининг интернет хизмати учун тулов №34875145</t>
  </si>
  <si>
    <t>№ 10 от 27.03.2017 №34875145 Ат Халк банки Навоий шахар филилининг махсус кассаларида интернет хизматида фойдаланиш учун тулов</t>
  </si>
  <si>
    <t>№ 65 от 27.04.2017 Ат Халк банки Навоий шахар филиалига тегишли 11 дона махсус кассаларда интернет хизмати яъни терминал аппаратида интернитдан фойдаланиш учун тулов</t>
  </si>
  <si>
    <t>№ 15 от 26.04.2016 2016 йил март ойи фелдигирлик хизмати учун тулов</t>
  </si>
  <si>
    <t>№ 1 от 24.06.2016 24.06.2016 йилдаги таккослаш дал-га ас-н АТ Халк банки Навоий шахар фил-нг 2015 й декабр 2016 й феврал март май июн ойлари фелдигирлик хизмати учун тулов</t>
  </si>
  <si>
    <t>№ 25 от 20.08.2016 20,07,2016 йилдаги № 15 сч фактурага асосан фелъд связ хизмати</t>
  </si>
  <si>
    <t>№ 27 от 27.09.2016 Ат Халк банки Навоий шахар филиалининг 2016 йил август сентябр ойлари фелдигирлик хизмати харажати тулови</t>
  </si>
  <si>
    <t>№ 00668 от 10.11.2016 Ат Халк банки Навоий шахар филиалининг 2016 йил октябр ойи фелдигирлик хизмати учун тулов</t>
  </si>
  <si>
    <t>№ 00668 от 25.11.2016 20,11,2016 йилдаги № 15 сч фак асосан фелд связ хизмати учун тулов</t>
  </si>
  <si>
    <t>№ 3 от 30.12.2016 20.12.2016 йилдаги №15 сонли фактурага асосан 2016 йил декабр йои фелдигирлик хизмати учун тулов</t>
  </si>
  <si>
    <t>№ 3 от 27.01.2017 20,01,2017 йилдаги № 15 сч фактурага асосан фельдсвязи хизмати учун тулов</t>
  </si>
  <si>
    <t>№ 85 от 25.03.2017 20,02,2017 йилдаги № 15 мсёт фактурага асосан услуги фелдсвяз за феврал</t>
  </si>
  <si>
    <t>№ 1 от 29.05.2017 20.05.2017 йилдаги № 15 сонли счёт фактурага асосан фелдсвяз хизмати учун тулов</t>
  </si>
  <si>
    <t>№ 1 от 17.07.2017 За услуги фельд связи за июн мгц 2017 г сог сч факт 15.0т 200617</t>
  </si>
  <si>
    <t>№ 1 от 29.10.2017</t>
  </si>
  <si>
    <t>№ 1 от 08.11.2017</t>
  </si>
  <si>
    <t>№ 1 от 18.12.2017</t>
  </si>
  <si>
    <t>№ 1 от 31.12.2017 услуги фельд связ</t>
  </si>
  <si>
    <t>№ 1 от 27.01.2018 20,01,2018 йилдаги 15- сонли сч фактурага асосан фельдегер хизмати учун тулов</t>
  </si>
  <si>
    <t>№ 1 от 23.02.2018 Услуги фельдсвязи за феврал 2018 г сог сч фактура № 15 от 20022018 г</t>
  </si>
  <si>
    <t>№ 1 от 30.05.2018 Фелдьсвяз</t>
  </si>
  <si>
    <t>№ 2 от 27.08.2018 Услуги фельдсвязи за август 2018 г сон сч факт15 от 20,08,2018 г</t>
  </si>
  <si>
    <t>№ 1 от 27.08.2018 20,04,2018 йилдаги 15- сонли сч фактурага аасосан фелдегерлик алока хизмати учун тулов апрел ойи учун</t>
  </si>
  <si>
    <t>№ 1 от 30.08.2018 июль2018 г</t>
  </si>
  <si>
    <t>№ 9 от 27.03.2017 2017 йил март ойи фелдигирлик хизмати учун тулов</t>
  </si>
  <si>
    <t>№ 16 от 27.04.2017 20.04.2017 йилдаги №15 сонли хисоб фактурага асосан 2017 йил апрел ойи фелдигирлик хизмати учун тулов</t>
  </si>
  <si>
    <t>№ 15 от 14.12.2016 Ат Халк банки Навоий шахар филиалининг махсус кассаларида терминал аппаратидан фойдаланиш учун интернет тулови</t>
  </si>
  <si>
    <t>№ 3 от 16.01.2017 Ат Халк банки Навоий шахар филиалининг сим карталари учун тулов счет №34875145</t>
  </si>
  <si>
    <t>№ 10 от 27.03.2017 28.02.2017 йилдаги №IP029360010086/D сонли хисоб фактурага асосан 2016 йил абонент тулови ва 2017 йил учун олдин тулов суммаси кучирилди</t>
  </si>
  <si>
    <t>№ 18 от 27.04.2017 31.03.2017 йилдаги №00293600100987/D сонли хисоб фактурага асосан 2017 йил март аълока тулови кучирилди</t>
  </si>
  <si>
    <t>№ 1 от 30.05.2017 30.04.2017 йилдаги № 00029360010088/D счёт фактурага асосан телефон хизмати учун тулов</t>
  </si>
  <si>
    <t>№ 1 от 31.07.2017 абонент плата и услуги междугородней связи за июн мгц 2017 г сон сч факт 60010090 от 30.06.2017 г</t>
  </si>
  <si>
    <t>№ 1 от 16.10.2017</t>
  </si>
  <si>
    <t>№ 1 от 09.11.2017</t>
  </si>
  <si>
    <t>№ 1 от 31.12.2017 Телефон харажатлари хизмати</t>
  </si>
  <si>
    <t>№ 1 от 06.02.2018</t>
  </si>
  <si>
    <t>№ 1 от 23.02.2018 За услуги связ сог сч фактура 326344-172 от 31012018 к дог 89 от 02012008 г</t>
  </si>
  <si>
    <t>№ 00668 от 23.02.2018 Абонентская плата за январ 2018 г сог сч фактура 0029360010005 от 31,01,2018 г</t>
  </si>
  <si>
    <t>№ 1 от 15.03.2018 28.02.2018 йилдаги сч фактурага асосан 2018 йил феврал ойи телефон хизмати учун тулов</t>
  </si>
  <si>
    <t>№ 1 от 30.03.2018 28,02,2018 йилдаги 10006/S сонли сч фактурага асосан телефон хизматлари харажати учун тулов</t>
  </si>
  <si>
    <t>№ 1 от 21.05.2018 за тел хизмати учун</t>
  </si>
  <si>
    <t>№ 3 от 23.05.2018 Телефон харажатлари</t>
  </si>
  <si>
    <t>№ 1 от 23.05.2018 30,04,2018 йилдаги сч фактурага асосан апрел ойи учун абонент плата ва шахарлараро телефон хизмати учун тулов</t>
  </si>
  <si>
    <t>№ 1 от 30.07.2018 1</t>
  </si>
  <si>
    <t>№ 1 от 30.08.2018 31,07,2018 йилдаги 02936001011 сонли сч фактурага асосан июл ойи абонент тулови</t>
  </si>
  <si>
    <t>№ 1 от 30.08.2018 31,07,2018 йилдаги 326344-248 сч фактурага асосан июл ойида ишлатилган телефон хизмати учун август ойи учун олдиндан тулов</t>
  </si>
  <si>
    <t>№ 1 от 30.05.2017 30.04.2017 йилдаги № 89 сонли шартномага асосан за услуги МТР учун сч факт 326344-107 Абонент плата за аренду прямого провода свкше 500м</t>
  </si>
  <si>
    <t>№ 1 от 02.06.2017 2008 йил 02 январдаги № 89 сонли ш/а 30.04.2017 йилдаги 3 326344-107 счёт фактурага асосан абонент хихмат.МТР хизмати.тугридан тугри узатиш алокаси хизматлари учун тулов</t>
  </si>
  <si>
    <t>№ 1 от 24.07.2017 сч фактура 326344-115 от 30062017 сч дог 89 от 02012008 за абонент плата прямого провода</t>
  </si>
  <si>
    <t>№ 1 от 19.01.2018 Телефон харажатлари хизмати</t>
  </si>
  <si>
    <t>№ 9 от 26.01.2016 31.12.2015 йилдаги №00029360010072/D сонли хабарномага асосан 2015 йил декабр ойи алока тулови</t>
  </si>
  <si>
    <t>№ 10 от 26.01.2016 31.12.2015 йилдаги хисоб фактурага асосан аълока тулови кучирилди</t>
  </si>
  <si>
    <t>№ 16 от 26.02.2016 31.01.2016 йилдаги № IP029360010073/D сонли хисоб фактурага асосан 2016 йил феврал ойи аълока тулови</t>
  </si>
  <si>
    <t>№ 00677 от 26.02.2016 31.01.2016 йилдаги № 00029360010073/D сонли хисоб фактурага асосан 2016 йил феврал ойи аълока тулови</t>
  </si>
  <si>
    <t>№ 5 от 16.03.2016 2016- йил март ойи алока тулови кучирилди</t>
  </si>
  <si>
    <t>№ 7 от 16.03.2016 29.02.2016 й № 00029360010074/D сонли хисоб фактурага асосан 2016 йил март ойи алока тулови</t>
  </si>
  <si>
    <t>№ 8 от 16.03.2016 29.02.2016 й № IP 029360010074/D хисоб фактурага ас-н 2016 йил март ойи аълока тулови</t>
  </si>
  <si>
    <t>№ 5 от 24.05.2016 30.04.2016 йилдаги №00029360010076/D хисоб фактурага асосан 2016 йил апрел ойи аълока тулови</t>
  </si>
  <si>
    <t>№ 4 от 24.05.2016 30.04.2016 йилдаги №89 сонли хисоб фактурага асосан 2016 йил апрел ойи аълока тулови</t>
  </si>
  <si>
    <t>№ 9 от 24.06.2016 2016 йил май ойи аълока тулови</t>
  </si>
  <si>
    <t>№ 21 от 26.07.2016 2016 йил июл ойи аълока хизмати учун тулов</t>
  </si>
  <si>
    <t>№ 23 от 26.07.2016 2016 йил июл ойи аълока тулови</t>
  </si>
  <si>
    <t>№ 19 от 20.08.2016 31,06,2016 йилдаги № 89 сч фак асосан июл ойи уяли алока тулови</t>
  </si>
  <si>
    <t>№ 19 от 20.08.2016 31,07,2016 йилдаги № 00029360010079/D СЧ ФАКТУРАГА АСОСАН ТЕЛЕФОН ХИЗМАТИ УЧУН ТУЛОВ</t>
  </si>
  <si>
    <t>№ 25 от 25.10.2016 Ат Халк банки Навоий шахар филиалининг 2016 йил октябр ойи уяли алока тулови кучирилди</t>
  </si>
  <si>
    <t>№ 9 от 30.10.2016 Навоий шахар ХБ нинг 2016 йил октябр ойи аълока тулови</t>
  </si>
  <si>
    <t>№ 22 от 22.12.2016 30.11.2016 йилдаги №89 хисоб фактурага асосан АТ Халк банки Навоий шахар филиалининг 2016 йил декабр ойи аълока тулови</t>
  </si>
  <si>
    <t>№ 25 от 22.12.2016 30.11.2016 йилдаги № IP029360010083/D сонли хисоб фактурага асосан АТ Халк банки Навоий шахар филиалининг 2016 йил декабр ойи аълока тулови</t>
  </si>
  <si>
    <t>№ 25 от 22.12.2016 30.11.2016 йилдаги №00029360010083/D сонли хисоб фактурага асосан АТ Халк банки Навоий шахар филиалининг 2016 йил декабр ойи аълока тулови</t>
  </si>
  <si>
    <t>56410/104</t>
  </si>
  <si>
    <t>56410/256</t>
  </si>
  <si>
    <t>56410/105</t>
  </si>
  <si>
    <t>56410/255</t>
  </si>
  <si>
    <t>56410/106</t>
  </si>
  <si>
    <t>56410/101</t>
  </si>
  <si>
    <t>56410/258</t>
  </si>
  <si>
    <t>56410/102</t>
  </si>
  <si>
    <t>56410/109</t>
  </si>
  <si>
    <t>56410/257</t>
  </si>
  <si>
    <t>20.02.2017</t>
  </si>
  <si>
    <t>17.07.2017</t>
  </si>
  <si>
    <t>08.11.2017</t>
  </si>
  <si>
    <t>14.12.2016</t>
  </si>
  <si>
    <t>16.01.2017</t>
  </si>
  <si>
    <t>16.10.2017</t>
  </si>
  <si>
    <t>09.11.2017</t>
  </si>
  <si>
    <t>30.07.2018</t>
  </si>
  <si>
    <t>02.06.2017</t>
  </si>
  <si>
    <t>30.10.2016</t>
  </si>
  <si>
    <t>А.Ҳазратқулов</t>
  </si>
  <si>
    <t>Якуний назорат бўлим бош мутахассиси:</t>
  </si>
  <si>
    <t>10107</t>
  </si>
  <si>
    <t>14913</t>
  </si>
  <si>
    <t>16325</t>
  </si>
  <si>
    <t>22216</t>
  </si>
  <si>
    <t>Банк томонидан урнатилган банкоматлар</t>
  </si>
  <si>
    <t>_____________</t>
  </si>
  <si>
    <t>департаменти бош мутахассиси:</t>
  </si>
  <si>
    <t>департаменти бўлим бошлиғи:</t>
  </si>
  <si>
    <t>90962</t>
  </si>
  <si>
    <t>Тулов муддатини кутаётган хисоб-китоб хужжатлари</t>
  </si>
  <si>
    <t>96319</t>
  </si>
  <si>
    <t>16379</t>
  </si>
  <si>
    <t>А.Усмонов</t>
  </si>
  <si>
    <t>Й.Кодиров</t>
  </si>
  <si>
    <t>Бош бухгалтер в.в.б.</t>
  </si>
  <si>
    <t>Бошкарувчиси в.в.б.</t>
  </si>
  <si>
    <t>Чиноз филиали бошқарувчиси:</t>
  </si>
  <si>
    <t>АТ "Халқ банк" Тошкент вилоят</t>
  </si>
  <si>
    <t>АТ "Халқ банк"нинг Ички аудит</t>
  </si>
  <si>
    <t>2021 йил 1 январ ҳолатига</t>
  </si>
  <si>
    <t>2020 йил 1 январ ҳолатига</t>
  </si>
  <si>
    <t>АТ "Халқ банк"нинг Тошкент вилоят Чиноз филиали бўйича 2021 йил 1 январ ҳолатига активлар                                                                 ТАҲЛИЛИ</t>
  </si>
  <si>
    <t>Пул алмаштириш шахобчаларидаги накд пуллар</t>
  </si>
  <si>
    <t>16104</t>
  </si>
  <si>
    <t>23516</t>
  </si>
  <si>
    <t>22613</t>
  </si>
  <si>
    <t>15099</t>
  </si>
  <si>
    <t>56122</t>
  </si>
  <si>
    <t>95413</t>
  </si>
  <si>
    <t>бўлим бошлиғи</t>
  </si>
  <si>
    <t>14903</t>
  </si>
  <si>
    <t>29849</t>
  </si>
  <si>
    <t>Шартномага кура хисоблаб ёзилган бирок, тулов муддати узайтирилган фоизлар</t>
  </si>
  <si>
    <t>23108</t>
  </si>
  <si>
    <t>Умумий захира фонди</t>
  </si>
  <si>
    <t>56306</t>
  </si>
  <si>
    <t>Банк томонидан урнатилган терминаллар, банкоматлар ва инфокиоскалар буйича контр-хисобварак</t>
  </si>
  <si>
    <t>Тулов муддатини кутаётган хисоб-китоб хужжатлари буйича контр-хисобварак</t>
  </si>
  <si>
    <t>Муддатида туланмаган хисоб-китоб хужжатлари буйича контр-хисобварак</t>
  </si>
  <si>
    <t>Активлар буйича фоизлар ва воситачилик хаклари контр-хисобвараги</t>
  </si>
  <si>
    <t>Карздорларнинг киска муддатли кредитлар буйича мажбуриятлари контр-хисобвараги</t>
  </si>
  <si>
    <t>Карздорларнинг узок муддатли кредитлар ва лизинглар буйича мажбуриятлари контр-хисобвараги</t>
  </si>
  <si>
    <t>Сакланаётган кимматли когозлар ва бошка кимматбахо буюмлар буйича контр-хисобварак</t>
  </si>
  <si>
    <t>16399</t>
  </si>
  <si>
    <t>45403</t>
  </si>
  <si>
    <t>55304</t>
  </si>
  <si>
    <t>Хизмат сафари харажатлари</t>
  </si>
  <si>
    <t>56310</t>
  </si>
  <si>
    <t>56839</t>
  </si>
  <si>
    <t>91503</t>
  </si>
  <si>
    <t>Берилган кредитлар ва лизинглар буйича муддати узайтирилган фоизлар</t>
  </si>
  <si>
    <t>Банкоматлар ва бошка уз-узига хизмат курсатиш ускуналаридаги накд пуллар</t>
  </si>
  <si>
    <t>Йулдаги накд пуллар ва бошка тулов хужжатлари</t>
  </si>
  <si>
    <t>Амалиёт кассаларидаги накд пуллар</t>
  </si>
  <si>
    <t>10113</t>
  </si>
  <si>
    <t>Пенсиялар, ижтимоий нафака, компенсациялар ва бошка туловларни бериш буйича махсус кассалардаги накд пуллар</t>
  </si>
  <si>
    <t>Бошка банклардан вакиллик хисобваракларидан олиниши лозим булган маблаглар - Накд пуллар</t>
  </si>
  <si>
    <t>Жисм. шахс. банк карталаридан берилган накд пул м-глари б-ча бошка банклардан олиниши лозим булган м-глар</t>
  </si>
  <si>
    <t>Банк карталаридан амалга оширилган туловлар буйича бошка банклардан олиниши лозим булган маблаглар</t>
  </si>
  <si>
    <t>Курилиши мумкин булган зарарларни копл.зах. - Жисм.шахсларга берилган киска муддатли кредитлар (контр-актив)</t>
  </si>
  <si>
    <t>Кур-и мумкин булган зарар. копл. зах.- Хусусий корх, хуж.ширкатлари ва жамиятларга б-ган киска муд.кр. (к-акт)</t>
  </si>
  <si>
    <t>Жисмоний шахсларга давлат дастурлари буйича уй-жой сотиб олиш учун берилган узок муддатли ипотека кредитлари</t>
  </si>
  <si>
    <t>Жисмоний шахсларга банк карталари оркали берилган узок муддатли кредитлар</t>
  </si>
  <si>
    <t>14921</t>
  </si>
  <si>
    <t>Жисмоний шахсларга махсус дастурлар буйича берилган узок муддатли кредитлар</t>
  </si>
  <si>
    <t>Курилиши мумкин булган зарарларни коплаш захираси - Жисм.шахс. берилган узок муд. кредитлар (контр-актив)</t>
  </si>
  <si>
    <t>15021</t>
  </si>
  <si>
    <t>Якка тартибдаги тадбиркорларга махсус дастурлар буйича берилган узок муддатли кредитлар</t>
  </si>
  <si>
    <t>Курилиши мумкин булган зарарларни коплаш захираси - ЯТТга берилган узок муддатли кредитлар (контр-актив)</t>
  </si>
  <si>
    <t>15521</t>
  </si>
  <si>
    <t>Хусусий корхоналар,хужалик ширкатлари ва жамиятларга махсус дастурлар буйича берилган узок муддатли кредитлар</t>
  </si>
  <si>
    <t>Кур-и мумкин булган зарар. копл.зах. - Хусусий корх.,хуж.ширкатлари ва жамиятларга б-ган узок муд. кр. (к-акт)</t>
  </si>
  <si>
    <t>Бош офис/филиаллардан олинадиган маблаглар - Накд пуллар</t>
  </si>
  <si>
    <t>Бош офис/филиаллардан олинадиган маблаглар - Накдсиз маблаглар</t>
  </si>
  <si>
    <t>Бош офис/филиаллардан филиаллар ва банклараро хисоб-китоблар буйича олинадиган маблаглар</t>
  </si>
  <si>
    <t>Бош офис/филиаллардан олинадиган маблаглар - Товар-моддий кимматликлар вахизматлар</t>
  </si>
  <si>
    <t>Бош офис/филиалдан жисм.шахс. банк карталаридан б-ган накд пул маблаглари б-ча олиниши лозим булган маблаглар</t>
  </si>
  <si>
    <t>Бош офис/филиалдан банк карталаридан амалга оширилган туловлар буйича олиниши лозим булган маблаглар</t>
  </si>
  <si>
    <t>Кредитлар буйича олиниши лозим булган хисобланган фоизлар</t>
  </si>
  <si>
    <t>Шартнома буйича хисоблаб ёзилган, бирок муддатида туланмаган олиниши лозим булган фоизлар</t>
  </si>
  <si>
    <t>Олиниши лозим булган хисобланган воситачилик хаки ва курсатилган хизматларучун туловлар</t>
  </si>
  <si>
    <t>Олиниши лозим булган хисобланган жарима ва пенялар</t>
  </si>
  <si>
    <t>Олиниши лозим булган хисобланган бошка фоизсиз даромадлар</t>
  </si>
  <si>
    <t>16499</t>
  </si>
  <si>
    <t>Курилиши мумкин булган зарарларни копл.зах. - Олиниши лозим булган хис-н фоизсиз даромадлар (контр-актив)</t>
  </si>
  <si>
    <t>Банкнинг иморатлари - Бинолар ва бошка иншоотлар</t>
  </si>
  <si>
    <t>Йигилган эскириш суммаси - Бинолар ва бошка иншоотлар (контр-актив)</t>
  </si>
  <si>
    <t>Йигилган эскириш суммаси - Транспорт воситалари (контр-актив)</t>
  </si>
  <si>
    <t>Йигилган эскириш суммаси - Мебель, мослама ва бошка жихозлар (контр-актив)</t>
  </si>
  <si>
    <t>Тулов карталари билан хисоб-китобларни амалга ошириш ускуналари</t>
  </si>
  <si>
    <t>Йигилган эскириш суммаси - Тулов карталари билан хисоб-китобларни амалга ошириш ускуналари (контр-актив)</t>
  </si>
  <si>
    <t>Жисм.шахс. банк карталаридан ол-н накд пуллар б-ча хисобдан чик-и лозим булган пул мабл.б-ча транзит х-клар</t>
  </si>
  <si>
    <t>Конун-к хуж.наз.тутилган бошка тул. б-ча банк карт. хисобдан чик-и лозим булган пул мабл. б-ча транзит х-клари</t>
  </si>
  <si>
    <t>Хизматлар учун олдиндан туланган харажатлар</t>
  </si>
  <si>
    <t>Олиниши лозим булган маблаглар - Товар-моддий кимматликлар учун</t>
  </si>
  <si>
    <t>Банкнинг масъул ходимларига берилган корпоратив банк карталаридан хисоб-китоблар учун пул маблаглари</t>
  </si>
  <si>
    <t>Пул утказмалари буйича жисмоний шахслар билан хисоб-китоблар</t>
  </si>
  <si>
    <t>Бошка активлар</t>
  </si>
  <si>
    <t>Нодавлат нотижорат ташкилотларнинг талаб килиб олингунча сакланадиган депозитлари</t>
  </si>
  <si>
    <t>Жисм. шахс. банк карталаридан берилган накд пул мабл. б-ча бошка банкларга туланиши лозим булган маблаглар</t>
  </si>
  <si>
    <t>Банк карталаридан амалга оширилган туловлар буйича бошка банкларга туланиши лозим булган маблаглар</t>
  </si>
  <si>
    <t>Бош офис/филиалларга туланадиган маблаглар - Накдсиз маблаглар</t>
  </si>
  <si>
    <t>Бош офис/филиалларга филиаллар ва банклараро хисоб-китоблар буйича туланадиган маблаглар</t>
  </si>
  <si>
    <t>Бош офис/филиалларга туланадиган маблаглар - Товар-моддий кимматликлар вахизматлар</t>
  </si>
  <si>
    <t>Бош офис/филиалларга жисм.шахс. банк карталаридан берилган накд пул маблаглари буйича туланадиган маблаглар</t>
  </si>
  <si>
    <t>Бош офис/филиалларга банк карталаридан амалга оширилган туловлар буйича туланадиган маблаглар</t>
  </si>
  <si>
    <t>Бош офис/филиалларга туланадиган маблаглар - Давлат дастурлари буйича ресурслар</t>
  </si>
  <si>
    <t>Талаб килиб олингунча сакланадиган депозитлар буйича туланиши лозим булган хисобланган фоизлар</t>
  </si>
  <si>
    <t>Жамгарма депозитлар буйича туланиши лозим булган хисобланган фоизлар</t>
  </si>
  <si>
    <t>Муддатли депозитлар буйича туланиши лозим булган хисобланган фоизлар</t>
  </si>
  <si>
    <t>Бош банк/филиалдан олинган ресурслар буйича туланиши лозим булган хисобланган фоизлар</t>
  </si>
  <si>
    <t>Пенсия жамгармаси билан хисоб-китоблар</t>
  </si>
  <si>
    <t>Бандликка кумаклашиш давлат жамгармаси ва бошка жамгармалар билан хисоб-китоблар</t>
  </si>
  <si>
    <t>Пенсионерларнинг банк карталари буйича мажбуриятлар</t>
  </si>
  <si>
    <t>Жисмоний шахсларнинг банк карталари буйича мажбуриятлари</t>
  </si>
  <si>
    <t>Якка тартибдаги тадбиркорларнинг банк карталари буйича мажбуриятлар</t>
  </si>
  <si>
    <t>Корпоратив банк карталари буйича мажбуриятлар</t>
  </si>
  <si>
    <t>22630</t>
  </si>
  <si>
    <t>Махал.бюдж.молиялаштириладиган фукароларнинг узини узи бошкариш органлари томонидан тайинланадиган...маблаглар</t>
  </si>
  <si>
    <t>22632</t>
  </si>
  <si>
    <t>Пенсия жамгармаси томонидан пенсиялар, ижт. нафакалар, ком-ялар ва бошка туловлар учун молия-н маблаглар</t>
  </si>
  <si>
    <t>Келгуси давр фоизли даромадлари</t>
  </si>
  <si>
    <t>Юридик шахсларнинг корп. банк карталарига утказилиши лозим булган пул маблаглари б-ча транзит хисобвараклари</t>
  </si>
  <si>
    <t>ЯТТларнинг корпоратив банк карталарига утказилиши лозим булган маблаглар буйича транзит хисобвараклар</t>
  </si>
  <si>
    <t>И/х ва унга тенг.тул., ш-дек пенс., комп. ва б.ижт.тул.б-ча х.ю.с.ход. банк карт. утк.л/б мабл. б-ча трт х/в</t>
  </si>
  <si>
    <t>23112</t>
  </si>
  <si>
    <t>23114</t>
  </si>
  <si>
    <t>Ижт. нафакалар, комп. ва бошка туловлар б-ча жисм.шахс. банк карталарига утк.л/б маблаглари б-ча транзит х/в</t>
  </si>
  <si>
    <t>Накд пуллар буйича жисм.шахс. банк карталарига утказилиши лозим булган мабл. б-ча транзит х/в</t>
  </si>
  <si>
    <t>Жисм.шахс. депозит х/в жисм.шахс. банк карталарига утк. лозим булган маблаглар буйича транзит х/в</t>
  </si>
  <si>
    <t>Жисм. шахс. банк карталарига накд пулсиз утказилиши лозим булган бошка мабл. б-ча транзит х/в</t>
  </si>
  <si>
    <t>Банк карталаридан берилган накд пуллар ёки жисм.шахс. депозит х/в утк. мабл.буйича транзит х/в</t>
  </si>
  <si>
    <t>Ком-л тул. б-ча хужалик юритувчи субъектларнинг х/в утк.лозим булган банк карталаридан к/т тушум</t>
  </si>
  <si>
    <t>Савдо ташкилотларининг хисобваракларига утказилиши лозим булган банк карталаридан келиб тушган тушум</t>
  </si>
  <si>
    <t>Конунчилик хуж. назарда тутилган бошка тул. б-ча олувчининг х/в утк.л/б банк карталаридан к/т пул маблаглари</t>
  </si>
  <si>
    <t>Хорижий валюта сотиб олиш учун жисмоний шахсларнинг банк карталаридан утказилган пул маблаглари</t>
  </si>
  <si>
    <t>Туланиши лозим булган маблаглар - Товар-моддий кимматликлар ва хизматлар учун</t>
  </si>
  <si>
    <t>Туланиши лозим булган маблаглар - Ходимлар билан хисоб-китоблар</t>
  </si>
  <si>
    <t>Банкнинг масъул ходимларига берилган корп.банк карталар буйича х/ч лозим булган маблаглар</t>
  </si>
  <si>
    <t>Накд пул маблаглари буйича жисмоний шахсларнинг максадли хисоб-китоблари</t>
  </si>
  <si>
    <t>Харакатсиз депозит мажбуриятлари</t>
  </si>
  <si>
    <t>Ижтимоий нафакалар туловлари буйича жисмоний шахслар билан хисоб-китоблар</t>
  </si>
  <si>
    <t>Пенс жамг. тум(шах) бул.том.молия-н, пенс, ижт.наф., комп ва б.тул.у-н бошка банк.олин.накд пул б-н бер.мабл</t>
  </si>
  <si>
    <t>Туловлар буйича воситачилик хизматлари учун олинган даромадлар - Махаллий</t>
  </si>
  <si>
    <t>Туловлар буйича воситачилик хизматлари учун олинган даромадлар - Хорижий</t>
  </si>
  <si>
    <t>Валюта колдикларини кайта бахолашдан олинган фойда</t>
  </si>
  <si>
    <t>Бош банк/филиалдан олинган маблаглар буйича фоизли харажатлар</t>
  </si>
  <si>
    <t>Валюта колдикларини кайта бахолашдан курилган зарарлар</t>
  </si>
  <si>
    <t>Ижтимоий химоя</t>
  </si>
  <si>
    <t>Бандликка кумаклашиш давлат жамгармаси ва бошка жамгармаларга бадаллар</t>
  </si>
  <si>
    <t>Электр энергияси ва иситиш</t>
  </si>
  <si>
    <t>Таъмирлаш ва таъминот</t>
  </si>
  <si>
    <t>Куриклаш хизмати</t>
  </si>
  <si>
    <t>Яшаш харажатлар</t>
  </si>
  <si>
    <t>Фрахт харажатлар</t>
  </si>
  <si>
    <t>Ёкилги</t>
  </si>
  <si>
    <t>Почта, телефон, факс</t>
  </si>
  <si>
    <t>Эскириш - Банк биноси, иншоотлар ва бошка иморатлар</t>
  </si>
  <si>
    <t>Эскириш - Транспорт воситалари</t>
  </si>
  <si>
    <t>Эскириш - Мебел ва жихозлар</t>
  </si>
  <si>
    <t>Эскириш - Тулов карталари билан хисоб-китобларни амалга ошириш ускуналари</t>
  </si>
  <si>
    <t>Курилиши мумкин булган зарарларни бахолаш - Кредитлар</t>
  </si>
  <si>
    <t>Курилиши мумкин булган зарарларни бахолаш - олиниши лозим булган хисобланган фоизлар</t>
  </si>
  <si>
    <t>Банк томонидан муомалага чикарилган жисмоний шахсларнинг банк карталари</t>
  </si>
  <si>
    <t>Банк томонидан муомалага чикарилган юридик шахсларнинг корпоратив банк карталари</t>
  </si>
  <si>
    <t>Банк томонидан муомалага чикарилган якка тартибдаги тадбиркорларнинг корпоратив банк карталари</t>
  </si>
  <si>
    <t>Банк томонидан муомалага чикарилган банк карталар буйича контр-хисобварак</t>
  </si>
  <si>
    <t>Бошка балансдан ташкари хисобвараклар буйича контр-хисобварак</t>
  </si>
  <si>
    <t>ТОШКЕНТ Ш., АТ ХАЛК БАНКИ ХИСОБ-КИТОБ МАРКАЗИ</t>
  </si>
  <si>
    <t>10198</t>
  </si>
  <si>
    <t>45265</t>
  </si>
  <si>
    <t>Банк карталари буйича воситачилик хизматлари учун олинган даромадлар</t>
  </si>
  <si>
    <t>56414</t>
  </si>
  <si>
    <t>Хужжат маркалари учун харажатлар</t>
  </si>
  <si>
    <t>Суд ёки ижро иши юритиш жараёнидаги кредитлар буйича фоизли даромадлар</t>
  </si>
  <si>
    <t>44700</t>
  </si>
  <si>
    <t>12503</t>
  </si>
  <si>
    <t>Жисмоний шахсларга банк карталари оркали берилган киска муддатли кредитлар</t>
  </si>
  <si>
    <t>15703</t>
  </si>
  <si>
    <t>Суд ёки ижро иши юритиш жараёнидаги жисмоний шахсларга берилган кредитлар</t>
  </si>
  <si>
    <t>15700</t>
  </si>
  <si>
    <t>22616</t>
  </si>
  <si>
    <t>Жисм.шахс. банк хисобваракларидаги масофадан туриб хизмат курсатиш тизими оркали бошкариладиган маблаглари</t>
  </si>
  <si>
    <t>23230</t>
  </si>
  <si>
    <t>Активларни коплаш буйича келиб тушган маблаглар</t>
  </si>
  <si>
    <t>Сакланаётган кимматбахо буюмлар</t>
  </si>
  <si>
    <t>Фаргона вилояти</t>
  </si>
  <si>
    <t>Бешариқ филиали</t>
  </si>
  <si>
    <t>2023 йил 1 январ</t>
  </si>
  <si>
    <t>2024 йил 1 январ</t>
  </si>
  <si>
    <t>КОЛДИКЛАР ВА АЙЛАНМАЛАР ЖАМЛАНМА БАЛАНСИ ( 01.04.2023 - 31.03.2024)</t>
  </si>
  <si>
    <t>01.04.2023га КИРИМ КОЛДИКЛАР</t>
  </si>
  <si>
    <t>12521</t>
  </si>
  <si>
    <t>Жисмоний шахсларга махсус дастурлар буйича берилган киска муддатли кредитлар</t>
  </si>
  <si>
    <t>12541</t>
  </si>
  <si>
    <t>Давлат эхтиёжлари учун харид килинадиган пахта хом-ашёсини етиштириш учун берилган узок муддатли кредитлар</t>
  </si>
  <si>
    <t>14300</t>
  </si>
  <si>
    <t>15505</t>
  </si>
  <si>
    <t>Хусусий корхоналар, хужалик ширкатлари ва жамиятларга берилган шартлари кайта куриб чикилган узок муддатли кре</t>
  </si>
  <si>
    <t>16397</t>
  </si>
  <si>
    <t>Мижозларнинг бошка мажбуриятлари буйича олиниши лозим булган хисобланган фоизлар</t>
  </si>
  <si>
    <t>19999</t>
  </si>
  <si>
    <t>Курилиши мумкин булган зарарларни коплаш захираси - Бошка активлар (контр-актив)</t>
  </si>
  <si>
    <t>20616</t>
  </si>
  <si>
    <t>Банк булмаган молиявий муассасаларнинг муддатли депозитлари</t>
  </si>
  <si>
    <t>Олинган кредитлар буйича туланиши лозим булган хисобланган фоизлар</t>
  </si>
  <si>
    <t>Иктисодиёт ва молия вазирлиги хуз.фондлардан кишлок хужалиги махсулотлари учун ажратилган максадли маблаглар</t>
  </si>
  <si>
    <t>Бошка банк мижозларининг инкассо килинган пул тушумлари ва чеклари</t>
  </si>
  <si>
    <t>44501</t>
  </si>
  <si>
    <t>44500</t>
  </si>
  <si>
    <t>Хусусий корхоналар, хужалик ширкатлари ва жамиятларга берилган узок муддатли, шартлари кайта куриб чикилган кр</t>
  </si>
  <si>
    <t>45909</t>
  </si>
  <si>
    <t>Банк асосий воситаларини сотиш ёки диспозиция килишдан олинган фойда</t>
  </si>
  <si>
    <t>51121</t>
  </si>
  <si>
    <t>Банк булмаган молиявий муассасаларнинг муддатли депозитлари буйича фоизли харажатлар</t>
  </si>
  <si>
    <t>Хукуматдан олинган узок муддатли кредитлар буйича фоизли харажатлар</t>
  </si>
  <si>
    <t>54100</t>
  </si>
  <si>
    <t>56706</t>
  </si>
  <si>
    <t>Консалтинг хизмати учун туловлар</t>
  </si>
  <si>
    <t>56895</t>
  </si>
  <si>
    <t>Курилиши мумкин булган зарарларни бахолаш - Бошка активлар</t>
  </si>
  <si>
    <t>91505</t>
  </si>
  <si>
    <t>91507</t>
  </si>
  <si>
    <t>95415</t>
  </si>
  <si>
    <t>Хисобдан чикарилган бошка активлар</t>
  </si>
  <si>
    <t>10311</t>
  </si>
  <si>
    <t>Марказий банкдан олишини лозим булган маблаглар - топширилган накд пуллар</t>
  </si>
  <si>
    <t>17403</t>
  </si>
  <si>
    <t>Жисм.шахс. банк карт. бошка банк карт. ёки ом-т х-кларига хисобдан чик-и лоз.булган мабл. б-ча транзит х-клари</t>
  </si>
  <si>
    <t>Бюджетдан ташкари жамгармаларга туланиши лозим булган узок муддатли кредитлар</t>
  </si>
  <si>
    <t>22000</t>
  </si>
  <si>
    <t>Пулли хизматлар буйича хуж.юр.суб. х/в утк. лозим булган банк карталаридан келиб тушган тушум</t>
  </si>
  <si>
    <t>56206</t>
  </si>
  <si>
    <t>Сув</t>
  </si>
  <si>
    <t>Реклама ва эълон харажатлари</t>
  </si>
  <si>
    <t>БХМ: 11350-КАРШИ Ш., АТ ХАЛК БАНКИ КАРШИ ШАХАР БХМ</t>
  </si>
  <si>
    <t>10.11.2023га ЧИКИМ КОЛДИКЛАР</t>
  </si>
  <si>
    <t>12531</t>
  </si>
  <si>
    <t>15707</t>
  </si>
  <si>
    <t>Суд ёки ижро иши юритиш жараёнидаги якка тартибдаги тадбиркорларга берилган кредитлар</t>
  </si>
  <si>
    <t>Курилиши мумкин булган зарарларни копл.зах.- Суд ёки ижро иши юритиш жараёнидаги кредитлар ва лизинг (к-акт)</t>
  </si>
  <si>
    <t>16304</t>
  </si>
  <si>
    <t>Бош офис/филиалдан олиниши лозим булган хисобланган фоизлар</t>
  </si>
  <si>
    <t>Давлат максадли жамгармалари субсидиялари хисобидан копл., олиниши лозим булган хис-н фоизлар</t>
  </si>
  <si>
    <t>16561</t>
  </si>
  <si>
    <t>16701</t>
  </si>
  <si>
    <t>Кредит ва лизинг буйича гаров хисобидан ундирилган мулк</t>
  </si>
  <si>
    <t>16707</t>
  </si>
  <si>
    <t>Булиб-булиб тулаш шарти билан сотилган банкнинг бошка мулклари</t>
  </si>
  <si>
    <t>16799</t>
  </si>
  <si>
    <t>Курилиши мумкин булган зарарларни коплаш захираси - Банкнинг бошка хусусий мулклари (контр-актив)</t>
  </si>
  <si>
    <t>16700</t>
  </si>
  <si>
    <t>Олиниши лозим булган маблаглар - Банк ходимлари билан хисоб-китоблар</t>
  </si>
  <si>
    <t>19911</t>
  </si>
  <si>
    <t>Курилиши мумкин булган зарарларни коплаш захираси - Олиниши лозим булган маблаглар (контр-актив)</t>
  </si>
  <si>
    <t>Давлат корхоналари, ташкилотлари ва муассасаларининг талаб килиб олингунча сакланадиган депозитлари</t>
  </si>
  <si>
    <t>20603</t>
  </si>
  <si>
    <t>Респ. бюдж. молиялаштириладиган бюджет ташкилотларининг бюдж. ташкари маблаглари б-ча муддатли депозитлари</t>
  </si>
  <si>
    <t>Хусусий корхоналар, хужалик ширкатлари ва жамиятларнинг муддатли депозитлари</t>
  </si>
  <si>
    <t>20612</t>
  </si>
  <si>
    <t>Нодавлат нотижорат ташкилотларининг муддатли депозитлари</t>
  </si>
  <si>
    <t>21008</t>
  </si>
  <si>
    <t>Бошка банкларга туланиши лозим булган маблаглар - Накд пуллар</t>
  </si>
  <si>
    <t>22202</t>
  </si>
  <si>
    <t>Бош офис/филиалларга туланадиган маблаглар - Накд пуллар</t>
  </si>
  <si>
    <t>22208</t>
  </si>
  <si>
    <t>Бош офис/филиалларга филиаллар ва банклараро хисоб-китоблар буйича туланадиган маблаглар - Овердрафт</t>
  </si>
  <si>
    <t>22412</t>
  </si>
  <si>
    <t>Бошка мажбуриятлар буйича туланиши лозим булган хисобланган фоизлар</t>
  </si>
  <si>
    <t>Валюта бозорида конвертация килиш учун мижозларнинг захираланган маблаглари</t>
  </si>
  <si>
    <t>И/х ва унга тенг.тул.,пенс, комп ва б.ижт.тул. ДХХ,ИИВ,ИМВ,ФВВ, БК. ход.(конт.) банк карт.утк.л/б мабл. тр.х/в</t>
  </si>
  <si>
    <t>Пенс. пенсиялари буйича жисм.шахс. банк карталарига утк. л/б мабл. б-ча тр.х/в</t>
  </si>
  <si>
    <t>23214</t>
  </si>
  <si>
    <t>29805</t>
  </si>
  <si>
    <t>Туланиши лозим булган маблаглар - Ижара тулови (операцион ижара)</t>
  </si>
  <si>
    <t>Жисмоний шахсларнинг пул утказмалари буйича мажбуриятлар</t>
  </si>
  <si>
    <t>42405</t>
  </si>
  <si>
    <t>Чет эл инвестициялари иштирокидаги корхораларга берилган муддати утган кредитлар буйича фоизли даромадлар</t>
  </si>
  <si>
    <t>42400</t>
  </si>
  <si>
    <t>Чет эл инвестициялари иштирокидаги корхоналарга берилган узок муддатли кредитлар буйича фоизли даромадлар</t>
  </si>
  <si>
    <t>Бош банк/филиалга берилган маблаглар буйича фоизли даромадлар</t>
  </si>
  <si>
    <t>44900</t>
  </si>
  <si>
    <t>45205</t>
  </si>
  <si>
    <t>Курсатилган хизматлар ва воситачилик учун олинган даромадлар - Бошка банклар</t>
  </si>
  <si>
    <t>45913</t>
  </si>
  <si>
    <t>Банкнинг бошка хусусий мулкларини сотиш ёки диспозиция килишдан олинган фойда</t>
  </si>
  <si>
    <t>51103</t>
  </si>
  <si>
    <t>Респ.бюд.молия-н бюд.ташк. бюджетдан ташкари мабл.асосидаги муд.депозитлари б-ча фоизли харажатлар</t>
  </si>
  <si>
    <t>51104</t>
  </si>
  <si>
    <t>Мах.(т/ш в-т ёки КоракалРес) бюд.хис.молия-н бюд.ташк.бюд.ташкари мабл.ас.муд.депозитлари б-ча фоизли хараж.</t>
  </si>
  <si>
    <t>51108</t>
  </si>
  <si>
    <t>Хусусий корхоналар, хужалик ширкатлари ва жамиятларнинг муддатли депозитлари буйича фоизли харажатлар</t>
  </si>
  <si>
    <t>51116</t>
  </si>
  <si>
    <t>Нодавлат нотижорат ташкилотларининг муддатли депозитлари буйича фоизли харажатлар</t>
  </si>
  <si>
    <t>55106</t>
  </si>
  <si>
    <t>Бошка банкларга туланадиган хизмат ва воситачилик харажатлари</t>
  </si>
  <si>
    <t>56202</t>
  </si>
  <si>
    <t>56502</t>
  </si>
  <si>
    <t>Репрезентация ва кунгил очар тадбирлар харажатлари</t>
  </si>
  <si>
    <t>56710</t>
  </si>
  <si>
    <t>Сугурта</t>
  </si>
  <si>
    <t>90145</t>
  </si>
  <si>
    <t>Туловга яроксиз банкнот ва тангалар</t>
  </si>
  <si>
    <t>90100</t>
  </si>
  <si>
    <t>Банкнинг кимматли когозлари бланкалари</t>
  </si>
  <si>
    <t>90300</t>
  </si>
  <si>
    <t>93616</t>
  </si>
  <si>
    <t>Давлатнинг шартли тарзда сакланаётган кимматли когозлари</t>
  </si>
  <si>
    <t>Хисобдан чикарилган кредитлар, лизинглар ва факторинглар</t>
  </si>
  <si>
    <t>96303</t>
  </si>
  <si>
    <t>Банкнотлар, тангалар ва бошка кимматликлар харакати буйича контр-хисобварак</t>
  </si>
  <si>
    <t>Банкнинг кимматли когозлари буйича контр-хисобварак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</si>
</sst>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 _₽_-;\-* #,##0.00\ _₽_-;_-* &quot;-&quot;??\ _₽_-;_-@_-"/>
    <numFmt numFmtId="164" formatCode="_-* #,##0.00&quot;р.&quot;_-;\-* #,##0.00&quot;р.&quot;_-;_-* &quot;-&quot;??&quot;р.&quot;_-;_-@_-"/>
    <numFmt numFmtId="165" formatCode="_-* #,##0.00_р_._-;\-* #,##0.00_р_._-;_-* &quot;-&quot;??_р_._-;_-@_-"/>
    <numFmt numFmtId="166" formatCode="0.0"/>
    <numFmt numFmtId="167" formatCode="#,##0.0"/>
    <numFmt numFmtId="168" formatCode="#,##0.00_р_."/>
    <numFmt numFmtId="169" formatCode="#,##0.00_ ;\-#,##0.00\ "/>
    <numFmt numFmtId="170" formatCode="_-* #,##0_р_._-;\-* #,##0_р_._-;_-* &quot;-&quot;??_р_._-;_-@_-"/>
    <numFmt numFmtId="171" formatCode="#"/>
    <numFmt numFmtId="172" formatCode="dd/mm/yy"/>
    <numFmt numFmtId="173" formatCode="\$#.00"/>
    <numFmt numFmtId="174" formatCode="%#.00"/>
    <numFmt numFmtId="175" formatCode="#\,##0.00"/>
    <numFmt numFmtId="176" formatCode="#.00"/>
    <numFmt numFmtId="177" formatCode="#\ ##0.00_р_."/>
    <numFmt numFmtId="178" formatCode="0.00;[Red]0.00"/>
    <numFmt numFmtId="179" formatCode="0.0;[Red]0.0"/>
    <numFmt numFmtId="180" formatCode="_-* #,##0.0_р_._-;\-* #,##0.0_р_._-;_-* &quot;-&quot;??_р_._-;_-@_-"/>
    <numFmt numFmtId="181" formatCode="_(* #,##0.00_);_(* \(#,##0.00\);_(* &quot;-&quot;??_);_(@_)"/>
    <numFmt numFmtId="182" formatCode="#,##0_р_."/>
    <numFmt numFmtId="183" formatCode="#,##0.0000"/>
    <numFmt numFmtId="184" formatCode="###\ ###\ ###\ ###\ ###\ ###\ ##0.00"/>
    <numFmt numFmtId="185" formatCode="#\ ###\ ###\ ###\ ###\ ###\ ##0.00"/>
    <numFmt numFmtId="186" formatCode="#,##0.000"/>
  </numFmts>
  <fonts count="104">
    <font>
      <sz val="10"/>
      <name val="Arial Cyr"/>
      <charset val="204"/>
    </font>
    <font>
      <sz val="11"/>
      <color theme="1"/>
      <name val="Calibri"/>
      <family val="2"/>
      <charset val="204"/>
      <scheme val="minor"/>
    </font>
    <font>
      <sz val="10"/>
      <name val="Arial Cyr"/>
      <charset val="204"/>
    </font>
    <font>
      <sz val="12"/>
      <color indexed="16"/>
      <name val="Courier"/>
      <family val="3"/>
    </font>
    <font>
      <sz val="1"/>
      <color indexed="8"/>
      <name val="Courier"/>
      <family val="3"/>
    </font>
    <font>
      <b/>
      <sz val="1"/>
      <color indexed="8"/>
      <name val="Courier"/>
      <family val="3"/>
    </font>
    <font>
      <b/>
      <sz val="18"/>
      <color indexed="16"/>
      <name val="Courier"/>
      <family val="3"/>
    </font>
    <font>
      <b/>
      <sz val="12"/>
      <color indexed="16"/>
      <name val="Courier"/>
      <family val="3"/>
    </font>
    <font>
      <sz val="12"/>
      <color indexed="72"/>
      <name val="Courier"/>
      <family val="3"/>
    </font>
    <font>
      <sz val="12"/>
      <color indexed="8"/>
      <name val="Courier"/>
      <family val="3"/>
    </font>
    <font>
      <sz val="1"/>
      <color indexed="16"/>
      <name val="Courier"/>
      <family val="3"/>
    </font>
    <font>
      <sz val="10"/>
      <color indexed="8"/>
      <name val="Courier"/>
      <family val="3"/>
    </font>
    <font>
      <b/>
      <sz val="18"/>
      <color indexed="8"/>
      <name val="Courier"/>
      <family val="3"/>
    </font>
    <font>
      <b/>
      <sz val="12"/>
      <color indexed="8"/>
      <name val="Courier"/>
      <family val="3"/>
    </font>
    <font>
      <u/>
      <sz val="16"/>
      <color indexed="72"/>
      <name val="Courier"/>
      <family val="3"/>
    </font>
    <font>
      <sz val="12"/>
      <name val="Courier"/>
      <family val="3"/>
    </font>
    <font>
      <sz val="11"/>
      <name val="Times New Roman"/>
      <family val="1"/>
    </font>
    <font>
      <b/>
      <sz val="11"/>
      <name val="Times New Roman"/>
      <family val="1"/>
    </font>
    <font>
      <sz val="10"/>
      <name val="Times New Roman"/>
      <family val="1"/>
    </font>
    <font>
      <b/>
      <sz val="11"/>
      <color indexed="8"/>
      <name val="Times New Roman"/>
      <family val="1"/>
    </font>
    <font>
      <sz val="11"/>
      <color indexed="8"/>
      <name val="Times New Roman"/>
      <family val="1"/>
    </font>
    <font>
      <sz val="10"/>
      <name val="Arial Cyr"/>
      <charset val="1"/>
    </font>
    <font>
      <b/>
      <sz val="12"/>
      <name val="Times New Roman"/>
      <family val="1"/>
    </font>
    <font>
      <sz val="12"/>
      <name val="Times New Roman"/>
      <family val="1"/>
    </font>
    <font>
      <sz val="10"/>
      <color indexed="8"/>
      <name val="Times New Roman"/>
      <family val="1"/>
    </font>
    <font>
      <sz val="10"/>
      <name val="Arial Cyr"/>
      <charset val="204"/>
    </font>
    <font>
      <sz val="12"/>
      <color indexed="16"/>
      <name val="Courier"/>
      <family val="1"/>
      <charset val="204"/>
    </font>
    <font>
      <sz val="1"/>
      <color indexed="8"/>
      <name val="Courier"/>
      <family val="1"/>
      <charset val="204"/>
    </font>
    <font>
      <b/>
      <sz val="1"/>
      <color indexed="8"/>
      <name val="Courier"/>
      <family val="1"/>
      <charset val="204"/>
    </font>
    <font>
      <b/>
      <sz val="18"/>
      <color indexed="16"/>
      <name val="Courier"/>
      <family val="1"/>
      <charset val="204"/>
    </font>
    <font>
      <b/>
      <sz val="12"/>
      <color indexed="16"/>
      <name val="Courier"/>
      <family val="1"/>
      <charset val="204"/>
    </font>
    <font>
      <sz val="12"/>
      <color indexed="72"/>
      <name val="Courier"/>
      <family val="1"/>
      <charset val="204"/>
    </font>
    <font>
      <sz val="12"/>
      <color indexed="8"/>
      <name val="Courier"/>
      <family val="1"/>
      <charset val="204"/>
    </font>
    <font>
      <sz val="1"/>
      <color indexed="16"/>
      <name val="Courier"/>
      <family val="1"/>
      <charset val="204"/>
    </font>
    <font>
      <sz val="10"/>
      <color indexed="8"/>
      <name val="Courier"/>
      <family val="1"/>
      <charset val="204"/>
    </font>
    <font>
      <b/>
      <sz val="18"/>
      <color indexed="8"/>
      <name val="Courier"/>
      <family val="1"/>
      <charset val="204"/>
    </font>
    <font>
      <b/>
      <sz val="12"/>
      <color indexed="8"/>
      <name val="Courier"/>
      <family val="1"/>
      <charset val="204"/>
    </font>
    <font>
      <u/>
      <sz val="16"/>
      <color indexed="72"/>
      <name val="Courier"/>
      <family val="1"/>
      <charset val="204"/>
    </font>
    <font>
      <sz val="11"/>
      <name val="Times New Roman"/>
      <family val="1"/>
      <charset val="204"/>
    </font>
    <font>
      <sz val="10"/>
      <name val="Arial Cyr"/>
      <charset val="186"/>
    </font>
    <font>
      <sz val="8"/>
      <name val="Times New Roman"/>
      <family val="1"/>
      <charset val="204"/>
    </font>
    <font>
      <sz val="8"/>
      <name val="Arial Cyr"/>
      <charset val="204"/>
    </font>
    <font>
      <b/>
      <sz val="11"/>
      <name val="Times New Roman"/>
      <family val="1"/>
      <charset val="204"/>
    </font>
    <font>
      <sz val="8"/>
      <color indexed="8"/>
      <name val="Times New Roman"/>
      <family val="1"/>
      <charset val="204"/>
    </font>
    <font>
      <sz val="12"/>
      <name val="Times New Roman"/>
      <family val="1"/>
      <charset val="204"/>
    </font>
    <font>
      <sz val="8"/>
      <name val="Times New Roman"/>
      <family val="1"/>
    </font>
    <font>
      <b/>
      <sz val="11"/>
      <color indexed="8"/>
      <name val="Times New Roman"/>
      <family val="1"/>
      <charset val="204"/>
    </font>
    <font>
      <sz val="11"/>
      <color indexed="8"/>
      <name val="Times New Roman"/>
      <family val="1"/>
      <charset val="204"/>
    </font>
    <font>
      <b/>
      <i/>
      <sz val="11"/>
      <color indexed="8"/>
      <name val="Times New Roman"/>
      <family val="1"/>
      <charset val="204"/>
    </font>
    <font>
      <i/>
      <sz val="11"/>
      <color indexed="8"/>
      <name val="Times New Roman"/>
      <family val="1"/>
      <charset val="204"/>
    </font>
    <font>
      <sz val="8"/>
      <color indexed="8"/>
      <name val="Times New Roman"/>
      <family val="1"/>
    </font>
    <font>
      <b/>
      <sz val="8"/>
      <color indexed="8"/>
      <name val="Times New Roman"/>
      <family val="1"/>
    </font>
    <font>
      <sz val="10"/>
      <name val="Times New Roman"/>
      <family val="1"/>
      <charset val="204"/>
    </font>
    <font>
      <b/>
      <sz val="10"/>
      <name val="Times New Roman"/>
      <family val="1"/>
      <charset val="204"/>
    </font>
    <font>
      <b/>
      <sz val="12"/>
      <name val="Times New Roman"/>
      <family val="1"/>
      <charset val="204"/>
    </font>
    <font>
      <sz val="12"/>
      <color indexed="8"/>
      <name val="Times New Roman"/>
      <family val="1"/>
      <charset val="204"/>
    </font>
    <font>
      <sz val="9"/>
      <name val="Times New Roman"/>
      <family val="1"/>
      <charset val="204"/>
    </font>
    <font>
      <sz val="9"/>
      <name val="Times New Roman"/>
      <family val="1"/>
    </font>
    <font>
      <sz val="9"/>
      <color indexed="8"/>
      <name val="Times New Roman"/>
      <family val="1"/>
      <charset val="204"/>
    </font>
    <font>
      <b/>
      <sz val="9"/>
      <name val="Times New Roman"/>
      <family val="1"/>
      <charset val="204"/>
    </font>
    <font>
      <sz val="9"/>
      <color indexed="8"/>
      <name val="Times New Roman"/>
      <family val="1"/>
    </font>
    <font>
      <i/>
      <sz val="11"/>
      <name val="Times New Roman"/>
      <family val="1"/>
      <charset val="204"/>
    </font>
    <font>
      <sz val="10"/>
      <color indexed="8"/>
      <name val="Times New Roman"/>
      <family val="1"/>
      <charset val="204"/>
    </font>
    <font>
      <b/>
      <i/>
      <sz val="11"/>
      <name val="Times New Roman"/>
      <family val="1"/>
      <charset val="204"/>
    </font>
    <font>
      <b/>
      <sz val="10"/>
      <name val="Calibri"/>
      <family val="2"/>
      <charset val="204"/>
    </font>
    <font>
      <b/>
      <sz val="12"/>
      <color indexed="8"/>
      <name val="Times New Roman"/>
      <family val="1"/>
      <charset val="204"/>
    </font>
    <font>
      <b/>
      <sz val="10"/>
      <name val="Arial Cyr"/>
      <charset val="204"/>
    </font>
    <font>
      <sz val="11"/>
      <color theme="1"/>
      <name val="Calibri"/>
      <family val="2"/>
      <charset val="204"/>
      <scheme val="minor"/>
    </font>
    <font>
      <sz val="11"/>
      <color theme="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b/>
      <sz val="11"/>
      <color theme="1"/>
      <name val="Calibri"/>
      <family val="2"/>
      <charset val="204"/>
      <scheme val="minor"/>
    </font>
    <font>
      <b/>
      <sz val="11"/>
      <color theme="0"/>
      <name val="Calibri"/>
      <family val="2"/>
      <charset val="204"/>
      <scheme val="minor"/>
    </font>
    <font>
      <sz val="18"/>
      <color theme="3"/>
      <name val="Cambria"/>
      <family val="2"/>
      <charset val="204"/>
      <scheme val="major"/>
    </font>
    <font>
      <sz val="11"/>
      <color rgb="FF9C6500"/>
      <name val="Calibri"/>
      <family val="2"/>
      <charset val="204"/>
      <scheme val="minor"/>
    </font>
    <font>
      <sz val="11"/>
      <color rgb="FF9C0006"/>
      <name val="Calibri"/>
      <family val="2"/>
      <charset val="204"/>
      <scheme val="minor"/>
    </font>
    <font>
      <i/>
      <sz val="11"/>
      <color rgb="FF7F7F7F"/>
      <name val="Calibri"/>
      <family val="2"/>
      <charset val="204"/>
      <scheme val="minor"/>
    </font>
    <font>
      <sz val="11"/>
      <color rgb="FFFA7D00"/>
      <name val="Calibri"/>
      <family val="2"/>
      <charset val="204"/>
      <scheme val="minor"/>
    </font>
    <font>
      <sz val="11"/>
      <color rgb="FFFF0000"/>
      <name val="Calibri"/>
      <family val="2"/>
      <charset val="204"/>
      <scheme val="minor"/>
    </font>
    <font>
      <sz val="11"/>
      <color rgb="FF006100"/>
      <name val="Calibri"/>
      <family val="2"/>
      <charset val="204"/>
      <scheme val="minor"/>
    </font>
    <font>
      <sz val="12"/>
      <color rgb="FFFF0000"/>
      <name val="Times New Roman"/>
      <family val="1"/>
      <charset val="204"/>
    </font>
    <font>
      <sz val="11"/>
      <color rgb="FFFF0000"/>
      <name val="Times New Roman"/>
      <family val="1"/>
      <charset val="204"/>
    </font>
    <font>
      <sz val="10"/>
      <color theme="1"/>
      <name val="Times New Roman"/>
      <family val="1"/>
      <charset val="204"/>
    </font>
    <font>
      <b/>
      <sz val="10"/>
      <color theme="1"/>
      <name val="Times New Roman"/>
      <family val="1"/>
      <charset val="204"/>
    </font>
    <font>
      <b/>
      <sz val="11"/>
      <color rgb="FFFF0000"/>
      <name val="Times New Roman"/>
      <family val="1"/>
      <charset val="204"/>
    </font>
    <font>
      <sz val="8"/>
      <color rgb="FFFF0000"/>
      <name val="Times New Roman"/>
      <family val="1"/>
      <charset val="204"/>
    </font>
    <font>
      <sz val="11"/>
      <name val="Calibri"/>
      <family val="2"/>
      <charset val="204"/>
      <scheme val="minor"/>
    </font>
    <font>
      <sz val="9"/>
      <name val="Calibri"/>
      <family val="2"/>
      <charset val="204"/>
      <scheme val="minor"/>
    </font>
    <font>
      <sz val="10"/>
      <color rgb="FFFF0000"/>
      <name val="Times New Roman"/>
      <family val="1"/>
      <charset val="204"/>
    </font>
    <font>
      <sz val="10"/>
      <color rgb="FFFF0000"/>
      <name val="Arial Cyr"/>
      <charset val="204"/>
    </font>
    <font>
      <sz val="10"/>
      <color rgb="FF0070C0"/>
      <name val="Times New Roman"/>
      <family val="1"/>
      <charset val="204"/>
    </font>
    <font>
      <sz val="10"/>
      <color rgb="FF0070C0"/>
      <name val="Arial Cyr"/>
      <charset val="204"/>
    </font>
    <font>
      <b/>
      <sz val="10"/>
      <color rgb="FFFF0000"/>
      <name val="Times New Roman"/>
      <family val="1"/>
      <charset val="204"/>
    </font>
    <font>
      <b/>
      <sz val="11"/>
      <color rgb="FFFF0000"/>
      <name val="Calibri"/>
      <family val="2"/>
      <charset val="204"/>
      <scheme val="minor"/>
    </font>
    <font>
      <b/>
      <sz val="10"/>
      <color rgb="FFFF0000"/>
      <name val="Arial Cyr"/>
      <charset val="204"/>
    </font>
    <font>
      <sz val="8"/>
      <color theme="1"/>
      <name val="Calibri"/>
      <family val="2"/>
      <charset val="204"/>
      <scheme val="minor"/>
    </font>
    <font>
      <sz val="11"/>
      <color rgb="FFFF0000"/>
      <name val="Times New Roman"/>
      <family val="1"/>
    </font>
    <font>
      <b/>
      <sz val="11"/>
      <color rgb="FFFF0000"/>
      <name val="Times New Roman"/>
      <family val="1"/>
    </font>
    <font>
      <sz val="11"/>
      <color theme="1"/>
      <name val="Times New Roman"/>
      <family val="1"/>
      <charset val="204"/>
    </font>
    <font>
      <b/>
      <sz val="11"/>
      <color theme="1"/>
      <name val="Times New Roman"/>
      <family val="1"/>
      <charset val="204"/>
    </font>
  </fonts>
  <fills count="33">
    <fill>
      <patternFill patternType="none"/>
    </fill>
    <fill>
      <patternFill patternType="gray125"/>
    </fill>
    <fill>
      <patternFill patternType="solid">
        <fgColor indexed="13"/>
        <bgColor indexed="64"/>
      </patternFill>
    </fill>
    <fill>
      <patternFill patternType="solid">
        <fgColor indexed="44"/>
        <bgColor indexed="64"/>
      </patternFill>
    </fill>
    <fill>
      <patternFill patternType="solid">
        <fgColor indexed="41"/>
        <bgColor indexed="64"/>
      </patternFill>
    </fill>
    <fill>
      <patternFill patternType="solid">
        <fgColor indexed="22"/>
        <bgColor indexed="64"/>
      </patternFill>
    </fill>
    <fill>
      <patternFill patternType="solid">
        <fgColor indexed="31"/>
        <bgColor indexed="64"/>
      </patternFill>
    </fill>
    <fill>
      <patternFill patternType="solid">
        <fgColor indexed="42"/>
        <bgColor indexed="64"/>
      </patternFill>
    </fill>
    <fill>
      <patternFill patternType="solid">
        <fgColor indexed="9"/>
        <bgColor indexed="64"/>
      </patternFill>
    </fill>
    <fill>
      <patternFill patternType="solid">
        <fgColor indexed="60"/>
        <bgColor indexed="64"/>
      </patternFill>
    </fill>
    <fill>
      <patternFill patternType="solid">
        <fgColor indexed="40"/>
        <bgColor indexed="64"/>
      </patternFill>
    </fill>
    <fill>
      <patternFill patternType="solid">
        <fgColor indexed="17"/>
        <bgColor indexed="64"/>
      </patternFill>
    </fill>
    <fill>
      <patternFill patternType="solid">
        <fgColor indexed="45"/>
        <bgColor indexed="64"/>
      </patternFill>
    </fill>
    <fill>
      <patternFill patternType="solid">
        <fgColor indexed="11"/>
        <bgColor indexed="64"/>
      </patternFill>
    </fill>
    <fill>
      <patternFill patternType="solid">
        <fgColor indexed="57"/>
        <bgColor indexed="64"/>
      </patternFill>
    </fill>
    <fill>
      <patternFill patternType="solid">
        <fgColor indexed="15"/>
        <bgColor indexed="64"/>
      </patternFill>
    </fill>
    <fill>
      <patternFill patternType="solid">
        <fgColor indexed="10"/>
        <bgColor indexed="64"/>
      </patternFill>
    </fill>
    <fill>
      <patternFill patternType="solid">
        <fgColor indexed="49"/>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C7CE"/>
      </patternFill>
    </fill>
    <fill>
      <patternFill patternType="solid">
        <fgColor rgb="FFFFFFCC"/>
      </patternFill>
    </fill>
    <fill>
      <patternFill patternType="solid">
        <fgColor rgb="FFC6EFCE"/>
      </patternFill>
    </fill>
    <fill>
      <patternFill patternType="solid">
        <fgColor rgb="FFFFFF00"/>
        <bgColor indexed="64"/>
      </patternFill>
    </fill>
    <fill>
      <patternFill patternType="solid">
        <fgColor rgb="FF00B0F0"/>
        <bgColor indexed="64"/>
      </patternFill>
    </fill>
  </fills>
  <borders count="108">
    <border>
      <left/>
      <right/>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bottom style="thin">
        <color indexed="64"/>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top style="medium">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s>
  <cellStyleXfs count="339">
    <xf numFmtId="0" fontId="0" fillId="0" borderId="0"/>
    <xf numFmtId="171" fontId="9" fillId="0" borderId="0">
      <protection locked="0"/>
    </xf>
    <xf numFmtId="171" fontId="32" fillId="0" borderId="0">
      <protection locked="0"/>
    </xf>
    <xf numFmtId="171" fontId="32" fillId="0" borderId="0">
      <protection locked="0"/>
    </xf>
    <xf numFmtId="171" fontId="32" fillId="0" borderId="0">
      <protection locked="0"/>
    </xf>
    <xf numFmtId="171" fontId="32" fillId="0" borderId="0">
      <protection locked="0"/>
    </xf>
    <xf numFmtId="171" fontId="11" fillId="0" borderId="0">
      <protection locked="0"/>
    </xf>
    <xf numFmtId="171" fontId="11" fillId="0" borderId="0">
      <protection locked="0"/>
    </xf>
    <xf numFmtId="171" fontId="34" fillId="0" borderId="0">
      <protection locked="0"/>
    </xf>
    <xf numFmtId="171" fontId="34" fillId="0" borderId="0">
      <protection locked="0"/>
    </xf>
    <xf numFmtId="171" fontId="34" fillId="0" borderId="0">
      <protection locked="0"/>
    </xf>
    <xf numFmtId="171" fontId="34" fillId="0" borderId="0">
      <protection locked="0"/>
    </xf>
    <xf numFmtId="171" fontId="34" fillId="0" borderId="0">
      <protection locked="0"/>
    </xf>
    <xf numFmtId="171" fontId="34" fillId="0" borderId="0">
      <protection locked="0"/>
    </xf>
    <xf numFmtId="171" fontId="34" fillId="0" borderId="0">
      <protection locked="0"/>
    </xf>
    <xf numFmtId="171" fontId="34" fillId="0" borderId="0">
      <protection locked="0"/>
    </xf>
    <xf numFmtId="171" fontId="11" fillId="0" borderId="0">
      <protection locked="0"/>
    </xf>
    <xf numFmtId="171" fontId="11" fillId="0" borderId="0">
      <protection locked="0"/>
    </xf>
    <xf numFmtId="171" fontId="34" fillId="0" borderId="0">
      <protection locked="0"/>
    </xf>
    <xf numFmtId="171" fontId="34" fillId="0" borderId="0">
      <protection locked="0"/>
    </xf>
    <xf numFmtId="171" fontId="34" fillId="0" borderId="0">
      <protection locked="0"/>
    </xf>
    <xf numFmtId="171" fontId="34" fillId="0" borderId="0">
      <protection locked="0"/>
    </xf>
    <xf numFmtId="171" fontId="34" fillId="0" borderId="0">
      <protection locked="0"/>
    </xf>
    <xf numFmtId="171" fontId="34" fillId="0" borderId="0">
      <protection locked="0"/>
    </xf>
    <xf numFmtId="171" fontId="34" fillId="0" borderId="0">
      <protection locked="0"/>
    </xf>
    <xf numFmtId="171" fontId="34" fillId="0" borderId="0">
      <protection locked="0"/>
    </xf>
    <xf numFmtId="0" fontId="4"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4"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4"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4"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4"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4" fillId="0" borderId="1">
      <protection locked="0"/>
    </xf>
    <xf numFmtId="0" fontId="27" fillId="0" borderId="1">
      <protection locked="0"/>
    </xf>
    <xf numFmtId="0" fontId="27" fillId="0" borderId="1">
      <protection locked="0"/>
    </xf>
    <xf numFmtId="0" fontId="27" fillId="0" borderId="1">
      <protection locked="0"/>
    </xf>
    <xf numFmtId="0" fontId="27" fillId="0" borderId="1">
      <protection locked="0"/>
    </xf>
    <xf numFmtId="0" fontId="5"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5"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4" fillId="0" borderId="1">
      <protection locked="0"/>
    </xf>
    <xf numFmtId="0" fontId="27" fillId="0" borderId="1">
      <protection locked="0"/>
    </xf>
    <xf numFmtId="0" fontId="27" fillId="0" borderId="1">
      <protection locked="0"/>
    </xf>
    <xf numFmtId="0" fontId="27" fillId="0" borderId="1">
      <protection locked="0"/>
    </xf>
    <xf numFmtId="0" fontId="27" fillId="0" borderId="1">
      <protection locked="0"/>
    </xf>
    <xf numFmtId="0" fontId="9" fillId="0" borderId="0">
      <protection locked="0"/>
    </xf>
    <xf numFmtId="171" fontId="3" fillId="0" borderId="0">
      <protection locked="0"/>
    </xf>
    <xf numFmtId="171" fontId="9" fillId="0" borderId="1">
      <protection locked="0"/>
    </xf>
    <xf numFmtId="171" fontId="3" fillId="0" borderId="1">
      <protection locked="0"/>
    </xf>
    <xf numFmtId="0" fontId="32" fillId="0" borderId="0">
      <protection locked="0"/>
    </xf>
    <xf numFmtId="171" fontId="26" fillId="0" borderId="0">
      <protection locked="0"/>
    </xf>
    <xf numFmtId="171" fontId="32" fillId="0" borderId="1">
      <protection locked="0"/>
    </xf>
    <xf numFmtId="171" fontId="26" fillId="0" borderId="1">
      <protection locked="0"/>
    </xf>
    <xf numFmtId="0" fontId="32" fillId="0" borderId="0">
      <protection locked="0"/>
    </xf>
    <xf numFmtId="171" fontId="26" fillId="0" borderId="0">
      <protection locked="0"/>
    </xf>
    <xf numFmtId="171" fontId="32" fillId="0" borderId="1">
      <protection locked="0"/>
    </xf>
    <xf numFmtId="171" fontId="26" fillId="0" borderId="1">
      <protection locked="0"/>
    </xf>
    <xf numFmtId="0" fontId="32" fillId="0" borderId="0">
      <protection locked="0"/>
    </xf>
    <xf numFmtId="171" fontId="26" fillId="0" borderId="0">
      <protection locked="0"/>
    </xf>
    <xf numFmtId="171" fontId="32" fillId="0" borderId="1">
      <protection locked="0"/>
    </xf>
    <xf numFmtId="171" fontId="26" fillId="0" borderId="1">
      <protection locked="0"/>
    </xf>
    <xf numFmtId="0" fontId="32" fillId="0" borderId="0">
      <protection locked="0"/>
    </xf>
    <xf numFmtId="171" fontId="26" fillId="0" borderId="0">
      <protection locked="0"/>
    </xf>
    <xf numFmtId="171" fontId="32" fillId="0" borderId="1">
      <protection locked="0"/>
    </xf>
    <xf numFmtId="171" fontId="26" fillId="0" borderId="1">
      <protection locked="0"/>
    </xf>
    <xf numFmtId="171" fontId="10" fillId="0" borderId="0">
      <protection locked="0"/>
    </xf>
    <xf numFmtId="171" fontId="10" fillId="0" borderId="1">
      <protection locked="0"/>
    </xf>
    <xf numFmtId="171" fontId="33" fillId="0" borderId="0">
      <protection locked="0"/>
    </xf>
    <xf numFmtId="171" fontId="33" fillId="0" borderId="1">
      <protection locked="0"/>
    </xf>
    <xf numFmtId="171" fontId="33" fillId="0" borderId="0">
      <protection locked="0"/>
    </xf>
    <xf numFmtId="171" fontId="33" fillId="0" borderId="1">
      <protection locked="0"/>
    </xf>
    <xf numFmtId="171" fontId="33" fillId="0" borderId="0">
      <protection locked="0"/>
    </xf>
    <xf numFmtId="171" fontId="33" fillId="0" borderId="1">
      <protection locked="0"/>
    </xf>
    <xf numFmtId="171" fontId="33" fillId="0" borderId="0">
      <protection locked="0"/>
    </xf>
    <xf numFmtId="171" fontId="33" fillId="0" borderId="1">
      <protection locked="0"/>
    </xf>
    <xf numFmtId="171" fontId="3" fillId="0" borderId="0">
      <protection locked="0"/>
    </xf>
    <xf numFmtId="171" fontId="3" fillId="0" borderId="1">
      <protection locked="0"/>
    </xf>
    <xf numFmtId="171" fontId="26" fillId="0" borderId="0">
      <protection locked="0"/>
    </xf>
    <xf numFmtId="171" fontId="26" fillId="0" borderId="1">
      <protection locked="0"/>
    </xf>
    <xf numFmtId="171" fontId="26" fillId="0" borderId="0">
      <protection locked="0"/>
    </xf>
    <xf numFmtId="171" fontId="26" fillId="0" borderId="1">
      <protection locked="0"/>
    </xf>
    <xf numFmtId="171" fontId="26" fillId="0" borderId="0">
      <protection locked="0"/>
    </xf>
    <xf numFmtId="171" fontId="26" fillId="0" borderId="1">
      <protection locked="0"/>
    </xf>
    <xf numFmtId="171" fontId="26" fillId="0" borderId="0">
      <protection locked="0"/>
    </xf>
    <xf numFmtId="171" fontId="26" fillId="0" borderId="1">
      <protection locked="0"/>
    </xf>
    <xf numFmtId="173" fontId="9" fillId="0" borderId="0">
      <protection locked="0"/>
    </xf>
    <xf numFmtId="171" fontId="3" fillId="0" borderId="0">
      <protection locked="0"/>
    </xf>
    <xf numFmtId="171" fontId="3" fillId="0" borderId="1">
      <protection locked="0"/>
    </xf>
    <xf numFmtId="171" fontId="26" fillId="0" borderId="0">
      <protection locked="0"/>
    </xf>
    <xf numFmtId="171" fontId="26" fillId="0" borderId="1">
      <protection locked="0"/>
    </xf>
    <xf numFmtId="171" fontId="26" fillId="0" borderId="0">
      <protection locked="0"/>
    </xf>
    <xf numFmtId="171" fontId="26" fillId="0" borderId="1">
      <protection locked="0"/>
    </xf>
    <xf numFmtId="171" fontId="26" fillId="0" borderId="0">
      <protection locked="0"/>
    </xf>
    <xf numFmtId="171" fontId="26" fillId="0" borderId="1">
      <protection locked="0"/>
    </xf>
    <xf numFmtId="171" fontId="26" fillId="0" borderId="0">
      <protection locked="0"/>
    </xf>
    <xf numFmtId="171" fontId="26" fillId="0" borderId="1">
      <protection locked="0"/>
    </xf>
    <xf numFmtId="0" fontId="9" fillId="0" borderId="0">
      <protection locked="0"/>
    </xf>
    <xf numFmtId="171" fontId="3" fillId="0" borderId="0">
      <protection locked="0"/>
    </xf>
    <xf numFmtId="0" fontId="9" fillId="0" borderId="0">
      <protection locked="0"/>
    </xf>
    <xf numFmtId="171" fontId="3" fillId="0" borderId="0">
      <protection locked="0"/>
    </xf>
    <xf numFmtId="0" fontId="32" fillId="0" borderId="0">
      <protection locked="0"/>
    </xf>
    <xf numFmtId="171" fontId="26" fillId="0" borderId="0">
      <protection locked="0"/>
    </xf>
    <xf numFmtId="0" fontId="32" fillId="0" borderId="0">
      <protection locked="0"/>
    </xf>
    <xf numFmtId="171" fontId="26" fillId="0" borderId="0">
      <protection locked="0"/>
    </xf>
    <xf numFmtId="0" fontId="32" fillId="0" borderId="0">
      <protection locked="0"/>
    </xf>
    <xf numFmtId="171" fontId="26" fillId="0" borderId="0">
      <protection locked="0"/>
    </xf>
    <xf numFmtId="0" fontId="32" fillId="0" borderId="0">
      <protection locked="0"/>
    </xf>
    <xf numFmtId="171" fontId="26" fillId="0" borderId="0">
      <protection locked="0"/>
    </xf>
    <xf numFmtId="0" fontId="32" fillId="0" borderId="0">
      <protection locked="0"/>
    </xf>
    <xf numFmtId="171" fontId="26" fillId="0" borderId="0">
      <protection locked="0"/>
    </xf>
    <xf numFmtId="0" fontId="32" fillId="0" borderId="0">
      <protection locked="0"/>
    </xf>
    <xf numFmtId="171" fontId="26" fillId="0" borderId="0">
      <protection locked="0"/>
    </xf>
    <xf numFmtId="0" fontId="32" fillId="0" borderId="0">
      <protection locked="0"/>
    </xf>
    <xf numFmtId="171" fontId="26" fillId="0" borderId="0">
      <protection locked="0"/>
    </xf>
    <xf numFmtId="0" fontId="32" fillId="0" borderId="0">
      <protection locked="0"/>
    </xf>
    <xf numFmtId="171" fontId="26" fillId="0" borderId="0">
      <protection locked="0"/>
    </xf>
    <xf numFmtId="171" fontId="10" fillId="0" borderId="0">
      <protection locked="0"/>
    </xf>
    <xf numFmtId="171" fontId="10" fillId="0" borderId="0">
      <protection locked="0"/>
    </xf>
    <xf numFmtId="171" fontId="33" fillId="0" borderId="0">
      <protection locked="0"/>
    </xf>
    <xf numFmtId="171" fontId="33" fillId="0" borderId="0">
      <protection locked="0"/>
    </xf>
    <xf numFmtId="171" fontId="33" fillId="0" borderId="0">
      <protection locked="0"/>
    </xf>
    <xf numFmtId="171" fontId="33" fillId="0" borderId="0">
      <protection locked="0"/>
    </xf>
    <xf numFmtId="171" fontId="33" fillId="0" borderId="0">
      <protection locked="0"/>
    </xf>
    <xf numFmtId="171" fontId="33" fillId="0" borderId="0">
      <protection locked="0"/>
    </xf>
    <xf numFmtId="171" fontId="33" fillId="0" borderId="0">
      <protection locked="0"/>
    </xf>
    <xf numFmtId="171" fontId="33" fillId="0" borderId="0">
      <protection locked="0"/>
    </xf>
    <xf numFmtId="171" fontId="3" fillId="0" borderId="0">
      <protection locked="0"/>
    </xf>
    <xf numFmtId="171" fontId="3" fillId="0" borderId="0">
      <protection locked="0"/>
    </xf>
    <xf numFmtId="171" fontId="26" fillId="0" borderId="0">
      <protection locked="0"/>
    </xf>
    <xf numFmtId="171" fontId="26" fillId="0" borderId="0">
      <protection locked="0"/>
    </xf>
    <xf numFmtId="171" fontId="26" fillId="0" borderId="0">
      <protection locked="0"/>
    </xf>
    <xf numFmtId="171" fontId="26" fillId="0" borderId="0">
      <protection locked="0"/>
    </xf>
    <xf numFmtId="171" fontId="26" fillId="0" borderId="0">
      <protection locked="0"/>
    </xf>
    <xf numFmtId="171" fontId="26" fillId="0" borderId="0">
      <protection locked="0"/>
    </xf>
    <xf numFmtId="171" fontId="26" fillId="0" borderId="0">
      <protection locked="0"/>
    </xf>
    <xf numFmtId="171" fontId="26" fillId="0" borderId="0">
      <protection locked="0"/>
    </xf>
    <xf numFmtId="174" fontId="9" fillId="0" borderId="0">
      <protection locked="0"/>
    </xf>
    <xf numFmtId="175" fontId="9" fillId="0" borderId="0">
      <protection locked="0"/>
    </xf>
    <xf numFmtId="174" fontId="32" fillId="0" borderId="0">
      <protection locked="0"/>
    </xf>
    <xf numFmtId="175" fontId="32" fillId="0" borderId="0">
      <protection locked="0"/>
    </xf>
    <xf numFmtId="174" fontId="32" fillId="0" borderId="0">
      <protection locked="0"/>
    </xf>
    <xf numFmtId="175" fontId="32" fillId="0" borderId="0">
      <protection locked="0"/>
    </xf>
    <xf numFmtId="174" fontId="32" fillId="0" borderId="0">
      <protection locked="0"/>
    </xf>
    <xf numFmtId="175" fontId="32" fillId="0" borderId="0">
      <protection locked="0"/>
    </xf>
    <xf numFmtId="174" fontId="32" fillId="0" borderId="0">
      <protection locked="0"/>
    </xf>
    <xf numFmtId="175" fontId="32" fillId="0" borderId="0">
      <protection locked="0"/>
    </xf>
    <xf numFmtId="171" fontId="3" fillId="0" borderId="0">
      <protection locked="0"/>
    </xf>
    <xf numFmtId="171" fontId="3" fillId="0" borderId="0">
      <protection locked="0"/>
    </xf>
    <xf numFmtId="171" fontId="26" fillId="0" borderId="0">
      <protection locked="0"/>
    </xf>
    <xf numFmtId="171" fontId="26" fillId="0" borderId="0">
      <protection locked="0"/>
    </xf>
    <xf numFmtId="171" fontId="26" fillId="0" borderId="0">
      <protection locked="0"/>
    </xf>
    <xf numFmtId="171" fontId="26" fillId="0" borderId="0">
      <protection locked="0"/>
    </xf>
    <xf numFmtId="171" fontId="26" fillId="0" borderId="0">
      <protection locked="0"/>
    </xf>
    <xf numFmtId="171" fontId="26" fillId="0" borderId="0">
      <protection locked="0"/>
    </xf>
    <xf numFmtId="171" fontId="26" fillId="0" borderId="0">
      <protection locked="0"/>
    </xf>
    <xf numFmtId="171" fontId="26" fillId="0" borderId="0">
      <protection locked="0"/>
    </xf>
    <xf numFmtId="0" fontId="9" fillId="0" borderId="0">
      <protection locked="0"/>
    </xf>
    <xf numFmtId="171" fontId="3" fillId="0" borderId="0">
      <protection locked="0"/>
    </xf>
    <xf numFmtId="0" fontId="32" fillId="0" borderId="0">
      <protection locked="0"/>
    </xf>
    <xf numFmtId="171" fontId="26" fillId="0" borderId="0">
      <protection locked="0"/>
    </xf>
    <xf numFmtId="0" fontId="32" fillId="0" borderId="0">
      <protection locked="0"/>
    </xf>
    <xf numFmtId="171" fontId="26" fillId="0" borderId="0">
      <protection locked="0"/>
    </xf>
    <xf numFmtId="0" fontId="32" fillId="0" borderId="0">
      <protection locked="0"/>
    </xf>
    <xf numFmtId="171" fontId="26" fillId="0" borderId="0">
      <protection locked="0"/>
    </xf>
    <xf numFmtId="0" fontId="32" fillId="0" borderId="0">
      <protection locked="0"/>
    </xf>
    <xf numFmtId="171" fontId="26" fillId="0" borderId="0">
      <protection locked="0"/>
    </xf>
    <xf numFmtId="171" fontId="10" fillId="0" borderId="0">
      <protection locked="0"/>
    </xf>
    <xf numFmtId="176" fontId="9" fillId="0" borderId="0">
      <protection locked="0"/>
    </xf>
    <xf numFmtId="171" fontId="3" fillId="0" borderId="0">
      <protection locked="0"/>
    </xf>
    <xf numFmtId="171" fontId="12" fillId="0" borderId="0">
      <protection locked="0"/>
    </xf>
    <xf numFmtId="171" fontId="6" fillId="0" borderId="0">
      <protection locked="0"/>
    </xf>
    <xf numFmtId="171" fontId="35" fillId="0" borderId="0">
      <protection locked="0"/>
    </xf>
    <xf numFmtId="171" fontId="29" fillId="0" borderId="0">
      <protection locked="0"/>
    </xf>
    <xf numFmtId="171" fontId="35" fillId="0" borderId="0">
      <protection locked="0"/>
    </xf>
    <xf numFmtId="171" fontId="29" fillId="0" borderId="0">
      <protection locked="0"/>
    </xf>
    <xf numFmtId="171" fontId="35" fillId="0" borderId="0">
      <protection locked="0"/>
    </xf>
    <xf numFmtId="171" fontId="29" fillId="0" borderId="0">
      <protection locked="0"/>
    </xf>
    <xf numFmtId="171" fontId="35" fillId="0" borderId="0">
      <protection locked="0"/>
    </xf>
    <xf numFmtId="171" fontId="29" fillId="0" borderId="0">
      <protection locked="0"/>
    </xf>
    <xf numFmtId="171" fontId="13" fillId="0" borderId="0">
      <protection locked="0"/>
    </xf>
    <xf numFmtId="171" fontId="7" fillId="0" borderId="0">
      <protection locked="0"/>
    </xf>
    <xf numFmtId="171" fontId="36" fillId="0" borderId="0">
      <protection locked="0"/>
    </xf>
    <xf numFmtId="171" fontId="30" fillId="0" borderId="0">
      <protection locked="0"/>
    </xf>
    <xf numFmtId="171" fontId="36" fillId="0" borderId="0">
      <protection locked="0"/>
    </xf>
    <xf numFmtId="171" fontId="30" fillId="0" borderId="0">
      <protection locked="0"/>
    </xf>
    <xf numFmtId="171" fontId="36" fillId="0" borderId="0">
      <protection locked="0"/>
    </xf>
    <xf numFmtId="171" fontId="30" fillId="0" borderId="0">
      <protection locked="0"/>
    </xf>
    <xf numFmtId="171" fontId="36" fillId="0" borderId="0">
      <protection locked="0"/>
    </xf>
    <xf numFmtId="171" fontId="30" fillId="0" borderId="0">
      <protection locked="0"/>
    </xf>
    <xf numFmtId="171" fontId="8" fillId="0" borderId="0">
      <protection locked="0"/>
    </xf>
    <xf numFmtId="171" fontId="8"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14" fillId="0" borderId="0">
      <protection locked="0"/>
    </xf>
    <xf numFmtId="171" fontId="37" fillId="0" borderId="0">
      <protection locked="0"/>
    </xf>
    <xf numFmtId="171" fontId="37" fillId="0" borderId="0">
      <protection locked="0"/>
    </xf>
    <xf numFmtId="171" fontId="37" fillId="0" borderId="0">
      <protection locked="0"/>
    </xf>
    <xf numFmtId="171" fontId="37" fillId="0" borderId="0">
      <protection locked="0"/>
    </xf>
    <xf numFmtId="171" fontId="8"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8"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14" fillId="0" borderId="0">
      <protection locked="0"/>
    </xf>
    <xf numFmtId="171" fontId="37" fillId="0" borderId="0">
      <protection locked="0"/>
    </xf>
    <xf numFmtId="171" fontId="37" fillId="0" borderId="0">
      <protection locked="0"/>
    </xf>
    <xf numFmtId="171" fontId="37" fillId="0" borderId="0">
      <protection locked="0"/>
    </xf>
    <xf numFmtId="171" fontId="37" fillId="0" borderId="0">
      <protection locked="0"/>
    </xf>
    <xf numFmtId="171" fontId="8" fillId="0" borderId="0">
      <protection locked="0"/>
    </xf>
    <xf numFmtId="171" fontId="8"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171" fontId="31" fillId="0" borderId="0">
      <protection locked="0"/>
    </xf>
    <xf numFmtId="0" fontId="68" fillId="18" borderId="0" applyNumberFormat="0" applyBorder="0" applyAlignment="0" applyProtection="0"/>
    <xf numFmtId="0" fontId="68" fillId="19" borderId="0" applyNumberFormat="0" applyBorder="0" applyAlignment="0" applyProtection="0"/>
    <xf numFmtId="0" fontId="68" fillId="20" borderId="0" applyNumberFormat="0" applyBorder="0" applyAlignment="0" applyProtection="0"/>
    <xf numFmtId="0" fontId="68" fillId="21" borderId="0" applyNumberFormat="0" applyBorder="0" applyAlignment="0" applyProtection="0"/>
    <xf numFmtId="0" fontId="68" fillId="22" borderId="0" applyNumberFormat="0" applyBorder="0" applyAlignment="0" applyProtection="0"/>
    <xf numFmtId="0" fontId="68" fillId="23" borderId="0" applyNumberFormat="0" applyBorder="0" applyAlignment="0" applyProtection="0"/>
    <xf numFmtId="0" fontId="69" fillId="24" borderId="78" applyNumberFormat="0" applyAlignment="0" applyProtection="0"/>
    <xf numFmtId="0" fontId="70" fillId="25" borderId="79" applyNumberFormat="0" applyAlignment="0" applyProtection="0"/>
    <xf numFmtId="0" fontId="71" fillId="25" borderId="78" applyNumberFormat="0" applyAlignment="0" applyProtection="0"/>
    <xf numFmtId="164" fontId="2" fillId="0" borderId="0" applyFont="0" applyFill="0" applyBorder="0" applyAlignment="0" applyProtection="0"/>
    <xf numFmtId="0" fontId="72" fillId="0" borderId="80" applyNumberFormat="0" applyFill="0" applyAlignment="0" applyProtection="0"/>
    <xf numFmtId="0" fontId="73" fillId="0" borderId="81" applyNumberFormat="0" applyFill="0" applyAlignment="0" applyProtection="0"/>
    <xf numFmtId="0" fontId="74" fillId="0" borderId="82" applyNumberFormat="0" applyFill="0" applyAlignment="0" applyProtection="0"/>
    <xf numFmtId="0" fontId="74" fillId="0" borderId="0" applyNumberFormat="0" applyFill="0" applyBorder="0" applyAlignment="0" applyProtection="0"/>
    <xf numFmtId="0" fontId="75" fillId="0" borderId="83" applyNumberFormat="0" applyFill="0" applyAlignment="0" applyProtection="0"/>
    <xf numFmtId="0" fontId="76" fillId="26" borderId="84" applyNumberFormat="0" applyAlignment="0" applyProtection="0"/>
    <xf numFmtId="0" fontId="77" fillId="0" borderId="0" applyNumberFormat="0" applyFill="0" applyBorder="0" applyAlignment="0" applyProtection="0"/>
    <xf numFmtId="0" fontId="78" fillId="27" borderId="0" applyNumberFormat="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25" fillId="0" borderId="0"/>
    <xf numFmtId="0" fontId="67" fillId="0" borderId="0"/>
    <xf numFmtId="0" fontId="67" fillId="0" borderId="0"/>
    <xf numFmtId="0" fontId="67" fillId="0" borderId="0"/>
    <xf numFmtId="0" fontId="67" fillId="0" borderId="0"/>
    <xf numFmtId="0" fontId="25" fillId="0" borderId="0"/>
    <xf numFmtId="0" fontId="25" fillId="0" borderId="0"/>
    <xf numFmtId="0" fontId="25"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25" fillId="0" borderId="0"/>
    <xf numFmtId="0" fontId="15" fillId="0" borderId="0"/>
    <xf numFmtId="0" fontId="2" fillId="0" borderId="0"/>
    <xf numFmtId="0" fontId="39" fillId="0" borderId="0"/>
    <xf numFmtId="0" fontId="21" fillId="0" borderId="0"/>
    <xf numFmtId="0" fontId="79" fillId="28" borderId="0" applyNumberFormat="0" applyBorder="0" applyAlignment="0" applyProtection="0"/>
    <xf numFmtId="0" fontId="80" fillId="0" borderId="0" applyNumberFormat="0" applyFill="0" applyBorder="0" applyAlignment="0" applyProtection="0"/>
    <xf numFmtId="0" fontId="67" fillId="29" borderId="85" applyNumberFormat="0" applyFont="0" applyAlignment="0" applyProtection="0"/>
    <xf numFmtId="9" fontId="2" fillId="0" borderId="0" applyFont="0" applyFill="0" applyBorder="0" applyAlignment="0" applyProtection="0"/>
    <xf numFmtId="0" fontId="81" fillId="0" borderId="86" applyNumberFormat="0" applyFill="0" applyAlignment="0" applyProtection="0"/>
    <xf numFmtId="0" fontId="82" fillId="0" borderId="0" applyNumberFormat="0" applyFill="0" applyBorder="0" applyAlignment="0" applyProtection="0"/>
    <xf numFmtId="165" fontId="2" fillId="0" borderId="0" applyFont="0" applyFill="0" applyBorder="0" applyAlignment="0" applyProtection="0"/>
    <xf numFmtId="0" fontId="83" fillId="30" borderId="0" applyNumberFormat="0" applyBorder="0" applyAlignment="0" applyProtection="0"/>
    <xf numFmtId="0" fontId="4"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1" fillId="0" borderId="0"/>
    <xf numFmtId="43" fontId="1" fillId="0" borderId="0" applyFont="0" applyFill="0" applyBorder="0" applyAlignment="0" applyProtection="0"/>
  </cellStyleXfs>
  <cellXfs count="1270">
    <xf numFmtId="0" fontId="0" fillId="0" borderId="0" xfId="0"/>
    <xf numFmtId="0" fontId="16" fillId="0" borderId="0" xfId="0" applyFont="1"/>
    <xf numFmtId="0" fontId="17" fillId="0" borderId="0" xfId="0" applyFont="1" applyAlignment="1">
      <alignment horizontal="right"/>
    </xf>
    <xf numFmtId="0" fontId="16" fillId="0" borderId="2" xfId="0" applyFont="1" applyBorder="1" applyAlignment="1">
      <alignment horizontal="left" vertical="center" wrapText="1"/>
    </xf>
    <xf numFmtId="166" fontId="16" fillId="0" borderId="2" xfId="0" applyNumberFormat="1" applyFont="1" applyBorder="1" applyAlignment="1">
      <alignment horizontal="right" vertical="center" wrapText="1"/>
    </xf>
    <xf numFmtId="166" fontId="16" fillId="0" borderId="0" xfId="0" applyNumberFormat="1" applyFont="1"/>
    <xf numFmtId="0" fontId="17" fillId="0" borderId="0" xfId="0" applyFont="1"/>
    <xf numFmtId="2" fontId="16" fillId="0" borderId="0" xfId="0" applyNumberFormat="1" applyFont="1" applyAlignment="1">
      <alignment horizontal="right"/>
    </xf>
    <xf numFmtId="167" fontId="16" fillId="0" borderId="2" xfId="0" applyNumberFormat="1" applyFont="1" applyBorder="1" applyAlignment="1">
      <alignment vertical="center"/>
    </xf>
    <xf numFmtId="167" fontId="16" fillId="0" borderId="2" xfId="0" applyNumberFormat="1" applyFont="1" applyBorder="1" applyAlignment="1">
      <alignment horizontal="right" vertical="center" wrapText="1"/>
    </xf>
    <xf numFmtId="0" fontId="18" fillId="0" borderId="0" xfId="0" applyFont="1"/>
    <xf numFmtId="0" fontId="17" fillId="0" borderId="0" xfId="0" applyFont="1" applyAlignment="1">
      <alignment horizontal="center" vertical="center"/>
    </xf>
    <xf numFmtId="167" fontId="16" fillId="0" borderId="0" xfId="0" applyNumberFormat="1" applyFont="1"/>
    <xf numFmtId="0" fontId="16" fillId="0" borderId="2" xfId="0" applyFont="1" applyBorder="1"/>
    <xf numFmtId="167" fontId="16" fillId="0" borderId="2" xfId="0" applyNumberFormat="1" applyFont="1" applyBorder="1" applyAlignment="1">
      <alignment horizontal="right" vertical="center"/>
    </xf>
    <xf numFmtId="0" fontId="16" fillId="0" borderId="3" xfId="0" applyFont="1" applyBorder="1" applyAlignment="1">
      <alignment horizontal="left" vertical="top" wrapText="1"/>
    </xf>
    <xf numFmtId="167" fontId="16" fillId="0" borderId="3" xfId="0" applyNumberFormat="1" applyFont="1" applyBorder="1" applyAlignment="1">
      <alignment horizontal="right" vertical="center"/>
    </xf>
    <xf numFmtId="0" fontId="16" fillId="0" borderId="2" xfId="0" applyFont="1" applyBorder="1" applyAlignment="1">
      <alignment horizontal="left" vertical="top" wrapText="1"/>
    </xf>
    <xf numFmtId="167" fontId="16" fillId="0" borderId="2" xfId="0" applyNumberFormat="1" applyFont="1" applyBorder="1"/>
    <xf numFmtId="0" fontId="17" fillId="0" borderId="0" xfId="0" applyFont="1" applyBorder="1" applyAlignment="1">
      <alignment horizontal="center"/>
    </xf>
    <xf numFmtId="0" fontId="17" fillId="0" borderId="0" xfId="0" applyFont="1" applyBorder="1"/>
    <xf numFmtId="167" fontId="17" fillId="0" borderId="0" xfId="0" applyNumberFormat="1" applyFont="1" applyBorder="1"/>
    <xf numFmtId="165" fontId="16" fillId="0" borderId="0" xfId="330" applyFont="1"/>
    <xf numFmtId="0" fontId="16" fillId="0" borderId="4" xfId="0" applyFont="1" applyBorder="1" applyAlignment="1">
      <alignment horizontal="center" vertical="center" wrapText="1"/>
    </xf>
    <xf numFmtId="169" fontId="16" fillId="0" borderId="0" xfId="330" applyNumberFormat="1" applyFont="1"/>
    <xf numFmtId="49" fontId="16" fillId="0" borderId="0" xfId="0" applyNumberFormat="1" applyFont="1"/>
    <xf numFmtId="14" fontId="16" fillId="0" borderId="0" xfId="0" applyNumberFormat="1" applyFont="1"/>
    <xf numFmtId="0" fontId="20" fillId="0" borderId="0" xfId="0" applyFont="1"/>
    <xf numFmtId="0" fontId="19" fillId="0" borderId="0" xfId="0" applyFont="1"/>
    <xf numFmtId="0" fontId="16" fillId="0" borderId="0" xfId="0" applyFont="1" applyFill="1"/>
    <xf numFmtId="0" fontId="17" fillId="0" borderId="0" xfId="0" applyFont="1" applyFill="1" applyAlignment="1">
      <alignment horizontal="right"/>
    </xf>
    <xf numFmtId="1" fontId="16" fillId="0" borderId="0" xfId="0" applyNumberFormat="1" applyFont="1" applyFill="1" applyAlignment="1">
      <alignment horizontal="center" vertical="center" wrapText="1"/>
    </xf>
    <xf numFmtId="49" fontId="16" fillId="0" borderId="0" xfId="0" applyNumberFormat="1" applyFont="1" applyFill="1"/>
    <xf numFmtId="2" fontId="16" fillId="0" borderId="0" xfId="0" applyNumberFormat="1" applyFont="1" applyFill="1" applyAlignment="1">
      <alignment horizontal="right"/>
    </xf>
    <xf numFmtId="49" fontId="16" fillId="0" borderId="0" xfId="0" applyNumberFormat="1" applyFont="1" applyFill="1" applyAlignment="1">
      <alignment horizontal="justify" vertical="top" wrapText="1"/>
    </xf>
    <xf numFmtId="0" fontId="16" fillId="0" borderId="0" xfId="0" applyFont="1" applyFill="1" applyAlignment="1">
      <alignment horizontal="justify" vertical="top" wrapText="1"/>
    </xf>
    <xf numFmtId="0" fontId="17" fillId="0" borderId="0" xfId="0" applyFont="1" applyFill="1"/>
    <xf numFmtId="0" fontId="19" fillId="0" borderId="0" xfId="0" applyFont="1" applyAlignment="1">
      <alignment horizontal="center"/>
    </xf>
    <xf numFmtId="0" fontId="20" fillId="0" borderId="0" xfId="321" applyFont="1"/>
    <xf numFmtId="0" fontId="19" fillId="0" borderId="0" xfId="321" applyFont="1"/>
    <xf numFmtId="167" fontId="20" fillId="0" borderId="0" xfId="321" applyNumberFormat="1" applyFont="1"/>
    <xf numFmtId="167" fontId="19" fillId="0" borderId="0" xfId="321" applyNumberFormat="1" applyFont="1"/>
    <xf numFmtId="0" fontId="20" fillId="0" borderId="0" xfId="0" applyFont="1" applyBorder="1"/>
    <xf numFmtId="0" fontId="20" fillId="0" borderId="0" xfId="0" applyFont="1" applyAlignment="1">
      <alignment horizontal="center"/>
    </xf>
    <xf numFmtId="167" fontId="20" fillId="0" borderId="0" xfId="0" applyNumberFormat="1" applyFont="1"/>
    <xf numFmtId="0" fontId="22" fillId="0" borderId="0" xfId="0" applyFont="1"/>
    <xf numFmtId="0" fontId="20" fillId="0" borderId="0" xfId="0" applyFont="1" applyFill="1"/>
    <xf numFmtId="0" fontId="19" fillId="0" borderId="0" xfId="0" applyFont="1" applyFill="1" applyAlignment="1">
      <alignment horizontal="center"/>
    </xf>
    <xf numFmtId="167" fontId="20" fillId="0" borderId="2" xfId="0" applyNumberFormat="1" applyFont="1" applyFill="1" applyBorder="1"/>
    <xf numFmtId="0" fontId="19" fillId="0" borderId="5" xfId="0" applyFont="1" applyBorder="1"/>
    <xf numFmtId="0" fontId="20" fillId="0" borderId="6" xfId="0" applyFont="1" applyBorder="1"/>
    <xf numFmtId="0" fontId="19" fillId="0" borderId="7" xfId="0" applyFont="1" applyBorder="1" applyAlignment="1">
      <alignment horizontal="center"/>
    </xf>
    <xf numFmtId="167" fontId="19" fillId="0" borderId="7" xfId="0" applyNumberFormat="1" applyFont="1" applyFill="1" applyBorder="1" applyAlignment="1">
      <alignment horizontal="right" vertical="center"/>
    </xf>
    <xf numFmtId="0" fontId="19" fillId="0" borderId="8" xfId="0" applyFont="1" applyBorder="1" applyAlignment="1">
      <alignment horizontal="center" vertical="center" wrapText="1"/>
    </xf>
    <xf numFmtId="167" fontId="20" fillId="0" borderId="8" xfId="0" applyNumberFormat="1" applyFont="1" applyFill="1" applyBorder="1" applyAlignment="1">
      <alignment horizontal="right" vertical="center"/>
    </xf>
    <xf numFmtId="167" fontId="19" fillId="0" borderId="9" xfId="0" applyNumberFormat="1" applyFont="1" applyFill="1" applyBorder="1" applyAlignment="1">
      <alignment horizontal="right" vertical="center"/>
    </xf>
    <xf numFmtId="0" fontId="19" fillId="0" borderId="9" xfId="0" applyFont="1" applyBorder="1" applyAlignment="1">
      <alignment horizontal="center" vertical="center" wrapText="1"/>
    </xf>
    <xf numFmtId="0" fontId="24" fillId="0" borderId="0" xfId="0" applyFont="1"/>
    <xf numFmtId="166" fontId="20" fillId="0" borderId="0" xfId="0" applyNumberFormat="1" applyFont="1" applyBorder="1" applyAlignment="1">
      <alignment vertical="center"/>
    </xf>
    <xf numFmtId="167" fontId="17" fillId="2" borderId="10" xfId="0" applyNumberFormat="1" applyFont="1" applyFill="1" applyBorder="1" applyAlignment="1">
      <alignment horizontal="right" vertical="center"/>
    </xf>
    <xf numFmtId="0" fontId="17" fillId="0" borderId="11" xfId="0" applyFont="1" applyBorder="1" applyAlignment="1">
      <alignment horizontal="center"/>
    </xf>
    <xf numFmtId="0" fontId="17" fillId="0" borderId="12" xfId="0" applyFont="1" applyBorder="1" applyAlignment="1">
      <alignment horizontal="center"/>
    </xf>
    <xf numFmtId="0" fontId="17" fillId="2" borderId="13" xfId="0" applyFont="1" applyFill="1" applyBorder="1" applyAlignment="1">
      <alignment horizontal="center"/>
    </xf>
    <xf numFmtId="0" fontId="17" fillId="2" borderId="14" xfId="0" applyFont="1" applyFill="1" applyBorder="1"/>
    <xf numFmtId="167" fontId="17" fillId="2" borderId="14" xfId="0" applyNumberFormat="1" applyFont="1" applyFill="1" applyBorder="1" applyAlignment="1">
      <alignment horizontal="right" vertical="center"/>
    </xf>
    <xf numFmtId="167" fontId="17" fillId="2" borderId="15" xfId="0" applyNumberFormat="1" applyFont="1" applyFill="1" applyBorder="1" applyAlignment="1">
      <alignment horizontal="right" vertical="center"/>
    </xf>
    <xf numFmtId="167" fontId="16" fillId="0" borderId="16" xfId="0" applyNumberFormat="1" applyFont="1" applyBorder="1" applyAlignment="1">
      <alignment horizontal="right" vertical="center"/>
    </xf>
    <xf numFmtId="167" fontId="16" fillId="0" borderId="12" xfId="0" applyNumberFormat="1" applyFont="1" applyBorder="1" applyAlignment="1">
      <alignment horizontal="right" vertical="center"/>
    </xf>
    <xf numFmtId="0" fontId="16" fillId="2" borderId="17" xfId="0" applyFont="1" applyFill="1" applyBorder="1" applyAlignment="1">
      <alignment horizontal="center"/>
    </xf>
    <xf numFmtId="0" fontId="17" fillId="2" borderId="14" xfId="0" applyFont="1" applyFill="1" applyBorder="1" applyAlignment="1">
      <alignment horizontal="justify" vertical="center" wrapText="1"/>
    </xf>
    <xf numFmtId="0" fontId="16" fillId="0" borderId="4" xfId="0" applyFont="1" applyBorder="1" applyAlignment="1">
      <alignment horizontal="center"/>
    </xf>
    <xf numFmtId="0" fontId="17" fillId="2" borderId="7" xfId="0" applyFont="1" applyFill="1" applyBorder="1" applyAlignment="1">
      <alignment horizontal="center"/>
    </xf>
    <xf numFmtId="167" fontId="17" fillId="2" borderId="18" xfId="0" applyNumberFormat="1" applyFont="1" applyFill="1" applyBorder="1" applyAlignment="1">
      <alignment horizontal="right" vertical="center"/>
    </xf>
    <xf numFmtId="167" fontId="17" fillId="2" borderId="19" xfId="0" applyNumberFormat="1" applyFont="1" applyFill="1" applyBorder="1" applyAlignment="1">
      <alignment horizontal="right" vertical="center"/>
    </xf>
    <xf numFmtId="167" fontId="16" fillId="0" borderId="16" xfId="0" applyNumberFormat="1" applyFont="1" applyBorder="1"/>
    <xf numFmtId="0" fontId="16" fillId="0" borderId="16" xfId="0" applyFont="1" applyBorder="1" applyAlignment="1">
      <alignment horizontal="left" vertical="center" wrapText="1"/>
    </xf>
    <xf numFmtId="0" fontId="16" fillId="0" borderId="16" xfId="0" applyFont="1" applyBorder="1" applyAlignment="1">
      <alignment horizontal="justify" vertical="center" wrapText="1"/>
    </xf>
    <xf numFmtId="0" fontId="16" fillId="3" borderId="20" xfId="0" applyFont="1" applyFill="1" applyBorder="1"/>
    <xf numFmtId="0" fontId="17" fillId="3" borderId="21" xfId="0" applyFont="1" applyFill="1" applyBorder="1"/>
    <xf numFmtId="167" fontId="17" fillId="3" borderId="21" xfId="0" applyNumberFormat="1" applyFont="1" applyFill="1" applyBorder="1" applyAlignment="1">
      <alignment horizontal="right"/>
    </xf>
    <xf numFmtId="166" fontId="17" fillId="3" borderId="21" xfId="0" applyNumberFormat="1" applyFont="1" applyFill="1" applyBorder="1"/>
    <xf numFmtId="0" fontId="17" fillId="3" borderId="22" xfId="0" applyFont="1" applyFill="1" applyBorder="1" applyAlignment="1">
      <alignment horizontal="center"/>
    </xf>
    <xf numFmtId="0" fontId="38" fillId="0" borderId="0" xfId="0" applyFont="1" applyAlignment="1">
      <alignment horizontal="right"/>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xf numFmtId="14" fontId="16" fillId="0" borderId="2" xfId="0" applyNumberFormat="1" applyFont="1" applyBorder="1" applyAlignment="1">
      <alignment horizontal="center" vertical="center" wrapText="1"/>
    </xf>
    <xf numFmtId="3" fontId="38" fillId="0" borderId="2" xfId="0" applyNumberFormat="1" applyFont="1" applyBorder="1" applyAlignment="1">
      <alignment horizontal="center" vertical="center" wrapText="1"/>
    </xf>
    <xf numFmtId="9" fontId="38" fillId="0" borderId="2" xfId="327" applyFont="1" applyBorder="1" applyAlignment="1">
      <alignment horizontal="center" vertical="center" wrapText="1"/>
    </xf>
    <xf numFmtId="0" fontId="38" fillId="0" borderId="4" xfId="0" applyFont="1" applyBorder="1" applyAlignment="1">
      <alignment horizontal="center" vertical="center" wrapText="1"/>
    </xf>
    <xf numFmtId="0" fontId="40" fillId="4" borderId="23" xfId="0" applyFont="1" applyFill="1" applyBorder="1" applyAlignment="1">
      <alignment horizontal="center" vertical="center" wrapText="1"/>
    </xf>
    <xf numFmtId="0" fontId="40" fillId="4" borderId="24" xfId="0" applyFont="1" applyFill="1" applyBorder="1" applyAlignment="1">
      <alignment horizontal="center" vertical="center" wrapText="1"/>
    </xf>
    <xf numFmtId="0" fontId="40" fillId="4" borderId="25" xfId="0" applyFont="1" applyFill="1" applyBorder="1" applyAlignment="1">
      <alignment horizontal="center" vertical="center" wrapText="1"/>
    </xf>
    <xf numFmtId="0" fontId="40" fillId="0" borderId="0" xfId="0" applyFont="1"/>
    <xf numFmtId="0" fontId="17" fillId="4" borderId="20" xfId="0" applyFont="1" applyFill="1" applyBorder="1" applyAlignment="1">
      <alignment horizontal="center" vertical="center" wrapText="1"/>
    </xf>
    <xf numFmtId="0" fontId="17" fillId="4" borderId="21" xfId="0" applyFont="1" applyFill="1" applyBorder="1" applyAlignment="1">
      <alignment horizontal="center" vertical="center" wrapText="1"/>
    </xf>
    <xf numFmtId="165" fontId="17" fillId="4" borderId="21" xfId="330" applyFont="1" applyFill="1" applyBorder="1" applyAlignment="1">
      <alignment horizontal="right" vertical="center" wrapText="1"/>
    </xf>
    <xf numFmtId="0" fontId="17" fillId="4" borderId="22" xfId="0" applyFont="1" applyFill="1" applyBorder="1" applyAlignment="1">
      <alignment horizontal="center" vertical="top" wrapText="1"/>
    </xf>
    <xf numFmtId="167" fontId="16" fillId="2" borderId="2" xfId="0" applyNumberFormat="1" applyFont="1" applyFill="1" applyBorder="1"/>
    <xf numFmtId="167" fontId="16" fillId="2" borderId="16" xfId="0" applyNumberFormat="1" applyFont="1" applyFill="1" applyBorder="1"/>
    <xf numFmtId="0" fontId="19" fillId="0" borderId="26" xfId="0" applyFont="1" applyBorder="1"/>
    <xf numFmtId="166" fontId="20" fillId="0" borderId="0" xfId="0" applyNumberFormat="1" applyFont="1"/>
    <xf numFmtId="0" fontId="38" fillId="0" borderId="0" xfId="320" applyFont="1"/>
    <xf numFmtId="0" fontId="42" fillId="0" borderId="0" xfId="320" applyFont="1" applyAlignment="1">
      <alignment horizontal="center"/>
    </xf>
    <xf numFmtId="0" fontId="42" fillId="0" borderId="0" xfId="320" applyFont="1"/>
    <xf numFmtId="0" fontId="38" fillId="0" borderId="0" xfId="320" applyFont="1" applyAlignment="1">
      <alignment horizontal="justify"/>
    </xf>
    <xf numFmtId="0" fontId="42" fillId="0" borderId="0" xfId="0" applyFont="1"/>
    <xf numFmtId="4" fontId="38" fillId="0" borderId="0" xfId="320" applyNumberFormat="1" applyFont="1"/>
    <xf numFmtId="0" fontId="42" fillId="4" borderId="20" xfId="320" applyFont="1" applyFill="1" applyBorder="1" applyAlignment="1">
      <alignment horizontal="justify" vertical="top" wrapText="1"/>
    </xf>
    <xf numFmtId="0" fontId="42" fillId="4" borderId="21" xfId="320" applyFont="1" applyFill="1" applyBorder="1" applyAlignment="1">
      <alignment horizontal="center" vertical="top" wrapText="1"/>
    </xf>
    <xf numFmtId="0" fontId="42" fillId="4" borderId="22" xfId="320" applyFont="1" applyFill="1" applyBorder="1" applyAlignment="1">
      <alignment horizontal="center" vertical="top" wrapText="1"/>
    </xf>
    <xf numFmtId="0" fontId="38" fillId="0" borderId="4" xfId="320" applyFont="1" applyBorder="1" applyAlignment="1">
      <alignment horizontal="center" vertical="top" wrapText="1"/>
    </xf>
    <xf numFmtId="0" fontId="43" fillId="0" borderId="0" xfId="321" applyFont="1"/>
    <xf numFmtId="167" fontId="19" fillId="4" borderId="20" xfId="321" applyNumberFormat="1" applyFont="1" applyFill="1" applyBorder="1"/>
    <xf numFmtId="167" fontId="19" fillId="4" borderId="21" xfId="321" applyNumberFormat="1" applyFont="1" applyFill="1" applyBorder="1" applyAlignment="1">
      <alignment horizontal="center" vertical="center"/>
    </xf>
    <xf numFmtId="0" fontId="43" fillId="4" borderId="23" xfId="321" applyFont="1" applyFill="1" applyBorder="1" applyAlignment="1">
      <alignment horizontal="center" vertical="center" wrapText="1"/>
    </xf>
    <xf numFmtId="0" fontId="43" fillId="4" borderId="24" xfId="321" applyFont="1" applyFill="1" applyBorder="1" applyAlignment="1">
      <alignment horizontal="center" vertical="center" wrapText="1"/>
    </xf>
    <xf numFmtId="0" fontId="43" fillId="4" borderId="25" xfId="321" applyFont="1" applyFill="1" applyBorder="1" applyAlignment="1">
      <alignment horizontal="center" vertical="center" wrapText="1"/>
    </xf>
    <xf numFmtId="166" fontId="20" fillId="2" borderId="0" xfId="0" applyNumberFormat="1" applyFont="1" applyFill="1" applyBorder="1"/>
    <xf numFmtId="0" fontId="20" fillId="2" borderId="0" xfId="0" applyFont="1" applyFill="1"/>
    <xf numFmtId="3" fontId="38" fillId="0" borderId="16" xfId="0" applyNumberFormat="1" applyFont="1" applyBorder="1" applyAlignment="1">
      <alignment horizontal="left" vertical="center" wrapText="1"/>
    </xf>
    <xf numFmtId="167" fontId="19" fillId="4" borderId="21" xfId="321" applyNumberFormat="1" applyFont="1" applyFill="1" applyBorder="1" applyAlignment="1">
      <alignment horizontal="center"/>
    </xf>
    <xf numFmtId="167" fontId="19" fillId="4" borderId="22" xfId="321" applyNumberFormat="1" applyFont="1" applyFill="1" applyBorder="1" applyAlignment="1">
      <alignment horizontal="center"/>
    </xf>
    <xf numFmtId="3" fontId="38" fillId="0" borderId="12" xfId="0" applyNumberFormat="1" applyFont="1" applyBorder="1" applyAlignment="1">
      <alignment vertical="center" wrapText="1"/>
    </xf>
    <xf numFmtId="1" fontId="38" fillId="0" borderId="4" xfId="0" applyNumberFormat="1" applyFont="1" applyFill="1" applyBorder="1" applyAlignment="1">
      <alignment horizontal="center" vertical="center" wrapText="1"/>
    </xf>
    <xf numFmtId="0" fontId="38" fillId="0" borderId="0" xfId="0" applyFont="1" applyFill="1"/>
    <xf numFmtId="14" fontId="38" fillId="0" borderId="2" xfId="0" applyNumberFormat="1" applyFont="1" applyFill="1" applyBorder="1" applyAlignment="1">
      <alignment horizontal="center" vertical="center" wrapText="1"/>
    </xf>
    <xf numFmtId="0" fontId="44" fillId="0" borderId="3" xfId="0" applyFont="1" applyBorder="1" applyAlignment="1">
      <alignment vertical="center" wrapText="1"/>
    </xf>
    <xf numFmtId="49" fontId="38" fillId="0" borderId="2" xfId="0" applyNumberFormat="1" applyFont="1" applyFill="1" applyBorder="1" applyAlignment="1">
      <alignment horizontal="center" vertical="center" wrapText="1"/>
    </xf>
    <xf numFmtId="3" fontId="38" fillId="0" borderId="2" xfId="0" applyNumberFormat="1" applyFont="1" applyFill="1" applyBorder="1" applyAlignment="1">
      <alignment horizontal="center" vertical="center" wrapText="1"/>
    </xf>
    <xf numFmtId="49" fontId="38" fillId="0" borderId="2" xfId="0" applyNumberFormat="1" applyFont="1" applyFill="1" applyBorder="1" applyAlignment="1">
      <alignment horizontal="center" vertical="top" wrapText="1"/>
    </xf>
    <xf numFmtId="49" fontId="38" fillId="0" borderId="16" xfId="0" applyNumberFormat="1" applyFont="1" applyFill="1" applyBorder="1" applyAlignment="1">
      <alignment horizontal="center" vertical="top" wrapText="1"/>
    </xf>
    <xf numFmtId="3" fontId="18" fillId="0" borderId="0" xfId="0" applyNumberFormat="1" applyFont="1"/>
    <xf numFmtId="0" fontId="18" fillId="0" borderId="0" xfId="0" applyFont="1" applyAlignment="1">
      <alignment horizontal="right"/>
    </xf>
    <xf numFmtId="0" fontId="45" fillId="4" borderId="13" xfId="0" applyFont="1" applyFill="1" applyBorder="1" applyAlignment="1">
      <alignment horizontal="center" vertical="center"/>
    </xf>
    <xf numFmtId="0" fontId="45" fillId="4" borderId="14" xfId="0" applyFont="1" applyFill="1" applyBorder="1" applyAlignment="1">
      <alignment horizontal="center" vertical="center"/>
    </xf>
    <xf numFmtId="0" fontId="45" fillId="0" borderId="0" xfId="0" applyFont="1"/>
    <xf numFmtId="0" fontId="18" fillId="0" borderId="4" xfId="0" applyFont="1" applyBorder="1" applyAlignment="1">
      <alignment horizontal="center" vertical="center" wrapText="1"/>
    </xf>
    <xf numFmtId="14" fontId="18" fillId="0" borderId="2" xfId="0" applyNumberFormat="1" applyFont="1" applyBorder="1" applyAlignment="1">
      <alignment horizontal="center" vertical="center" wrapText="1"/>
    </xf>
    <xf numFmtId="0" fontId="18" fillId="0" borderId="2" xfId="0" applyFont="1" applyBorder="1" applyAlignment="1">
      <alignment horizontal="left" vertical="center" wrapText="1"/>
    </xf>
    <xf numFmtId="0" fontId="23" fillId="5" borderId="0" xfId="0" applyFont="1" applyFill="1"/>
    <xf numFmtId="49" fontId="22" fillId="0" borderId="0" xfId="0" applyNumberFormat="1" applyFont="1"/>
    <xf numFmtId="172" fontId="23" fillId="5" borderId="0" xfId="0" applyNumberFormat="1" applyFont="1" applyFill="1"/>
    <xf numFmtId="49" fontId="22" fillId="0" borderId="0" xfId="0" applyNumberFormat="1" applyFont="1" applyFill="1"/>
    <xf numFmtId="0" fontId="23" fillId="5" borderId="0" xfId="0" applyFont="1" applyFill="1" applyAlignment="1"/>
    <xf numFmtId="0" fontId="38" fillId="0" borderId="27" xfId="0" applyFont="1" applyBorder="1" applyAlignment="1">
      <alignment horizontal="center" vertical="center" wrapText="1"/>
    </xf>
    <xf numFmtId="0" fontId="38" fillId="0" borderId="0" xfId="0" applyFont="1"/>
    <xf numFmtId="0" fontId="19" fillId="2" borderId="21" xfId="0" applyFont="1" applyFill="1" applyBorder="1"/>
    <xf numFmtId="167" fontId="19" fillId="2" borderId="21" xfId="0" applyNumberFormat="1" applyFont="1" applyFill="1" applyBorder="1" applyAlignment="1">
      <alignment horizontal="right" vertical="center"/>
    </xf>
    <xf numFmtId="0" fontId="46" fillId="0" borderId="0" xfId="0" applyFont="1"/>
    <xf numFmtId="0" fontId="47" fillId="0" borderId="0" xfId="0" applyFont="1"/>
    <xf numFmtId="0" fontId="38" fillId="0" borderId="28" xfId="0" applyFont="1" applyBorder="1" applyAlignment="1">
      <alignment horizontal="center" vertical="center" wrapText="1"/>
    </xf>
    <xf numFmtId="0" fontId="38" fillId="0" borderId="21" xfId="0" applyFont="1" applyBorder="1" applyAlignment="1">
      <alignment horizontal="center" vertical="center" wrapText="1"/>
    </xf>
    <xf numFmtId="0" fontId="38" fillId="0" borderId="29" xfId="0" applyFont="1" applyBorder="1" applyAlignment="1">
      <alignment horizontal="center" vertical="center" wrapText="1"/>
    </xf>
    <xf numFmtId="0" fontId="40" fillId="4" borderId="13" xfId="320" applyFont="1" applyFill="1" applyBorder="1" applyAlignment="1">
      <alignment horizontal="center" vertical="top" wrapText="1"/>
    </xf>
    <xf numFmtId="0" fontId="40" fillId="4" borderId="14" xfId="320" applyFont="1" applyFill="1" applyBorder="1" applyAlignment="1">
      <alignment horizontal="center" vertical="top" wrapText="1"/>
    </xf>
    <xf numFmtId="0" fontId="40" fillId="4" borderId="24" xfId="320" applyFont="1" applyFill="1" applyBorder="1" applyAlignment="1">
      <alignment horizontal="center" vertical="top" wrapText="1"/>
    </xf>
    <xf numFmtId="0" fontId="40" fillId="4" borderId="15" xfId="320" applyFont="1" applyFill="1" applyBorder="1" applyAlignment="1">
      <alignment horizontal="center" vertical="top" wrapText="1"/>
    </xf>
    <xf numFmtId="0" fontId="40" fillId="0" borderId="0" xfId="320" applyFont="1"/>
    <xf numFmtId="0" fontId="38" fillId="0" borderId="11" xfId="0" applyFont="1" applyBorder="1" applyAlignment="1">
      <alignment horizontal="center"/>
    </xf>
    <xf numFmtId="0" fontId="38" fillId="0" borderId="12" xfId="0" applyFont="1" applyBorder="1" applyAlignment="1">
      <alignment horizontal="center"/>
    </xf>
    <xf numFmtId="0" fontId="40" fillId="6" borderId="13" xfId="0" applyFont="1" applyFill="1" applyBorder="1" applyAlignment="1">
      <alignment horizontal="center" vertical="center" wrapText="1"/>
    </xf>
    <xf numFmtId="0" fontId="40" fillId="6" borderId="14" xfId="0" applyFont="1" applyFill="1" applyBorder="1" applyAlignment="1">
      <alignment horizontal="center" vertical="center" wrapText="1"/>
    </xf>
    <xf numFmtId="0" fontId="40" fillId="6" borderId="15" xfId="0" applyFont="1" applyFill="1" applyBorder="1" applyAlignment="1">
      <alignment horizontal="center" vertical="center" wrapText="1"/>
    </xf>
    <xf numFmtId="0" fontId="19" fillId="0" borderId="4" xfId="0" applyFont="1" applyBorder="1"/>
    <xf numFmtId="0" fontId="48" fillId="0" borderId="2" xfId="0" applyFont="1" applyBorder="1"/>
    <xf numFmtId="0" fontId="49" fillId="0" borderId="2" xfId="0" applyFont="1" applyBorder="1"/>
    <xf numFmtId="0" fontId="49" fillId="0" borderId="2" xfId="0" applyFont="1" applyBorder="1" applyAlignment="1">
      <alignment horizontal="left" vertical="center" wrapText="1"/>
    </xf>
    <xf numFmtId="0" fontId="50" fillId="0" borderId="0" xfId="0" applyFont="1"/>
    <xf numFmtId="0" fontId="50" fillId="0" borderId="0" xfId="0" applyFont="1" applyBorder="1"/>
    <xf numFmtId="0" fontId="47" fillId="0" borderId="4" xfId="0" applyFont="1" applyBorder="1" applyAlignment="1">
      <alignment horizontal="right"/>
    </xf>
    <xf numFmtId="0" fontId="47" fillId="0" borderId="0" xfId="0" applyFont="1" applyBorder="1"/>
    <xf numFmtId="0" fontId="40" fillId="6" borderId="14" xfId="0" applyFont="1" applyFill="1" applyBorder="1" applyAlignment="1">
      <alignment horizontal="center" vertical="center"/>
    </xf>
    <xf numFmtId="1" fontId="40" fillId="4" borderId="23" xfId="0" applyNumberFormat="1" applyFont="1" applyFill="1" applyBorder="1" applyAlignment="1">
      <alignment horizontal="center" vertical="center" wrapText="1"/>
    </xf>
    <xf numFmtId="49" fontId="40" fillId="4" borderId="24" xfId="0" applyNumberFormat="1" applyFont="1" applyFill="1" applyBorder="1" applyAlignment="1">
      <alignment horizontal="center" vertical="center" wrapText="1"/>
    </xf>
    <xf numFmtId="1" fontId="40" fillId="4" borderId="24" xfId="0" applyNumberFormat="1" applyFont="1" applyFill="1" applyBorder="1" applyAlignment="1">
      <alignment horizontal="center" vertical="center" wrapText="1"/>
    </xf>
    <xf numFmtId="49" fontId="40" fillId="4" borderId="25" xfId="0" applyNumberFormat="1" applyFont="1" applyFill="1" applyBorder="1" applyAlignment="1">
      <alignment horizontal="center" vertical="center" wrapText="1"/>
    </xf>
    <xf numFmtId="1" fontId="38" fillId="0" borderId="30" xfId="0" applyNumberFormat="1" applyFont="1" applyFill="1" applyBorder="1" applyAlignment="1">
      <alignment horizontal="center" vertical="center" wrapText="1"/>
    </xf>
    <xf numFmtId="49" fontId="38" fillId="0" borderId="31" xfId="0" applyNumberFormat="1" applyFont="1" applyFill="1" applyBorder="1" applyAlignment="1">
      <alignment horizontal="center" vertical="center" wrapText="1"/>
    </xf>
    <xf numFmtId="2" fontId="38" fillId="0" borderId="32" xfId="0" applyNumberFormat="1" applyFont="1" applyFill="1" applyBorder="1" applyAlignment="1">
      <alignment horizontal="center" vertical="center" wrapText="1"/>
    </xf>
    <xf numFmtId="49" fontId="38" fillId="0" borderId="32" xfId="0" applyNumberFormat="1" applyFont="1" applyFill="1" applyBorder="1" applyAlignment="1">
      <alignment horizontal="center" vertical="center" wrapText="1"/>
    </xf>
    <xf numFmtId="0" fontId="38" fillId="0" borderId="0" xfId="0" applyFont="1" applyFill="1" applyAlignment="1">
      <alignment horizontal="center"/>
    </xf>
    <xf numFmtId="3" fontId="38" fillId="0" borderId="0" xfId="0" applyNumberFormat="1" applyFont="1" applyFill="1"/>
    <xf numFmtId="170" fontId="38" fillId="0" borderId="0" xfId="330" applyNumberFormat="1" applyFont="1" applyFill="1" applyAlignment="1">
      <alignment horizontal="center"/>
    </xf>
    <xf numFmtId="0" fontId="42" fillId="0" borderId="0" xfId="0" applyFont="1" applyFill="1" applyAlignment="1">
      <alignment horizontal="center"/>
    </xf>
    <xf numFmtId="4" fontId="38" fillId="0" borderId="0" xfId="0" applyNumberFormat="1" applyFont="1" applyFill="1"/>
    <xf numFmtId="0" fontId="42" fillId="0" borderId="0" xfId="0" applyFont="1" applyFill="1"/>
    <xf numFmtId="170" fontId="42" fillId="0" borderId="0" xfId="330" applyNumberFormat="1" applyFont="1" applyFill="1" applyAlignment="1">
      <alignment horizontal="left"/>
    </xf>
    <xf numFmtId="165" fontId="38" fillId="0" borderId="0" xfId="330" applyFont="1" applyFill="1"/>
    <xf numFmtId="0" fontId="42" fillId="6" borderId="20" xfId="0" applyFont="1" applyFill="1" applyBorder="1" applyAlignment="1">
      <alignment horizontal="center" vertical="center" wrapText="1"/>
    </xf>
    <xf numFmtId="0" fontId="42" fillId="6" borderId="21" xfId="0" applyFont="1" applyFill="1" applyBorder="1" applyAlignment="1">
      <alignment horizontal="left" vertical="center" wrapText="1"/>
    </xf>
    <xf numFmtId="0" fontId="42" fillId="6" borderId="21" xfId="0" applyFont="1" applyFill="1" applyBorder="1" applyAlignment="1">
      <alignment horizontal="center" vertical="top" wrapText="1"/>
    </xf>
    <xf numFmtId="0" fontId="42" fillId="6" borderId="22" xfId="0" applyFont="1" applyFill="1" applyBorder="1" applyAlignment="1">
      <alignment horizontal="center" vertical="top" wrapText="1"/>
    </xf>
    <xf numFmtId="0" fontId="40" fillId="6" borderId="24" xfId="0" applyFont="1" applyFill="1" applyBorder="1" applyAlignment="1">
      <alignment horizontal="center" vertical="center" wrapText="1"/>
    </xf>
    <xf numFmtId="3" fontId="38" fillId="0" borderId="21" xfId="0" applyNumberFormat="1" applyFont="1" applyFill="1" applyBorder="1" applyAlignment="1">
      <alignment horizontal="center" vertical="center" wrapText="1"/>
    </xf>
    <xf numFmtId="0" fontId="38" fillId="0" borderId="22" xfId="0" applyFont="1" applyFill="1" applyBorder="1" applyAlignment="1">
      <alignment horizontal="center" vertical="center" wrapText="1"/>
    </xf>
    <xf numFmtId="0" fontId="38" fillId="0" borderId="20" xfId="0" applyFont="1" applyFill="1" applyBorder="1" applyAlignment="1">
      <alignment horizontal="center" vertical="center" wrapText="1"/>
    </xf>
    <xf numFmtId="0" fontId="52" fillId="0" borderId="0" xfId="0" applyFont="1"/>
    <xf numFmtId="49" fontId="52" fillId="0" borderId="0" xfId="0" applyNumberFormat="1" applyFont="1"/>
    <xf numFmtId="0" fontId="44" fillId="0" borderId="27" xfId="0" applyFont="1" applyBorder="1" applyAlignment="1">
      <alignment horizontal="center" vertical="center" wrapText="1"/>
    </xf>
    <xf numFmtId="49" fontId="44" fillId="0" borderId="27" xfId="0" applyNumberFormat="1" applyFont="1" applyBorder="1" applyAlignment="1">
      <alignment horizontal="center" vertical="center" wrapText="1"/>
    </xf>
    <xf numFmtId="49" fontId="44" fillId="0" borderId="2" xfId="0" applyNumberFormat="1" applyFont="1" applyBorder="1" applyAlignment="1">
      <alignment horizontal="center" vertical="center" wrapText="1"/>
    </xf>
    <xf numFmtId="178" fontId="44" fillId="0" borderId="2" xfId="0" applyNumberFormat="1" applyFont="1" applyBorder="1" applyAlignment="1">
      <alignment horizontal="right" vertical="center" wrapText="1"/>
    </xf>
    <xf numFmtId="0" fontId="44" fillId="0" borderId="2" xfId="0" applyFont="1" applyBorder="1" applyAlignment="1">
      <alignment horizontal="right" vertical="center" wrapText="1"/>
    </xf>
    <xf numFmtId="4" fontId="44" fillId="0" borderId="2" xfId="0" applyNumberFormat="1" applyFont="1" applyBorder="1" applyAlignment="1">
      <alignment horizontal="center" vertical="center" wrapText="1"/>
    </xf>
    <xf numFmtId="4" fontId="44" fillId="0" borderId="2" xfId="0" applyNumberFormat="1" applyFont="1" applyBorder="1" applyAlignment="1">
      <alignment horizontal="right" vertical="center" wrapText="1"/>
    </xf>
    <xf numFmtId="3" fontId="44" fillId="0" borderId="2" xfId="0" applyNumberFormat="1" applyFont="1" applyBorder="1" applyAlignment="1">
      <alignment horizontal="right" vertical="center" wrapText="1"/>
    </xf>
    <xf numFmtId="0" fontId="44" fillId="0" borderId="0" xfId="0" applyFont="1" applyBorder="1" applyAlignment="1">
      <alignment horizontal="center" vertical="center" wrapText="1"/>
    </xf>
    <xf numFmtId="0" fontId="44" fillId="0" borderId="2" xfId="0" applyFont="1" applyBorder="1" applyAlignment="1">
      <alignment horizontal="center" vertical="center" wrapText="1"/>
    </xf>
    <xf numFmtId="0" fontId="44" fillId="6" borderId="13" xfId="0" applyFont="1" applyFill="1" applyBorder="1" applyAlignment="1">
      <alignment horizontal="center" vertical="center" wrapText="1"/>
    </xf>
    <xf numFmtId="49" fontId="44" fillId="6" borderId="14" xfId="0" applyNumberFormat="1" applyFont="1" applyFill="1" applyBorder="1" applyAlignment="1">
      <alignment horizontal="center" vertical="center" wrapText="1"/>
    </xf>
    <xf numFmtId="0" fontId="44" fillId="6" borderId="14" xfId="0" applyFont="1" applyFill="1" applyBorder="1" applyAlignment="1">
      <alignment horizontal="center" vertical="center" wrapText="1"/>
    </xf>
    <xf numFmtId="0" fontId="44" fillId="6" borderId="15" xfId="0" applyFont="1" applyFill="1" applyBorder="1" applyAlignment="1">
      <alignment horizontal="center" vertical="center" wrapText="1"/>
    </xf>
    <xf numFmtId="0" fontId="44" fillId="0" borderId="4" xfId="0" applyFont="1" applyBorder="1" applyAlignment="1">
      <alignment horizontal="center" vertical="center" wrapText="1"/>
    </xf>
    <xf numFmtId="0" fontId="54" fillId="6" borderId="20" xfId="0" applyFont="1" applyFill="1" applyBorder="1" applyAlignment="1">
      <alignment horizontal="center" vertical="center" wrapText="1"/>
    </xf>
    <xf numFmtId="49" fontId="54" fillId="6" borderId="21" xfId="0" applyNumberFormat="1" applyFont="1" applyFill="1" applyBorder="1" applyAlignment="1">
      <alignment horizontal="center" vertical="center" wrapText="1"/>
    </xf>
    <xf numFmtId="4" fontId="54" fillId="6" borderId="21" xfId="0" applyNumberFormat="1" applyFont="1" applyFill="1" applyBorder="1" applyAlignment="1">
      <alignment horizontal="center" vertical="center" wrapText="1"/>
    </xf>
    <xf numFmtId="0" fontId="54" fillId="6" borderId="21" xfId="0" applyFont="1" applyFill="1" applyBorder="1" applyAlignment="1">
      <alignment horizontal="justify" vertical="center" wrapText="1"/>
    </xf>
    <xf numFmtId="4" fontId="54" fillId="6" borderId="22" xfId="0" applyNumberFormat="1" applyFont="1" applyFill="1" applyBorder="1" applyAlignment="1">
      <alignment horizontal="center" vertical="center" wrapText="1"/>
    </xf>
    <xf numFmtId="0" fontId="54" fillId="6" borderId="21" xfId="0" applyFont="1" applyFill="1" applyBorder="1" applyAlignment="1">
      <alignment horizontal="center" vertical="center" wrapText="1"/>
    </xf>
    <xf numFmtId="0" fontId="44" fillId="0" borderId="0" xfId="0" applyFont="1" applyBorder="1" applyAlignment="1">
      <alignment horizontal="justify" vertical="top" wrapText="1"/>
    </xf>
    <xf numFmtId="166" fontId="44" fillId="0" borderId="0" xfId="0" applyNumberFormat="1" applyFont="1" applyBorder="1" applyAlignment="1">
      <alignment horizontal="right" vertical="center" wrapText="1"/>
    </xf>
    <xf numFmtId="0" fontId="44" fillId="0" borderId="0" xfId="0" applyFont="1" applyBorder="1" applyAlignment="1">
      <alignment horizontal="right" vertical="center" wrapText="1"/>
    </xf>
    <xf numFmtId="0" fontId="44" fillId="0" borderId="0" xfId="0" applyFont="1" applyBorder="1" applyAlignment="1">
      <alignment horizontal="justify" vertical="center" wrapText="1"/>
    </xf>
    <xf numFmtId="0" fontId="44" fillId="0" borderId="33" xfId="0" applyFont="1" applyBorder="1" applyAlignment="1">
      <alignment horizontal="center" vertical="center" wrapText="1"/>
    </xf>
    <xf numFmtId="0" fontId="44" fillId="0" borderId="20" xfId="0" applyFont="1" applyBorder="1" applyAlignment="1">
      <alignment horizontal="center" vertical="center" wrapText="1"/>
    </xf>
    <xf numFmtId="0" fontId="44" fillId="0" borderId="21" xfId="0" applyFont="1" applyBorder="1" applyAlignment="1">
      <alignment horizontal="center" vertical="center" wrapText="1"/>
    </xf>
    <xf numFmtId="0" fontId="44" fillId="0" borderId="22" xfId="0" applyFont="1" applyBorder="1" applyAlignment="1">
      <alignment horizontal="center" vertical="center" wrapText="1"/>
    </xf>
    <xf numFmtId="0" fontId="44" fillId="0" borderId="28" xfId="0" applyFont="1" applyBorder="1" applyAlignment="1">
      <alignment horizontal="center" vertical="center" wrapText="1"/>
    </xf>
    <xf numFmtId="0" fontId="54" fillId="6" borderId="22" xfId="0" applyFont="1" applyFill="1" applyBorder="1" applyAlignment="1">
      <alignment horizontal="center" vertical="center" wrapText="1"/>
    </xf>
    <xf numFmtId="0" fontId="44" fillId="0" borderId="34" xfId="0" applyFont="1" applyBorder="1" applyAlignment="1">
      <alignment horizontal="center" vertical="center" wrapText="1"/>
    </xf>
    <xf numFmtId="0" fontId="44" fillId="0" borderId="16" xfId="0" applyFont="1" applyBorder="1" applyAlignment="1">
      <alignment horizontal="center" vertical="center" wrapText="1"/>
    </xf>
    <xf numFmtId="0" fontId="54" fillId="0" borderId="0" xfId="0" applyFont="1"/>
    <xf numFmtId="0" fontId="19" fillId="0" borderId="0" xfId="0" applyFont="1" applyAlignment="1">
      <alignment wrapText="1"/>
    </xf>
    <xf numFmtId="0" fontId="52" fillId="0" borderId="27" xfId="0" applyFont="1" applyBorder="1" applyAlignment="1">
      <alignment horizontal="center" vertical="center"/>
    </xf>
    <xf numFmtId="3" fontId="52" fillId="0" borderId="27" xfId="0" applyNumberFormat="1" applyFont="1" applyBorder="1" applyAlignment="1">
      <alignment horizontal="center" vertical="center"/>
    </xf>
    <xf numFmtId="0" fontId="44" fillId="0" borderId="0" xfId="0" applyFont="1" applyFill="1"/>
    <xf numFmtId="0" fontId="54" fillId="0" borderId="0" xfId="0" applyFont="1" applyFill="1"/>
    <xf numFmtId="0" fontId="44" fillId="0" borderId="2" xfId="0" applyFont="1" applyBorder="1"/>
    <xf numFmtId="0" fontId="44" fillId="0" borderId="0" xfId="0" applyFont="1"/>
    <xf numFmtId="0" fontId="20" fillId="2" borderId="6" xfId="0" applyFont="1" applyFill="1" applyBorder="1"/>
    <xf numFmtId="0" fontId="19" fillId="2" borderId="7" xfId="0" applyFont="1" applyFill="1" applyBorder="1" applyAlignment="1">
      <alignment horizontal="center"/>
    </xf>
    <xf numFmtId="167" fontId="19" fillId="2" borderId="7" xfId="0" applyNumberFormat="1" applyFont="1" applyFill="1" applyBorder="1" applyAlignment="1">
      <alignment horizontal="right" vertical="center"/>
    </xf>
    <xf numFmtId="167" fontId="19" fillId="2" borderId="35" xfId="0" applyNumberFormat="1" applyFont="1" applyFill="1" applyBorder="1" applyAlignment="1">
      <alignment horizontal="right" vertical="center"/>
    </xf>
    <xf numFmtId="2" fontId="38" fillId="0" borderId="0" xfId="0" applyNumberFormat="1" applyFont="1" applyFill="1"/>
    <xf numFmtId="0" fontId="38" fillId="0" borderId="0" xfId="0" applyFont="1" applyFill="1" applyAlignment="1">
      <alignment horizontal="justify" vertical="top" wrapText="1"/>
    </xf>
    <xf numFmtId="0" fontId="56" fillId="0" borderId="0" xfId="0" applyFont="1" applyAlignment="1">
      <alignment horizontal="right"/>
    </xf>
    <xf numFmtId="0" fontId="57" fillId="0" borderId="0" xfId="0" applyFont="1" applyAlignment="1">
      <alignment horizontal="right"/>
    </xf>
    <xf numFmtId="0" fontId="16" fillId="0" borderId="23" xfId="0" applyFont="1" applyFill="1" applyBorder="1" applyAlignment="1">
      <alignment horizontal="center"/>
    </xf>
    <xf numFmtId="167" fontId="17" fillId="0" borderId="24" xfId="0" applyNumberFormat="1" applyFont="1" applyFill="1" applyBorder="1" applyAlignment="1">
      <alignment horizontal="right" vertical="center"/>
    </xf>
    <xf numFmtId="167" fontId="17" fillId="0" borderId="25" xfId="0" applyNumberFormat="1" applyFont="1" applyFill="1" applyBorder="1" applyAlignment="1">
      <alignment horizontal="right" vertical="center"/>
    </xf>
    <xf numFmtId="0" fontId="17" fillId="0" borderId="21" xfId="0" applyFont="1" applyFill="1" applyBorder="1" applyAlignment="1">
      <alignment horizontal="justify" vertical="center" wrapText="1"/>
    </xf>
    <xf numFmtId="167" fontId="17" fillId="0" borderId="21" xfId="0" applyNumberFormat="1" applyFont="1" applyFill="1" applyBorder="1" applyAlignment="1">
      <alignment horizontal="right" vertical="center"/>
    </xf>
    <xf numFmtId="0" fontId="52" fillId="0" borderId="4" xfId="0" applyFont="1" applyBorder="1" applyAlignment="1">
      <alignment horizontal="right"/>
    </xf>
    <xf numFmtId="0" fontId="52" fillId="0" borderId="11" xfId="0" applyFont="1" applyBorder="1" applyAlignment="1">
      <alignment horizontal="right"/>
    </xf>
    <xf numFmtId="0" fontId="52" fillId="0" borderId="20" xfId="0" applyFont="1" applyFill="1" applyBorder="1" applyAlignment="1">
      <alignment horizontal="right"/>
    </xf>
    <xf numFmtId="0" fontId="58" fillId="0" borderId="0" xfId="0" applyFont="1" applyAlignment="1">
      <alignment horizontal="right"/>
    </xf>
    <xf numFmtId="0" fontId="42" fillId="0" borderId="4" xfId="0" applyFont="1" applyBorder="1"/>
    <xf numFmtId="0" fontId="16" fillId="0" borderId="4" xfId="0" applyFont="1" applyBorder="1"/>
    <xf numFmtId="0" fontId="42" fillId="2" borderId="4" xfId="0" applyFont="1" applyFill="1" applyBorder="1"/>
    <xf numFmtId="0" fontId="42" fillId="2" borderId="36" xfId="0" applyFont="1" applyFill="1" applyBorder="1" applyAlignment="1">
      <alignment horizontal="center"/>
    </xf>
    <xf numFmtId="0" fontId="42" fillId="2" borderId="13" xfId="0" applyFont="1" applyFill="1" applyBorder="1"/>
    <xf numFmtId="0" fontId="42" fillId="2" borderId="37" xfId="0" applyFont="1" applyFill="1" applyBorder="1" applyAlignment="1">
      <alignment horizontal="center"/>
    </xf>
    <xf numFmtId="0" fontId="42" fillId="2" borderId="20" xfId="0" applyFont="1" applyFill="1" applyBorder="1"/>
    <xf numFmtId="0" fontId="59" fillId="0" borderId="37" xfId="0" applyFont="1" applyBorder="1" applyAlignment="1">
      <alignment horizontal="right"/>
    </xf>
    <xf numFmtId="0" fontId="56" fillId="0" borderId="37" xfId="0" applyFont="1" applyBorder="1" applyAlignment="1">
      <alignment horizontal="right"/>
    </xf>
    <xf numFmtId="0" fontId="59" fillId="2" borderId="37" xfId="0" applyFont="1" applyFill="1" applyBorder="1" applyAlignment="1">
      <alignment horizontal="right"/>
    </xf>
    <xf numFmtId="0" fontId="59" fillId="2" borderId="38" xfId="0" applyFont="1" applyFill="1" applyBorder="1" applyAlignment="1">
      <alignment horizontal="right"/>
    </xf>
    <xf numFmtId="167" fontId="20" fillId="0" borderId="2" xfId="0" applyNumberFormat="1" applyFont="1" applyFill="1" applyBorder="1" applyAlignment="1">
      <alignment horizontal="right" vertical="center"/>
    </xf>
    <xf numFmtId="167" fontId="20" fillId="0" borderId="16" xfId="0" applyNumberFormat="1" applyFont="1" applyFill="1" applyBorder="1" applyAlignment="1">
      <alignment horizontal="right" vertical="center"/>
    </xf>
    <xf numFmtId="167" fontId="19" fillId="0" borderId="2" xfId="0" applyNumberFormat="1" applyFont="1" applyFill="1" applyBorder="1" applyAlignment="1">
      <alignment horizontal="right" vertical="center"/>
    </xf>
    <xf numFmtId="167" fontId="19" fillId="0" borderId="16" xfId="0" applyNumberFormat="1" applyFont="1" applyFill="1" applyBorder="1" applyAlignment="1">
      <alignment horizontal="right" vertical="center"/>
    </xf>
    <xf numFmtId="0" fontId="56" fillId="0" borderId="0" xfId="320" applyFont="1" applyAlignment="1">
      <alignment horizontal="right"/>
    </xf>
    <xf numFmtId="167" fontId="20" fillId="0" borderId="25" xfId="0" applyNumberFormat="1" applyFont="1" applyFill="1" applyBorder="1" applyAlignment="1">
      <alignment horizontal="right" vertical="center"/>
    </xf>
    <xf numFmtId="167" fontId="19" fillId="0" borderId="35" xfId="0" applyNumberFormat="1" applyFont="1" applyFill="1" applyBorder="1" applyAlignment="1">
      <alignment horizontal="right" vertical="center"/>
    </xf>
    <xf numFmtId="167" fontId="20" fillId="0" borderId="0" xfId="0" applyNumberFormat="1" applyFont="1" applyFill="1" applyBorder="1" applyAlignment="1">
      <alignment horizontal="right" vertical="center"/>
    </xf>
    <xf numFmtId="0" fontId="47" fillId="0" borderId="27" xfId="0" applyFont="1" applyFill="1" applyBorder="1" applyAlignment="1">
      <alignment horizontal="center" vertical="center"/>
    </xf>
    <xf numFmtId="0" fontId="47" fillId="0" borderId="39" xfId="0" applyFont="1" applyFill="1" applyBorder="1" applyAlignment="1">
      <alignment horizontal="center" vertical="center"/>
    </xf>
    <xf numFmtId="0" fontId="19" fillId="7" borderId="23" xfId="0" applyFont="1" applyFill="1" applyBorder="1" applyAlignment="1">
      <alignment horizontal="center"/>
    </xf>
    <xf numFmtId="0" fontId="47" fillId="7" borderId="24" xfId="0" applyFont="1" applyFill="1" applyBorder="1"/>
    <xf numFmtId="167" fontId="20" fillId="7" borderId="24" xfId="0" applyNumberFormat="1" applyFont="1" applyFill="1" applyBorder="1" applyAlignment="1">
      <alignment horizontal="right" vertical="center"/>
    </xf>
    <xf numFmtId="167" fontId="20" fillId="7" borderId="24" xfId="0" applyNumberFormat="1" applyFont="1" applyFill="1" applyBorder="1"/>
    <xf numFmtId="167" fontId="20" fillId="7" borderId="25" xfId="0" applyNumberFormat="1" applyFont="1" applyFill="1" applyBorder="1" applyAlignment="1">
      <alignment horizontal="right" vertical="center"/>
    </xf>
    <xf numFmtId="0" fontId="19" fillId="7" borderId="4" xfId="0" applyFont="1" applyFill="1" applyBorder="1" applyAlignment="1">
      <alignment horizontal="center"/>
    </xf>
    <xf numFmtId="0" fontId="47" fillId="7" borderId="2" xfId="0" applyFont="1" applyFill="1" applyBorder="1"/>
    <xf numFmtId="167" fontId="20" fillId="7" borderId="2" xfId="0" applyNumberFormat="1" applyFont="1" applyFill="1" applyBorder="1" applyAlignment="1">
      <alignment horizontal="right" vertical="center"/>
    </xf>
    <xf numFmtId="167" fontId="20" fillId="7" borderId="2" xfId="0" applyNumberFormat="1" applyFont="1" applyFill="1" applyBorder="1"/>
    <xf numFmtId="167" fontId="20" fillId="7" borderId="16" xfId="0" applyNumberFormat="1" applyFont="1" applyFill="1" applyBorder="1" applyAlignment="1">
      <alignment horizontal="right" vertical="center"/>
    </xf>
    <xf numFmtId="0" fontId="46" fillId="7" borderId="4" xfId="0" applyFont="1" applyFill="1" applyBorder="1" applyAlignment="1">
      <alignment horizontal="center"/>
    </xf>
    <xf numFmtId="167" fontId="47" fillId="7" borderId="2" xfId="0" applyNumberFormat="1" applyFont="1" applyFill="1" applyBorder="1" applyAlignment="1">
      <alignment horizontal="right" vertical="center"/>
    </xf>
    <xf numFmtId="167" fontId="47" fillId="7" borderId="16" xfId="0" applyNumberFormat="1" applyFont="1" applyFill="1" applyBorder="1" applyAlignment="1">
      <alignment horizontal="right" vertical="center"/>
    </xf>
    <xf numFmtId="0" fontId="46" fillId="7" borderId="20" xfId="0" applyFont="1" applyFill="1" applyBorder="1" applyAlignment="1">
      <alignment horizontal="center"/>
    </xf>
    <xf numFmtId="0" fontId="46" fillId="7" borderId="21" xfId="0" applyFont="1" applyFill="1" applyBorder="1"/>
    <xf numFmtId="167" fontId="20" fillId="7" borderId="21" xfId="0" applyNumberFormat="1" applyFont="1" applyFill="1" applyBorder="1" applyAlignment="1">
      <alignment horizontal="right" vertical="center"/>
    </xf>
    <xf numFmtId="167" fontId="20" fillId="7" borderId="21" xfId="0" applyNumberFormat="1" applyFont="1" applyFill="1" applyBorder="1"/>
    <xf numFmtId="167" fontId="20" fillId="7" borderId="22" xfId="0" applyNumberFormat="1" applyFont="1" applyFill="1" applyBorder="1" applyAlignment="1">
      <alignment horizontal="right" vertical="center"/>
    </xf>
    <xf numFmtId="0" fontId="50" fillId="2" borderId="13" xfId="0" applyFont="1" applyFill="1" applyBorder="1" applyAlignment="1">
      <alignment horizontal="center" vertical="center" wrapText="1"/>
    </xf>
    <xf numFmtId="0" fontId="50" fillId="2" borderId="14" xfId="0" applyFont="1" applyFill="1" applyBorder="1" applyAlignment="1">
      <alignment horizontal="center" vertical="center" wrapText="1"/>
    </xf>
    <xf numFmtId="0" fontId="51" fillId="2" borderId="14" xfId="0" applyFont="1" applyFill="1" applyBorder="1" applyAlignment="1">
      <alignment horizontal="center" vertical="center"/>
    </xf>
    <xf numFmtId="0" fontId="50" fillId="2" borderId="14" xfId="0" applyFont="1" applyFill="1" applyBorder="1" applyAlignment="1">
      <alignment horizontal="center" vertical="center"/>
    </xf>
    <xf numFmtId="0" fontId="50" fillId="2" borderId="15" xfId="0" applyFont="1" applyFill="1" applyBorder="1" applyAlignment="1">
      <alignment horizontal="center" vertical="center" wrapText="1"/>
    </xf>
    <xf numFmtId="0" fontId="19" fillId="2" borderId="20" xfId="0" applyFont="1" applyFill="1" applyBorder="1"/>
    <xf numFmtId="167" fontId="19" fillId="2" borderId="22" xfId="0" applyNumberFormat="1" applyFont="1" applyFill="1" applyBorder="1" applyAlignment="1">
      <alignment horizontal="right" vertical="center"/>
    </xf>
    <xf numFmtId="0" fontId="19" fillId="2" borderId="5" xfId="0" applyFont="1" applyFill="1" applyBorder="1"/>
    <xf numFmtId="0" fontId="19" fillId="2" borderId="9" xfId="0" applyFont="1" applyFill="1" applyBorder="1" applyAlignment="1">
      <alignment horizontal="center"/>
    </xf>
    <xf numFmtId="167" fontId="19" fillId="2" borderId="9" xfId="0" applyNumberFormat="1" applyFont="1" applyFill="1" applyBorder="1" applyAlignment="1">
      <alignment horizontal="right" vertical="center"/>
    </xf>
    <xf numFmtId="167" fontId="19" fillId="2" borderId="40" xfId="0" applyNumberFormat="1" applyFont="1" applyFill="1" applyBorder="1" applyAlignment="1">
      <alignment horizontal="right" vertical="center"/>
    </xf>
    <xf numFmtId="167" fontId="19" fillId="0" borderId="7" xfId="0" applyNumberFormat="1" applyFont="1" applyFill="1" applyBorder="1" applyAlignment="1">
      <alignment horizontal="center" vertical="center"/>
    </xf>
    <xf numFmtId="167" fontId="20" fillId="0" borderId="8" xfId="0" applyNumberFormat="1" applyFont="1" applyFill="1" applyBorder="1" applyAlignment="1">
      <alignment horizontal="center" vertical="center"/>
    </xf>
    <xf numFmtId="0" fontId="44" fillId="0" borderId="4" xfId="0" applyFont="1" applyFill="1" applyBorder="1" applyAlignment="1">
      <alignment wrapText="1"/>
    </xf>
    <xf numFmtId="0" fontId="55" fillId="0" borderId="2" xfId="0" applyFont="1" applyFill="1" applyBorder="1" applyAlignment="1">
      <alignment vertical="center"/>
    </xf>
    <xf numFmtId="3" fontId="54" fillId="0" borderId="2" xfId="0" applyNumberFormat="1" applyFont="1" applyFill="1" applyBorder="1"/>
    <xf numFmtId="3" fontId="54" fillId="0" borderId="16" xfId="0" applyNumberFormat="1" applyFont="1" applyBorder="1"/>
    <xf numFmtId="0" fontId="44" fillId="0" borderId="4" xfId="0" applyFont="1" applyBorder="1"/>
    <xf numFmtId="0" fontId="54" fillId="6" borderId="20" xfId="0" applyFont="1" applyFill="1" applyBorder="1"/>
    <xf numFmtId="0" fontId="54" fillId="6" borderId="21" xfId="0" applyFont="1" applyFill="1" applyBorder="1"/>
    <xf numFmtId="3" fontId="54" fillId="6" borderId="21" xfId="0" applyNumberFormat="1" applyFont="1" applyFill="1" applyBorder="1"/>
    <xf numFmtId="3" fontId="54" fillId="6" borderId="22" xfId="0" applyNumberFormat="1" applyFont="1" applyFill="1" applyBorder="1"/>
    <xf numFmtId="165" fontId="54" fillId="0" borderId="0" xfId="330" applyFont="1" applyFill="1" applyAlignment="1" applyProtection="1">
      <alignment horizontal="center" vertical="center"/>
      <protection hidden="1"/>
    </xf>
    <xf numFmtId="0" fontId="54" fillId="0" borderId="0" xfId="0" applyFont="1" applyFill="1" applyAlignment="1"/>
    <xf numFmtId="0" fontId="56" fillId="0" borderId="0" xfId="0" applyFont="1" applyFill="1" applyAlignment="1">
      <alignment horizontal="right"/>
    </xf>
    <xf numFmtId="0" fontId="56" fillId="0" borderId="0" xfId="0" applyFont="1" applyFill="1" applyAlignment="1">
      <alignment horizontal="right" vertical="top" wrapText="1"/>
    </xf>
    <xf numFmtId="0" fontId="60" fillId="0" borderId="0" xfId="321" applyFont="1" applyAlignment="1">
      <alignment horizontal="right"/>
    </xf>
    <xf numFmtId="0" fontId="58" fillId="0" borderId="0" xfId="321" applyFont="1" applyAlignment="1">
      <alignment horizontal="right"/>
    </xf>
    <xf numFmtId="0" fontId="42" fillId="0" borderId="0" xfId="0" applyFont="1" applyAlignment="1">
      <alignment horizontal="center"/>
    </xf>
    <xf numFmtId="49" fontId="38" fillId="0" borderId="0" xfId="0" applyNumberFormat="1" applyFont="1"/>
    <xf numFmtId="0" fontId="38" fillId="0" borderId="0" xfId="0" applyFont="1" applyAlignment="1">
      <alignment wrapText="1"/>
    </xf>
    <xf numFmtId="0" fontId="38" fillId="0" borderId="0" xfId="0" applyFont="1" applyBorder="1"/>
    <xf numFmtId="14" fontId="42" fillId="0" borderId="2" xfId="0" applyNumberFormat="1" applyFont="1" applyFill="1" applyBorder="1" applyAlignment="1">
      <alignment horizontal="center" vertical="center" wrapText="1"/>
    </xf>
    <xf numFmtId="49" fontId="42" fillId="0" borderId="2" xfId="0" applyNumberFormat="1" applyFont="1" applyFill="1" applyBorder="1" applyAlignment="1">
      <alignment horizontal="center" vertical="center" wrapText="1"/>
    </xf>
    <xf numFmtId="3" fontId="42" fillId="0" borderId="2" xfId="0" applyNumberFormat="1" applyFont="1" applyFill="1" applyBorder="1" applyAlignment="1">
      <alignment horizontal="center" vertical="center" wrapText="1"/>
    </xf>
    <xf numFmtId="49" fontId="42" fillId="0" borderId="2" xfId="0" applyNumberFormat="1" applyFont="1" applyFill="1" applyBorder="1" applyAlignment="1">
      <alignment horizontal="center" vertical="top" wrapText="1"/>
    </xf>
    <xf numFmtId="49" fontId="42" fillId="0" borderId="16" xfId="0" applyNumberFormat="1" applyFont="1" applyFill="1" applyBorder="1" applyAlignment="1">
      <alignment horizontal="center" vertical="top" wrapText="1"/>
    </xf>
    <xf numFmtId="2" fontId="42" fillId="0" borderId="2" xfId="0" applyNumberFormat="1" applyFont="1" applyFill="1" applyBorder="1" applyAlignment="1">
      <alignment horizontal="center" vertical="center" wrapText="1"/>
    </xf>
    <xf numFmtId="1" fontId="38" fillId="0" borderId="20" xfId="0" applyNumberFormat="1" applyFont="1" applyFill="1" applyBorder="1" applyAlignment="1">
      <alignment horizontal="center" vertical="center" wrapText="1"/>
    </xf>
    <xf numFmtId="0" fontId="52" fillId="0" borderId="21" xfId="0" applyFont="1" applyBorder="1" applyAlignment="1">
      <alignment wrapText="1"/>
    </xf>
    <xf numFmtId="0" fontId="52" fillId="0" borderId="22" xfId="0" applyFont="1" applyBorder="1" applyAlignment="1">
      <alignment wrapText="1"/>
    </xf>
    <xf numFmtId="0" fontId="38" fillId="0" borderId="41" xfId="0" applyFont="1" applyFill="1" applyBorder="1" applyAlignment="1">
      <alignment horizontal="center" vertical="center" wrapText="1"/>
    </xf>
    <xf numFmtId="0" fontId="38" fillId="0" borderId="42" xfId="0" applyFont="1" applyFill="1" applyBorder="1" applyAlignment="1">
      <alignment horizontal="center" vertical="center" wrapText="1"/>
    </xf>
    <xf numFmtId="2" fontId="38" fillId="0" borderId="42" xfId="0" applyNumberFormat="1" applyFont="1" applyFill="1" applyBorder="1" applyAlignment="1">
      <alignment horizontal="center" vertical="center" wrapText="1"/>
    </xf>
    <xf numFmtId="0" fontId="38" fillId="0" borderId="43" xfId="0" applyFont="1" applyFill="1" applyBorder="1" applyAlignment="1">
      <alignment horizontal="center" vertical="center" wrapText="1"/>
    </xf>
    <xf numFmtId="0" fontId="42" fillId="6" borderId="20" xfId="0" applyFont="1" applyFill="1" applyBorder="1" applyAlignment="1">
      <alignment vertical="center"/>
    </xf>
    <xf numFmtId="0" fontId="42" fillId="6" borderId="21" xfId="0" applyFont="1" applyFill="1" applyBorder="1" applyAlignment="1">
      <alignment vertical="center"/>
    </xf>
    <xf numFmtId="169" fontId="42" fillId="6" borderId="21" xfId="330" applyNumberFormat="1" applyFont="1" applyFill="1" applyBorder="1" applyAlignment="1">
      <alignment vertical="center"/>
    </xf>
    <xf numFmtId="0" fontId="42" fillId="6" borderId="21" xfId="0" applyFont="1" applyFill="1" applyBorder="1" applyAlignment="1">
      <alignment horizontal="justify" vertical="top" wrapText="1"/>
    </xf>
    <xf numFmtId="0" fontId="42" fillId="6" borderId="22" xfId="0" applyFont="1" applyFill="1" applyBorder="1" applyAlignment="1">
      <alignment horizontal="justify" vertical="top" wrapText="1"/>
    </xf>
    <xf numFmtId="0" fontId="54" fillId="0" borderId="0" xfId="0" applyFont="1" applyAlignment="1">
      <alignment wrapText="1"/>
    </xf>
    <xf numFmtId="167" fontId="44" fillId="0" borderId="0" xfId="0" applyNumberFormat="1" applyFont="1"/>
    <xf numFmtId="1" fontId="44" fillId="0" borderId="0" xfId="0" applyNumberFormat="1" applyFont="1" applyAlignment="1">
      <alignment horizontal="center" vertical="center" wrapText="1"/>
    </xf>
    <xf numFmtId="0" fontId="44" fillId="0" borderId="27" xfId="0" applyFont="1" applyBorder="1" applyAlignment="1">
      <alignment horizontal="center" vertical="center"/>
    </xf>
    <xf numFmtId="0" fontId="44" fillId="0" borderId="39" xfId="0" applyFont="1" applyBorder="1" applyAlignment="1">
      <alignment horizontal="center" vertical="center"/>
    </xf>
    <xf numFmtId="0" fontId="56" fillId="6" borderId="13" xfId="0" applyFont="1" applyFill="1" applyBorder="1" applyAlignment="1">
      <alignment horizontal="center" vertical="center"/>
    </xf>
    <xf numFmtId="0" fontId="56" fillId="6" borderId="14" xfId="0" applyFont="1" applyFill="1" applyBorder="1" applyAlignment="1">
      <alignment horizontal="center" vertical="center"/>
    </xf>
    <xf numFmtId="0" fontId="56" fillId="6" borderId="14" xfId="0" applyFont="1" applyFill="1" applyBorder="1" applyAlignment="1">
      <alignment horizontal="center" vertical="center" wrapText="1"/>
    </xf>
    <xf numFmtId="0" fontId="56" fillId="6" borderId="15" xfId="0" applyFont="1" applyFill="1" applyBorder="1" applyAlignment="1">
      <alignment horizontal="center" vertical="center" wrapText="1"/>
    </xf>
    <xf numFmtId="0" fontId="40" fillId="0" borderId="4" xfId="0" applyFont="1" applyBorder="1" applyAlignment="1">
      <alignment horizontal="right"/>
    </xf>
    <xf numFmtId="0" fontId="44" fillId="6" borderId="20" xfId="0" applyFont="1" applyFill="1" applyBorder="1"/>
    <xf numFmtId="167" fontId="54" fillId="6" borderId="21" xfId="330" applyNumberFormat="1" applyFont="1" applyFill="1" applyBorder="1" applyAlignment="1">
      <alignment horizontal="right"/>
    </xf>
    <xf numFmtId="2" fontId="54" fillId="6" borderId="22" xfId="0" applyNumberFormat="1" applyFont="1" applyFill="1" applyBorder="1"/>
    <xf numFmtId="0" fontId="52" fillId="0" borderId="0" xfId="0" applyFont="1" applyAlignment="1">
      <alignment horizontal="right" vertical="top" wrapText="1"/>
    </xf>
    <xf numFmtId="0" fontId="23" fillId="8" borderId="0" xfId="0" applyFont="1" applyFill="1"/>
    <xf numFmtId="0" fontId="23" fillId="5" borderId="0" xfId="0" applyFont="1" applyFill="1" applyAlignment="1">
      <alignment horizontal="left" indent="12"/>
    </xf>
    <xf numFmtId="0" fontId="23" fillId="9" borderId="0" xfId="0" applyFont="1" applyFill="1" applyAlignment="1">
      <alignment horizontal="right"/>
    </xf>
    <xf numFmtId="0" fontId="23" fillId="10" borderId="0" xfId="0" applyFont="1" applyFill="1" applyAlignment="1">
      <alignment horizontal="center" vertical="center"/>
    </xf>
    <xf numFmtId="0" fontId="23" fillId="11" borderId="0" xfId="0" applyFont="1" applyFill="1" applyAlignment="1">
      <alignment horizontal="center" vertical="center"/>
    </xf>
    <xf numFmtId="0" fontId="23" fillId="2" borderId="0" xfId="0" applyFont="1" applyFill="1" applyAlignment="1">
      <alignment horizontal="center" vertical="center"/>
    </xf>
    <xf numFmtId="0" fontId="23" fillId="5" borderId="0" xfId="0" applyFont="1" applyFill="1" applyAlignment="1">
      <alignment horizontal="center" vertical="center"/>
    </xf>
    <xf numFmtId="0" fontId="54" fillId="8" borderId="0" xfId="0" applyFont="1" applyFill="1"/>
    <xf numFmtId="0" fontId="61" fillId="0" borderId="24" xfId="0" applyFont="1" applyFill="1" applyBorder="1" applyAlignment="1">
      <alignment horizontal="justify" vertical="center" wrapText="1"/>
    </xf>
    <xf numFmtId="0" fontId="46" fillId="7" borderId="2" xfId="0" applyFont="1" applyFill="1" applyBorder="1"/>
    <xf numFmtId="167" fontId="19" fillId="7" borderId="7" xfId="0" applyNumberFormat="1" applyFont="1" applyFill="1" applyBorder="1" applyAlignment="1">
      <alignment horizontal="center" vertical="center"/>
    </xf>
    <xf numFmtId="49" fontId="22" fillId="0" borderId="0" xfId="0" applyNumberFormat="1" applyFont="1" applyAlignment="1">
      <alignment horizontal="left"/>
    </xf>
    <xf numFmtId="0" fontId="45" fillId="4" borderId="15" xfId="0" applyFont="1" applyFill="1" applyBorder="1" applyAlignment="1">
      <alignment horizontal="center" vertical="center"/>
    </xf>
    <xf numFmtId="0" fontId="44" fillId="0" borderId="2" xfId="0" applyFont="1" applyBorder="1" applyAlignment="1">
      <alignment horizontal="left" vertical="center" wrapText="1"/>
    </xf>
    <xf numFmtId="0" fontId="52" fillId="0" borderId="0" xfId="0" applyFont="1" applyFill="1" applyBorder="1" applyAlignment="1">
      <alignment horizontal="right"/>
    </xf>
    <xf numFmtId="0" fontId="52" fillId="0" borderId="4" xfId="0" applyFont="1" applyBorder="1" applyAlignment="1">
      <alignment horizontal="center" vertical="center" wrapText="1"/>
    </xf>
    <xf numFmtId="0" fontId="52" fillId="0" borderId="20" xfId="0" applyFont="1" applyBorder="1" applyAlignment="1">
      <alignment horizontal="center" vertical="center" wrapText="1"/>
    </xf>
    <xf numFmtId="0" fontId="52" fillId="0" borderId="2" xfId="0" applyFont="1" applyBorder="1" applyAlignment="1">
      <alignment horizontal="justify" vertical="center" wrapText="1"/>
    </xf>
    <xf numFmtId="0" fontId="52" fillId="0" borderId="21" xfId="0" applyFont="1" applyBorder="1" applyAlignment="1">
      <alignment horizontal="justify" vertical="center" wrapText="1"/>
    </xf>
    <xf numFmtId="0" fontId="23" fillId="12" borderId="0" xfId="0" applyFont="1" applyFill="1" applyAlignment="1">
      <alignment horizontal="center" vertical="center"/>
    </xf>
    <xf numFmtId="0" fontId="23" fillId="13" borderId="0" xfId="0" applyFont="1" applyFill="1" applyAlignment="1">
      <alignment horizontal="center" vertical="center"/>
    </xf>
    <xf numFmtId="167" fontId="52" fillId="0" borderId="2" xfId="0" applyNumberFormat="1" applyFont="1" applyBorder="1" applyAlignment="1">
      <alignment horizontal="right" vertical="center" wrapText="1"/>
    </xf>
    <xf numFmtId="167" fontId="52" fillId="0" borderId="16" xfId="0" applyNumberFormat="1" applyFont="1" applyBorder="1" applyAlignment="1">
      <alignment horizontal="right" vertical="center" wrapText="1"/>
    </xf>
    <xf numFmtId="167" fontId="52" fillId="0" borderId="21" xfId="0" applyNumberFormat="1" applyFont="1" applyBorder="1" applyAlignment="1">
      <alignment horizontal="right" vertical="center" wrapText="1"/>
    </xf>
    <xf numFmtId="167" fontId="52" fillId="0" borderId="22" xfId="0" applyNumberFormat="1" applyFont="1" applyBorder="1" applyAlignment="1">
      <alignment horizontal="right" vertical="center" wrapText="1"/>
    </xf>
    <xf numFmtId="0" fontId="40" fillId="4" borderId="13" xfId="0" applyFont="1" applyFill="1" applyBorder="1" applyAlignment="1">
      <alignment horizontal="center" vertical="top" wrapText="1"/>
    </xf>
    <xf numFmtId="0" fontId="40" fillId="4" borderId="14" xfId="0" applyFont="1" applyFill="1" applyBorder="1" applyAlignment="1">
      <alignment horizontal="center" vertical="top" wrapText="1"/>
    </xf>
    <xf numFmtId="0" fontId="40" fillId="4" borderId="15" xfId="0" applyFont="1" applyFill="1" applyBorder="1" applyAlignment="1">
      <alignment horizontal="center" vertical="top" wrapText="1"/>
    </xf>
    <xf numFmtId="49" fontId="0" fillId="13" borderId="0" xfId="0" applyNumberFormat="1" applyFill="1"/>
    <xf numFmtId="167" fontId="62" fillId="0" borderId="2" xfId="0" applyNumberFormat="1" applyFont="1" applyFill="1" applyBorder="1" applyAlignment="1">
      <alignment horizontal="right" vertical="center"/>
    </xf>
    <xf numFmtId="167" fontId="62" fillId="0" borderId="2" xfId="0" applyNumberFormat="1" applyFont="1" applyBorder="1" applyAlignment="1">
      <alignment vertical="center"/>
    </xf>
    <xf numFmtId="167" fontId="62" fillId="14" borderId="2" xfId="0" applyNumberFormat="1" applyFont="1" applyFill="1" applyBorder="1" applyAlignment="1">
      <alignment horizontal="right" vertical="center"/>
    </xf>
    <xf numFmtId="167" fontId="62" fillId="0" borderId="21" xfId="0" applyNumberFormat="1" applyFont="1" applyFill="1" applyBorder="1" applyAlignment="1">
      <alignment horizontal="right" vertical="center"/>
    </xf>
    <xf numFmtId="0" fontId="44" fillId="15" borderId="0" xfId="0" applyFont="1" applyFill="1"/>
    <xf numFmtId="0" fontId="44" fillId="16" borderId="0" xfId="0" applyFont="1" applyFill="1"/>
    <xf numFmtId="167" fontId="44" fillId="0" borderId="0" xfId="0" applyNumberFormat="1" applyFont="1" applyFill="1"/>
    <xf numFmtId="167" fontId="62" fillId="0" borderId="2" xfId="0" quotePrefix="1" applyNumberFormat="1" applyFont="1" applyFill="1" applyBorder="1" applyAlignment="1">
      <alignment horizontal="center" vertical="center"/>
    </xf>
    <xf numFmtId="0" fontId="52" fillId="0" borderId="11" xfId="0" applyFont="1" applyBorder="1" applyAlignment="1">
      <alignment horizontal="center" vertical="center" wrapText="1"/>
    </xf>
    <xf numFmtId="0" fontId="52" fillId="0" borderId="12" xfId="0" applyFont="1" applyBorder="1" applyAlignment="1">
      <alignment horizontal="center" vertical="center" wrapText="1"/>
    </xf>
    <xf numFmtId="0" fontId="18" fillId="0" borderId="16" xfId="0" applyFont="1" applyBorder="1" applyAlignment="1">
      <alignment horizontal="left" vertical="center"/>
    </xf>
    <xf numFmtId="0" fontId="44" fillId="0" borderId="2" xfId="0" applyFont="1" applyFill="1" applyBorder="1" applyAlignment="1">
      <alignment horizontal="center" wrapText="1"/>
    </xf>
    <xf numFmtId="3" fontId="44" fillId="0" borderId="2" xfId="0" applyNumberFormat="1" applyFont="1" applyFill="1" applyBorder="1" applyAlignment="1">
      <alignment horizontal="center"/>
    </xf>
    <xf numFmtId="0" fontId="44" fillId="0" borderId="2" xfId="0" applyFont="1" applyFill="1" applyBorder="1" applyAlignment="1">
      <alignment horizontal="center"/>
    </xf>
    <xf numFmtId="4" fontId="44" fillId="0" borderId="16" xfId="0" applyNumberFormat="1" applyFont="1" applyBorder="1" applyAlignment="1">
      <alignment horizontal="left" vertical="center" wrapText="1"/>
    </xf>
    <xf numFmtId="3" fontId="18" fillId="0" borderId="2" xfId="0" applyNumberFormat="1" applyFont="1" applyBorder="1" applyAlignment="1">
      <alignment horizontal="right" vertical="center" wrapText="1"/>
    </xf>
    <xf numFmtId="1" fontId="46" fillId="0" borderId="44" xfId="0" applyNumberFormat="1" applyFont="1" applyFill="1" applyBorder="1" applyAlignment="1">
      <alignment horizontal="center" vertical="center" wrapText="1"/>
    </xf>
    <xf numFmtId="49" fontId="46" fillId="0" borderId="27" xfId="0" applyNumberFormat="1" applyFont="1" applyFill="1" applyBorder="1" applyAlignment="1">
      <alignment horizontal="center" vertical="center" wrapText="1"/>
    </xf>
    <xf numFmtId="2" fontId="46" fillId="0" borderId="45" xfId="0" applyNumberFormat="1" applyFont="1" applyFill="1" applyBorder="1" applyAlignment="1">
      <alignment horizontal="center" vertical="center" wrapText="1"/>
    </xf>
    <xf numFmtId="49" fontId="46" fillId="0" borderId="45" xfId="0" applyNumberFormat="1" applyFont="1" applyFill="1" applyBorder="1" applyAlignment="1">
      <alignment horizontal="center" vertical="center" wrapText="1"/>
    </xf>
    <xf numFmtId="49" fontId="46" fillId="0" borderId="44" xfId="0" applyNumberFormat="1" applyFont="1" applyFill="1" applyBorder="1" applyAlignment="1">
      <alignment horizontal="center" vertical="center" wrapText="1"/>
    </xf>
    <xf numFmtId="49" fontId="46" fillId="0" borderId="43" xfId="0" applyNumberFormat="1" applyFont="1" applyFill="1" applyBorder="1" applyAlignment="1">
      <alignment horizontal="center" vertical="center" wrapText="1"/>
    </xf>
    <xf numFmtId="1" fontId="47" fillId="4" borderId="41" xfId="0" applyNumberFormat="1" applyFont="1" applyFill="1" applyBorder="1" applyAlignment="1">
      <alignment horizontal="center" vertical="center" wrapText="1"/>
    </xf>
    <xf numFmtId="49" fontId="47" fillId="4" borderId="42" xfId="0" applyNumberFormat="1" applyFont="1" applyFill="1" applyBorder="1" applyAlignment="1">
      <alignment horizontal="center" vertical="center" wrapText="1"/>
    </xf>
    <xf numFmtId="1" fontId="47" fillId="4" borderId="42" xfId="0" applyNumberFormat="1" applyFont="1" applyFill="1" applyBorder="1" applyAlignment="1">
      <alignment horizontal="center" vertical="center" wrapText="1"/>
    </xf>
    <xf numFmtId="49" fontId="47" fillId="4" borderId="46" xfId="0" applyNumberFormat="1" applyFont="1" applyFill="1" applyBorder="1" applyAlignment="1">
      <alignment horizontal="center" vertical="center" wrapText="1"/>
    </xf>
    <xf numFmtId="49" fontId="47" fillId="4" borderId="27" xfId="0" applyNumberFormat="1" applyFont="1" applyFill="1" applyBorder="1" applyAlignment="1">
      <alignment horizontal="center" vertical="center" wrapText="1"/>
    </xf>
    <xf numFmtId="0" fontId="38" fillId="0" borderId="0" xfId="0" applyFont="1" applyFill="1" applyAlignment="1">
      <alignment vertical="center"/>
    </xf>
    <xf numFmtId="0" fontId="38" fillId="0" borderId="0" xfId="0" applyFont="1" applyFill="1" applyAlignment="1">
      <alignment horizontal="right" vertical="top" wrapText="1"/>
    </xf>
    <xf numFmtId="0" fontId="38" fillId="6" borderId="13" xfId="0" applyFont="1" applyFill="1" applyBorder="1" applyAlignment="1">
      <alignment horizontal="center" vertical="center" wrapText="1"/>
    </xf>
    <xf numFmtId="0" fontId="38" fillId="6" borderId="14" xfId="0" applyFont="1" applyFill="1" applyBorder="1" applyAlignment="1">
      <alignment horizontal="center" vertical="center" wrapText="1"/>
    </xf>
    <xf numFmtId="1" fontId="38" fillId="6" borderId="14" xfId="0" applyNumberFormat="1" applyFont="1" applyFill="1" applyBorder="1" applyAlignment="1">
      <alignment horizontal="center" vertical="center" wrapText="1"/>
    </xf>
    <xf numFmtId="1" fontId="38" fillId="6" borderId="15" xfId="0" applyNumberFormat="1" applyFont="1" applyFill="1" applyBorder="1" applyAlignment="1">
      <alignment horizontal="center" vertical="center" wrapText="1"/>
    </xf>
    <xf numFmtId="1" fontId="38" fillId="0" borderId="0" xfId="0" applyNumberFormat="1" applyFont="1" applyFill="1" applyAlignment="1">
      <alignment horizontal="center" vertical="center" wrapText="1"/>
    </xf>
    <xf numFmtId="0" fontId="38" fillId="0" borderId="0" xfId="0" applyFont="1" applyAlignment="1">
      <alignment horizontal="center"/>
    </xf>
    <xf numFmtId="167" fontId="38" fillId="0" borderId="2" xfId="320" applyNumberFormat="1" applyFont="1" applyBorder="1" applyAlignment="1">
      <alignment horizontal="right" vertical="top" wrapText="1"/>
    </xf>
    <xf numFmtId="0" fontId="42" fillId="17" borderId="11" xfId="0" applyFont="1" applyFill="1" applyBorder="1" applyAlignment="1">
      <alignment horizontal="center" vertical="center" wrapText="1"/>
    </xf>
    <xf numFmtId="0" fontId="42" fillId="17" borderId="47" xfId="0" applyFont="1" applyFill="1" applyBorder="1" applyAlignment="1">
      <alignment horizontal="center" vertical="center" wrapText="1"/>
    </xf>
    <xf numFmtId="0" fontId="42" fillId="17" borderId="12" xfId="0" applyFont="1" applyFill="1" applyBorder="1" applyAlignment="1">
      <alignment horizontal="center" vertical="center" wrapText="1"/>
    </xf>
    <xf numFmtId="49" fontId="38" fillId="4" borderId="13" xfId="322" applyNumberFormat="1" applyFont="1" applyFill="1" applyBorder="1"/>
    <xf numFmtId="168" fontId="38" fillId="4" borderId="14" xfId="322" applyNumberFormat="1" applyFont="1" applyFill="1" applyBorder="1"/>
    <xf numFmtId="168" fontId="38" fillId="4" borderId="15" xfId="322" applyNumberFormat="1" applyFont="1" applyFill="1" applyBorder="1"/>
    <xf numFmtId="168" fontId="38" fillId="0" borderId="2" xfId="322" applyNumberFormat="1" applyFont="1" applyBorder="1"/>
    <xf numFmtId="0" fontId="63" fillId="0" borderId="0" xfId="0" applyFont="1"/>
    <xf numFmtId="49" fontId="38" fillId="15" borderId="20" xfId="322" applyNumberFormat="1" applyFont="1" applyFill="1" applyBorder="1"/>
    <xf numFmtId="168" fontId="38" fillId="15" borderId="21" xfId="322" applyNumberFormat="1" applyFont="1" applyFill="1" applyBorder="1"/>
    <xf numFmtId="168" fontId="38" fillId="15" borderId="22" xfId="322" applyNumberFormat="1" applyFont="1" applyFill="1" applyBorder="1"/>
    <xf numFmtId="49" fontId="38" fillId="4" borderId="23" xfId="322" applyNumberFormat="1" applyFont="1" applyFill="1" applyBorder="1"/>
    <xf numFmtId="168" fontId="38" fillId="4" borderId="24" xfId="322" applyNumberFormat="1" applyFont="1" applyFill="1" applyBorder="1"/>
    <xf numFmtId="168" fontId="38" fillId="4" borderId="25" xfId="322" applyNumberFormat="1" applyFont="1" applyFill="1" applyBorder="1"/>
    <xf numFmtId="49" fontId="38" fillId="17" borderId="23" xfId="322" applyNumberFormat="1" applyFont="1" applyFill="1" applyBorder="1"/>
    <xf numFmtId="168" fontId="38" fillId="17" borderId="24" xfId="322" applyNumberFormat="1" applyFont="1" applyFill="1" applyBorder="1"/>
    <xf numFmtId="168" fontId="38" fillId="17" borderId="25" xfId="322" applyNumberFormat="1" applyFont="1" applyFill="1" applyBorder="1"/>
    <xf numFmtId="49" fontId="38" fillId="4" borderId="4" xfId="322" applyNumberFormat="1" applyFont="1" applyFill="1" applyBorder="1"/>
    <xf numFmtId="168" fontId="38" fillId="4" borderId="2" xfId="322" applyNumberFormat="1" applyFont="1" applyFill="1" applyBorder="1"/>
    <xf numFmtId="168" fontId="38" fillId="4" borderId="16" xfId="322" applyNumberFormat="1" applyFont="1" applyFill="1" applyBorder="1"/>
    <xf numFmtId="0" fontId="38" fillId="15" borderId="20" xfId="322" applyFont="1" applyFill="1" applyBorder="1"/>
    <xf numFmtId="49" fontId="38" fillId="17" borderId="6" xfId="322" applyNumberFormat="1" applyFont="1" applyFill="1" applyBorder="1"/>
    <xf numFmtId="168" fontId="38" fillId="17" borderId="7" xfId="322" applyNumberFormat="1" applyFont="1" applyFill="1" applyBorder="1"/>
    <xf numFmtId="168" fontId="38" fillId="17" borderId="35" xfId="322" applyNumberFormat="1" applyFont="1" applyFill="1" applyBorder="1"/>
    <xf numFmtId="168" fontId="38" fillId="0" borderId="0" xfId="0" applyNumberFormat="1" applyFont="1"/>
    <xf numFmtId="2" fontId="38" fillId="0" borderId="0" xfId="0" applyNumberFormat="1" applyFont="1"/>
    <xf numFmtId="168" fontId="0" fillId="0" borderId="2" xfId="0" applyNumberFormat="1" applyBorder="1"/>
    <xf numFmtId="0" fontId="16" fillId="2" borderId="14" xfId="0" applyFont="1" applyFill="1" applyBorder="1"/>
    <xf numFmtId="0" fontId="16" fillId="2" borderId="15" xfId="0" applyFont="1" applyFill="1" applyBorder="1"/>
    <xf numFmtId="167" fontId="42" fillId="2" borderId="2" xfId="0" applyNumberFormat="1" applyFont="1" applyFill="1" applyBorder="1"/>
    <xf numFmtId="167" fontId="42" fillId="2" borderId="16" xfId="0" applyNumberFormat="1" applyFont="1" applyFill="1" applyBorder="1"/>
    <xf numFmtId="167" fontId="42" fillId="2" borderId="21" xfId="0" applyNumberFormat="1" applyFont="1" applyFill="1" applyBorder="1"/>
    <xf numFmtId="167" fontId="42" fillId="2" borderId="22" xfId="0" applyNumberFormat="1" applyFont="1" applyFill="1" applyBorder="1"/>
    <xf numFmtId="4" fontId="38" fillId="0" borderId="0" xfId="0" applyNumberFormat="1" applyFont="1"/>
    <xf numFmtId="0" fontId="42" fillId="0" borderId="0" xfId="0" applyFont="1" applyAlignment="1">
      <alignment horizontal="right"/>
    </xf>
    <xf numFmtId="0" fontId="38" fillId="0" borderId="0" xfId="0" applyFont="1" applyFill="1" applyAlignment="1">
      <alignment horizontal="right"/>
    </xf>
    <xf numFmtId="0" fontId="38" fillId="6" borderId="23" xfId="0" applyFont="1" applyFill="1" applyBorder="1" applyAlignment="1">
      <alignment horizontal="center" vertical="center" wrapText="1"/>
    </xf>
    <xf numFmtId="0" fontId="38" fillId="6" borderId="24" xfId="0" applyFont="1" applyFill="1" applyBorder="1" applyAlignment="1">
      <alignment horizontal="center" vertical="center" wrapText="1"/>
    </xf>
    <xf numFmtId="1" fontId="38" fillId="6" borderId="24" xfId="0" applyNumberFormat="1" applyFont="1" applyFill="1" applyBorder="1" applyAlignment="1">
      <alignment horizontal="center" vertical="top" wrapText="1"/>
    </xf>
    <xf numFmtId="1" fontId="38" fillId="6" borderId="24" xfId="0" applyNumberFormat="1" applyFont="1" applyFill="1" applyBorder="1" applyAlignment="1">
      <alignment horizontal="center" vertical="center" wrapText="1"/>
    </xf>
    <xf numFmtId="1" fontId="38" fillId="6" borderId="25" xfId="0" applyNumberFormat="1" applyFont="1" applyFill="1" applyBorder="1" applyAlignment="1">
      <alignment horizontal="center" vertical="center" wrapText="1"/>
    </xf>
    <xf numFmtId="0" fontId="52" fillId="0" borderId="2" xfId="320" applyFont="1" applyBorder="1" applyAlignment="1">
      <alignment vertical="top" wrapText="1"/>
    </xf>
    <xf numFmtId="168" fontId="67" fillId="0" borderId="2" xfId="318" applyNumberFormat="1" applyBorder="1"/>
    <xf numFmtId="167" fontId="16" fillId="0" borderId="0" xfId="321" applyNumberFormat="1" applyFont="1"/>
    <xf numFmtId="179" fontId="44" fillId="0" borderId="2" xfId="0" applyNumberFormat="1" applyFont="1" applyBorder="1" applyAlignment="1">
      <alignment horizontal="right" vertical="center" wrapText="1"/>
    </xf>
    <xf numFmtId="49" fontId="0" fillId="0" borderId="4" xfId="0" applyNumberFormat="1" applyBorder="1"/>
    <xf numFmtId="168" fontId="0" fillId="0" borderId="16" xfId="0" applyNumberFormat="1" applyBorder="1"/>
    <xf numFmtId="49" fontId="0" fillId="0" borderId="11" xfId="0" applyNumberFormat="1" applyBorder="1"/>
    <xf numFmtId="168" fontId="0" fillId="0" borderId="3" xfId="0" applyNumberFormat="1" applyBorder="1"/>
    <xf numFmtId="168" fontId="38" fillId="0" borderId="3" xfId="322" applyNumberFormat="1" applyFont="1" applyBorder="1"/>
    <xf numFmtId="168" fontId="0" fillId="0" borderId="12" xfId="0" applyNumberFormat="1" applyBorder="1"/>
    <xf numFmtId="0" fontId="38" fillId="0" borderId="0" xfId="319" applyFont="1"/>
    <xf numFmtId="0" fontId="38" fillId="0" borderId="0" xfId="319" applyFont="1" applyFill="1"/>
    <xf numFmtId="0" fontId="38" fillId="0" borderId="0" xfId="319" applyFont="1" applyFill="1" applyAlignment="1">
      <alignment horizontal="center"/>
    </xf>
    <xf numFmtId="0" fontId="38" fillId="0" borderId="0" xfId="319" applyFont="1" applyAlignment="1">
      <alignment horizontal="center"/>
    </xf>
    <xf numFmtId="0" fontId="42" fillId="0" borderId="0" xfId="319" applyFont="1" applyAlignment="1">
      <alignment horizontal="center"/>
    </xf>
    <xf numFmtId="0" fontId="42" fillId="0" borderId="0" xfId="319" applyFont="1" applyAlignment="1">
      <alignment horizontal="right"/>
    </xf>
    <xf numFmtId="0" fontId="38" fillId="0" borderId="0" xfId="319" applyFont="1" applyAlignment="1">
      <alignment horizontal="right"/>
    </xf>
    <xf numFmtId="0" fontId="64" fillId="3" borderId="4" xfId="0" applyFont="1" applyFill="1" applyBorder="1" applyAlignment="1">
      <alignment horizontal="center" vertical="center"/>
    </xf>
    <xf numFmtId="4" fontId="64" fillId="3" borderId="2" xfId="0" applyNumberFormat="1" applyFont="1" applyFill="1" applyBorder="1" applyAlignment="1">
      <alignment horizontal="center" vertical="center"/>
    </xf>
    <xf numFmtId="3" fontId="64" fillId="3" borderId="2" xfId="0" applyNumberFormat="1" applyFont="1" applyFill="1" applyBorder="1" applyAlignment="1">
      <alignment horizontal="center" vertical="center"/>
    </xf>
    <xf numFmtId="0" fontId="53" fillId="17" borderId="2" xfId="319" applyFont="1" applyFill="1" applyBorder="1"/>
    <xf numFmtId="0" fontId="52" fillId="0" borderId="0" xfId="319" applyFont="1"/>
    <xf numFmtId="0" fontId="42" fillId="0" borderId="0" xfId="319" applyFont="1" applyFill="1"/>
    <xf numFmtId="49" fontId="38" fillId="0" borderId="0" xfId="319" applyNumberFormat="1" applyFont="1" applyFill="1" applyAlignment="1">
      <alignment horizontal="center"/>
    </xf>
    <xf numFmtId="0" fontId="42" fillId="0" borderId="0" xfId="319" applyFont="1"/>
    <xf numFmtId="4" fontId="38" fillId="0" borderId="0" xfId="319" applyNumberFormat="1" applyFont="1" applyAlignment="1">
      <alignment horizontal="center"/>
    </xf>
    <xf numFmtId="0" fontId="38" fillId="0" borderId="0" xfId="319" applyFont="1" applyFill="1" applyAlignment="1">
      <alignment horizontal="left"/>
    </xf>
    <xf numFmtId="0" fontId="42" fillId="0" borderId="0" xfId="319" applyFont="1" applyFill="1" applyAlignment="1">
      <alignment horizontal="left"/>
    </xf>
    <xf numFmtId="0" fontId="42" fillId="0" borderId="0" xfId="319" applyFont="1" applyAlignment="1">
      <alignment horizontal="left"/>
    </xf>
    <xf numFmtId="0" fontId="38" fillId="0" borderId="0" xfId="319" applyFont="1" applyAlignment="1">
      <alignment horizontal="left"/>
    </xf>
    <xf numFmtId="0" fontId="42" fillId="0" borderId="0" xfId="0" applyFont="1" applyAlignment="1">
      <alignment horizontal="left"/>
    </xf>
    <xf numFmtId="0" fontId="54" fillId="0" borderId="0" xfId="319" applyFont="1" applyAlignment="1">
      <alignment horizontal="left"/>
    </xf>
    <xf numFmtId="168" fontId="38" fillId="0" borderId="0" xfId="319" applyNumberFormat="1" applyFont="1" applyAlignment="1">
      <alignment horizontal="center"/>
    </xf>
    <xf numFmtId="0" fontId="54" fillId="0" borderId="0" xfId="0" applyFont="1" applyBorder="1" applyAlignment="1">
      <alignment horizontal="center"/>
    </xf>
    <xf numFmtId="0" fontId="44" fillId="0" borderId="0" xfId="0" applyFont="1" applyBorder="1" applyAlignment="1">
      <alignment horizontal="right"/>
    </xf>
    <xf numFmtId="0" fontId="40" fillId="6" borderId="13" xfId="0" applyFont="1" applyFill="1" applyBorder="1" applyAlignment="1">
      <alignment horizontal="center"/>
    </xf>
    <xf numFmtId="0" fontId="40" fillId="6" borderId="14" xfId="0" applyFont="1" applyFill="1" applyBorder="1" applyAlignment="1">
      <alignment horizontal="center"/>
    </xf>
    <xf numFmtId="0" fontId="40" fillId="6" borderId="15" xfId="0" applyFont="1" applyFill="1" applyBorder="1" applyAlignment="1">
      <alignment horizontal="center"/>
    </xf>
    <xf numFmtId="3" fontId="44" fillId="0" borderId="2" xfId="0" applyNumberFormat="1" applyFont="1" applyBorder="1" applyAlignment="1">
      <alignment horizontal="right" vertical="center"/>
    </xf>
    <xf numFmtId="167" fontId="44" fillId="0" borderId="2" xfId="0" applyNumberFormat="1" applyFont="1" applyBorder="1" applyAlignment="1">
      <alignment horizontal="right" vertical="center"/>
    </xf>
    <xf numFmtId="3" fontId="54" fillId="0" borderId="16" xfId="0" applyNumberFormat="1" applyFont="1" applyFill="1" applyBorder="1" applyAlignment="1">
      <alignment horizontal="right" vertical="center"/>
    </xf>
    <xf numFmtId="181" fontId="54" fillId="0" borderId="0" xfId="330" applyNumberFormat="1" applyFont="1" applyFill="1" applyAlignment="1" applyProtection="1">
      <alignment horizontal="left" vertical="center"/>
      <protection hidden="1"/>
    </xf>
    <xf numFmtId="1" fontId="52" fillId="17" borderId="2" xfId="319" applyNumberFormat="1" applyFont="1" applyFill="1" applyBorder="1" applyAlignment="1">
      <alignment horizontal="center"/>
    </xf>
    <xf numFmtId="166" fontId="20" fillId="0" borderId="0" xfId="0" applyNumberFormat="1" applyFont="1" applyFill="1"/>
    <xf numFmtId="166" fontId="38" fillId="0" borderId="2" xfId="0" applyNumberFormat="1" applyFont="1" applyBorder="1" applyAlignment="1">
      <alignment horizontal="center" vertical="center" wrapText="1"/>
    </xf>
    <xf numFmtId="167" fontId="38" fillId="0" borderId="2" xfId="0" applyNumberFormat="1" applyFont="1" applyBorder="1" applyAlignment="1">
      <alignment horizontal="center" vertical="center" wrapText="1"/>
    </xf>
    <xf numFmtId="180" fontId="17" fillId="4" borderId="21" xfId="330" applyNumberFormat="1" applyFont="1" applyFill="1" applyBorder="1" applyAlignment="1">
      <alignment horizontal="center" vertical="center" wrapText="1"/>
    </xf>
    <xf numFmtId="0" fontId="38" fillId="4" borderId="24" xfId="0" applyFont="1" applyFill="1" applyBorder="1" applyAlignment="1">
      <alignment horizontal="center" vertical="center" wrapText="1"/>
    </xf>
    <xf numFmtId="0" fontId="42" fillId="0" borderId="0" xfId="319" applyFont="1" applyFill="1" applyAlignment="1">
      <alignment horizontal="center"/>
    </xf>
    <xf numFmtId="166" fontId="38" fillId="0" borderId="3" xfId="0" applyNumberFormat="1" applyFont="1" applyBorder="1" applyAlignment="1">
      <alignment horizontal="center" vertical="center" wrapText="1"/>
    </xf>
    <xf numFmtId="3" fontId="38" fillId="0" borderId="12" xfId="0" applyNumberFormat="1" applyFont="1" applyBorder="1" applyAlignment="1">
      <alignment horizontal="left" vertical="center" wrapText="1"/>
    </xf>
    <xf numFmtId="49" fontId="0" fillId="0" borderId="2" xfId="0" applyNumberFormat="1" applyBorder="1" applyAlignment="1">
      <alignment horizontal="center" vertical="center"/>
    </xf>
    <xf numFmtId="0" fontId="54" fillId="0" borderId="4" xfId="0" applyFont="1" applyBorder="1" applyAlignment="1">
      <alignment horizontal="center"/>
    </xf>
    <xf numFmtId="0" fontId="54" fillId="0" borderId="2" xfId="0" applyFont="1" applyBorder="1"/>
    <xf numFmtId="167" fontId="54" fillId="0" borderId="2" xfId="330" applyNumberFormat="1" applyFont="1" applyBorder="1" applyAlignment="1">
      <alignment horizontal="right"/>
    </xf>
    <xf numFmtId="167" fontId="54" fillId="0" borderId="2" xfId="330" applyNumberFormat="1" applyFont="1" applyBorder="1"/>
    <xf numFmtId="14" fontId="16" fillId="31" borderId="2" xfId="321" applyNumberFormat="1" applyFont="1" applyFill="1" applyBorder="1" applyAlignment="1">
      <alignment horizontal="center"/>
    </xf>
    <xf numFmtId="167" fontId="16" fillId="31" borderId="2" xfId="321" applyNumberFormat="1" applyFont="1" applyFill="1" applyBorder="1"/>
    <xf numFmtId="167" fontId="16" fillId="31" borderId="2" xfId="321" applyNumberFormat="1" applyFont="1" applyFill="1" applyBorder="1" applyAlignment="1">
      <alignment horizontal="center"/>
    </xf>
    <xf numFmtId="49" fontId="16" fillId="31" borderId="2" xfId="321" applyNumberFormat="1" applyFont="1" applyFill="1" applyBorder="1" applyAlignment="1">
      <alignment horizontal="justify" wrapText="1"/>
    </xf>
    <xf numFmtId="167" fontId="16" fillId="31" borderId="16" xfId="321" applyNumberFormat="1" applyFont="1" applyFill="1" applyBorder="1"/>
    <xf numFmtId="3" fontId="16" fillId="31" borderId="26" xfId="321" applyNumberFormat="1" applyFont="1" applyFill="1" applyBorder="1" applyAlignment="1">
      <alignment horizontal="center" vertical="center"/>
    </xf>
    <xf numFmtId="167" fontId="42" fillId="31" borderId="8" xfId="323" applyNumberFormat="1" applyFont="1" applyFill="1" applyBorder="1" applyAlignment="1">
      <alignment horizontal="center" vertical="center" wrapText="1"/>
    </xf>
    <xf numFmtId="167" fontId="42" fillId="31" borderId="2" xfId="321" applyNumberFormat="1" applyFont="1" applyFill="1" applyBorder="1"/>
    <xf numFmtId="167" fontId="16" fillId="31" borderId="2" xfId="321" applyNumberFormat="1" applyFont="1" applyFill="1" applyBorder="1" applyAlignment="1">
      <alignment horizontal="left"/>
    </xf>
    <xf numFmtId="14" fontId="16" fillId="31" borderId="3" xfId="321" applyNumberFormat="1" applyFont="1" applyFill="1" applyBorder="1" applyAlignment="1">
      <alignment horizontal="center"/>
    </xf>
    <xf numFmtId="167" fontId="42" fillId="31" borderId="3" xfId="321" applyNumberFormat="1" applyFont="1" applyFill="1" applyBorder="1"/>
    <xf numFmtId="167" fontId="16" fillId="31" borderId="3" xfId="321" applyNumberFormat="1" applyFont="1" applyFill="1" applyBorder="1" applyAlignment="1">
      <alignment horizontal="center"/>
    </xf>
    <xf numFmtId="49" fontId="16" fillId="31" borderId="3" xfId="321" applyNumberFormat="1" applyFont="1" applyFill="1" applyBorder="1" applyAlignment="1">
      <alignment horizontal="justify" wrapText="1"/>
    </xf>
    <xf numFmtId="0" fontId="38" fillId="0" borderId="3" xfId="0" applyFont="1" applyBorder="1" applyAlignment="1">
      <alignment horizontal="left" vertical="center" wrapText="1"/>
    </xf>
    <xf numFmtId="3" fontId="38" fillId="0" borderId="3" xfId="0" applyNumberFormat="1" applyFont="1" applyBorder="1" applyAlignment="1">
      <alignment horizontal="center" vertical="center" wrapText="1"/>
    </xf>
    <xf numFmtId="0" fontId="42" fillId="32" borderId="13" xfId="319" applyFont="1" applyFill="1" applyBorder="1" applyAlignment="1">
      <alignment horizontal="center" vertical="center"/>
    </xf>
    <xf numFmtId="0" fontId="42" fillId="32" borderId="14" xfId="319" applyFont="1" applyFill="1" applyBorder="1" applyAlignment="1">
      <alignment horizontal="center" vertical="center"/>
    </xf>
    <xf numFmtId="0" fontId="42" fillId="32" borderId="15" xfId="319" applyFont="1" applyFill="1" applyBorder="1" applyAlignment="1">
      <alignment horizontal="center" vertical="center"/>
    </xf>
    <xf numFmtId="167" fontId="38" fillId="0" borderId="0" xfId="0" applyNumberFormat="1" applyFont="1" applyFill="1"/>
    <xf numFmtId="0" fontId="38" fillId="0" borderId="48" xfId="320" applyFont="1" applyBorder="1" applyAlignment="1">
      <alignment horizontal="center" vertical="top" wrapText="1"/>
    </xf>
    <xf numFmtId="0" fontId="38" fillId="0" borderId="30" xfId="0" applyFont="1" applyBorder="1" applyAlignment="1">
      <alignment horizontal="center" vertical="center" wrapText="1"/>
    </xf>
    <xf numFmtId="0" fontId="38" fillId="0" borderId="31" xfId="0" applyFont="1" applyBorder="1" applyAlignment="1">
      <alignment horizontal="center" vertical="center" wrapText="1"/>
    </xf>
    <xf numFmtId="0" fontId="38" fillId="0" borderId="32" xfId="0" applyFont="1" applyBorder="1" applyAlignment="1">
      <alignment horizontal="center" vertical="center" wrapText="1"/>
    </xf>
    <xf numFmtId="0" fontId="38" fillId="0" borderId="49" xfId="320" applyFont="1" applyBorder="1" applyAlignment="1">
      <alignment horizontal="center" vertical="top" wrapText="1"/>
    </xf>
    <xf numFmtId="0" fontId="42" fillId="0" borderId="0" xfId="0" applyFont="1" applyFill="1" applyAlignment="1">
      <alignment horizontal="right"/>
    </xf>
    <xf numFmtId="0" fontId="19" fillId="0" borderId="0" xfId="0" applyFont="1" applyAlignment="1">
      <alignment horizontal="right"/>
    </xf>
    <xf numFmtId="0" fontId="60" fillId="0" borderId="0" xfId="0" applyFont="1" applyAlignment="1">
      <alignment horizontal="right"/>
    </xf>
    <xf numFmtId="167" fontId="20" fillId="0" borderId="30" xfId="0" applyNumberFormat="1" applyFont="1" applyBorder="1"/>
    <xf numFmtId="0" fontId="20" fillId="0" borderId="0" xfId="0" applyFont="1" applyBorder="1" applyAlignment="1">
      <alignment horizontal="center"/>
    </xf>
    <xf numFmtId="0" fontId="47" fillId="0" borderId="0" xfId="0" applyFont="1" applyAlignment="1">
      <alignment horizontal="center"/>
    </xf>
    <xf numFmtId="0" fontId="47" fillId="6" borderId="20" xfId="0" applyFont="1" applyFill="1" applyBorder="1" applyAlignment="1">
      <alignment horizontal="center"/>
    </xf>
    <xf numFmtId="0" fontId="47" fillId="6" borderId="21" xfId="0" applyFont="1" applyFill="1" applyBorder="1" applyAlignment="1">
      <alignment horizontal="center"/>
    </xf>
    <xf numFmtId="0" fontId="47" fillId="6" borderId="22" xfId="0" applyFont="1" applyFill="1" applyBorder="1" applyAlignment="1">
      <alignment horizontal="center"/>
    </xf>
    <xf numFmtId="49" fontId="46" fillId="0" borderId="36" xfId="0" applyNumberFormat="1" applyFont="1" applyBorder="1" applyAlignment="1">
      <alignment horizontal="center"/>
    </xf>
    <xf numFmtId="0" fontId="20" fillId="0" borderId="50" xfId="0" applyFont="1" applyBorder="1" applyAlignment="1">
      <alignment horizontal="center"/>
    </xf>
    <xf numFmtId="0" fontId="20" fillId="0" borderId="50" xfId="0" applyFont="1" applyBorder="1"/>
    <xf numFmtId="49" fontId="46" fillId="0" borderId="38" xfId="0" applyNumberFormat="1" applyFont="1" applyBorder="1" applyAlignment="1">
      <alignment horizontal="center"/>
    </xf>
    <xf numFmtId="0" fontId="20" fillId="0" borderId="29" xfId="0" applyFont="1" applyBorder="1" applyAlignment="1">
      <alignment horizontal="center"/>
    </xf>
    <xf numFmtId="0" fontId="20" fillId="0" borderId="29" xfId="0" applyFont="1" applyBorder="1"/>
    <xf numFmtId="0" fontId="20" fillId="0" borderId="0" xfId="0" applyFont="1" applyFill="1" applyBorder="1"/>
    <xf numFmtId="0" fontId="19" fillId="0" borderId="0" xfId="0" applyFont="1" applyFill="1" applyBorder="1" applyAlignment="1">
      <alignment horizontal="justify" vertical="top" wrapText="1"/>
    </xf>
    <xf numFmtId="0" fontId="20" fillId="0" borderId="0" xfId="0" applyFont="1" applyAlignment="1">
      <alignment horizontal="justify" vertical="top" wrapText="1"/>
    </xf>
    <xf numFmtId="0" fontId="19" fillId="6" borderId="5" xfId="0" applyFont="1" applyFill="1" applyBorder="1" applyAlignment="1">
      <alignment horizontal="center" vertical="center"/>
    </xf>
    <xf numFmtId="0" fontId="47" fillId="0" borderId="13" xfId="0" applyFont="1" applyBorder="1" applyAlignment="1">
      <alignment horizontal="center"/>
    </xf>
    <xf numFmtId="0" fontId="47" fillId="0" borderId="23" xfId="0" applyFont="1" applyBorder="1" applyAlignment="1">
      <alignment horizontal="center"/>
    </xf>
    <xf numFmtId="0" fontId="47" fillId="0" borderId="4" xfId="0" applyFont="1" applyBorder="1" applyAlignment="1">
      <alignment horizontal="center"/>
    </xf>
    <xf numFmtId="0" fontId="47" fillId="0" borderId="11" xfId="0" applyFont="1" applyBorder="1" applyAlignment="1">
      <alignment horizontal="center"/>
    </xf>
    <xf numFmtId="0" fontId="47" fillId="0" borderId="11" xfId="0" applyFont="1" applyBorder="1" applyAlignment="1">
      <alignment horizontal="center" vertical="center" wrapText="1"/>
    </xf>
    <xf numFmtId="0" fontId="47" fillId="0" borderId="20" xfId="0" applyFont="1" applyBorder="1" applyAlignment="1">
      <alignment horizontal="center" vertical="center" wrapText="1"/>
    </xf>
    <xf numFmtId="0" fontId="47" fillId="0" borderId="0" xfId="0" applyFont="1" applyBorder="1" applyAlignment="1">
      <alignment horizontal="center" vertical="center" wrapText="1"/>
    </xf>
    <xf numFmtId="0" fontId="20" fillId="0" borderId="0" xfId="0" applyFont="1" applyBorder="1" applyAlignment="1">
      <alignment horizontal="left" vertical="center" wrapText="1"/>
    </xf>
    <xf numFmtId="0" fontId="19" fillId="0" borderId="0" xfId="0" applyFont="1" applyAlignment="1">
      <alignment horizontal="justify" vertical="top"/>
    </xf>
    <xf numFmtId="49" fontId="46" fillId="0" borderId="0" xfId="0" applyNumberFormat="1" applyFont="1" applyBorder="1" applyAlignment="1">
      <alignment horizontal="center"/>
    </xf>
    <xf numFmtId="49" fontId="46" fillId="0" borderId="51" xfId="0" applyNumberFormat="1" applyFont="1" applyBorder="1" applyAlignment="1">
      <alignment horizontal="center"/>
    </xf>
    <xf numFmtId="0" fontId="20" fillId="0" borderId="52" xfId="0" applyFont="1" applyBorder="1" applyAlignment="1">
      <alignment horizontal="center"/>
    </xf>
    <xf numFmtId="0" fontId="20" fillId="0" borderId="52" xfId="0" applyFont="1" applyBorder="1"/>
    <xf numFmtId="0" fontId="52" fillId="0" borderId="27" xfId="0" applyFont="1" applyBorder="1" applyAlignment="1">
      <alignment horizontal="center" vertical="center" wrapText="1"/>
    </xf>
    <xf numFmtId="14" fontId="0" fillId="0" borderId="0" xfId="0" applyNumberFormat="1" applyAlignment="1">
      <alignment horizontal="center" vertical="center" wrapText="1"/>
    </xf>
    <xf numFmtId="0" fontId="52" fillId="0" borderId="2" xfId="0" applyNumberFormat="1" applyFont="1" applyBorder="1" applyAlignment="1">
      <alignment horizontal="center" vertical="center" wrapText="1"/>
    </xf>
    <xf numFmtId="9" fontId="38" fillId="0" borderId="2" xfId="320" applyNumberFormat="1" applyFont="1" applyBorder="1" applyAlignment="1">
      <alignment horizontal="center" vertical="top" wrapText="1"/>
    </xf>
    <xf numFmtId="4" fontId="42" fillId="0" borderId="0" xfId="0" applyNumberFormat="1" applyFont="1" applyAlignment="1">
      <alignment horizontal="right"/>
    </xf>
    <xf numFmtId="4" fontId="38" fillId="0" borderId="0" xfId="0" applyNumberFormat="1" applyFont="1" applyAlignment="1">
      <alignment horizontal="right"/>
    </xf>
    <xf numFmtId="0" fontId="67" fillId="0" borderId="0" xfId="303"/>
    <xf numFmtId="49" fontId="67" fillId="0" borderId="0" xfId="303" applyNumberFormat="1"/>
    <xf numFmtId="168" fontId="67" fillId="0" borderId="0" xfId="303" applyNumberFormat="1"/>
    <xf numFmtId="167" fontId="42" fillId="4" borderId="21" xfId="320" applyNumberFormat="1" applyFont="1" applyFill="1" applyBorder="1" applyAlignment="1">
      <alignment horizontal="center" vertical="top" wrapText="1"/>
    </xf>
    <xf numFmtId="0" fontId="55" fillId="31" borderId="0" xfId="0" applyFont="1" applyFill="1"/>
    <xf numFmtId="0" fontId="55" fillId="31" borderId="0" xfId="0" applyFont="1" applyFill="1" applyAlignment="1">
      <alignment horizontal="left"/>
    </xf>
    <xf numFmtId="165" fontId="55" fillId="31" borderId="0" xfId="330" applyFont="1" applyFill="1" applyAlignment="1"/>
    <xf numFmtId="0" fontId="55" fillId="31" borderId="0" xfId="0" applyFont="1" applyFill="1" applyAlignment="1">
      <alignment horizontal="center" vertical="center" wrapText="1"/>
    </xf>
    <xf numFmtId="0" fontId="55" fillId="31" borderId="0" xfId="0" applyFont="1" applyFill="1" applyAlignment="1">
      <alignment horizontal="right" vertical="center" wrapText="1"/>
    </xf>
    <xf numFmtId="0" fontId="44" fillId="31" borderId="0" xfId="0" applyFont="1" applyFill="1"/>
    <xf numFmtId="0" fontId="55" fillId="31" borderId="0" xfId="0" applyFont="1" applyFill="1" applyAlignment="1">
      <alignment horizontal="left" vertical="center" wrapText="1"/>
    </xf>
    <xf numFmtId="165" fontId="55" fillId="31" borderId="0" xfId="330" applyFont="1" applyFill="1" applyAlignment="1">
      <alignment vertical="center" wrapText="1"/>
    </xf>
    <xf numFmtId="0" fontId="65" fillId="31" borderId="0" xfId="0" applyFont="1" applyFill="1" applyBorder="1" applyAlignment="1">
      <alignment horizontal="center" vertical="center" wrapText="1"/>
    </xf>
    <xf numFmtId="0" fontId="55" fillId="31" borderId="0" xfId="0" applyFont="1" applyFill="1" applyBorder="1" applyAlignment="1">
      <alignment horizontal="right" vertical="center"/>
    </xf>
    <xf numFmtId="0" fontId="55" fillId="31" borderId="13" xfId="0" applyFont="1" applyFill="1" applyBorder="1" applyAlignment="1">
      <alignment horizontal="center" vertical="center" wrapText="1"/>
    </xf>
    <xf numFmtId="0" fontId="55" fillId="31" borderId="14" xfId="0" applyFont="1" applyFill="1" applyBorder="1" applyAlignment="1">
      <alignment horizontal="center" vertical="center" wrapText="1"/>
    </xf>
    <xf numFmtId="165" fontId="55" fillId="31" borderId="14" xfId="330" applyFont="1" applyFill="1" applyBorder="1" applyAlignment="1">
      <alignment horizontal="center" vertical="center" wrapText="1"/>
    </xf>
    <xf numFmtId="0" fontId="55" fillId="31" borderId="15" xfId="0" applyFont="1" applyFill="1" applyBorder="1" applyAlignment="1">
      <alignment horizontal="center" vertical="center" wrapText="1"/>
    </xf>
    <xf numFmtId="0" fontId="55" fillId="31" borderId="4" xfId="0" applyFont="1" applyFill="1" applyBorder="1" applyAlignment="1">
      <alignment horizontal="center" vertical="center" wrapText="1"/>
    </xf>
    <xf numFmtId="0" fontId="55" fillId="31" borderId="2" xfId="0" applyFont="1" applyFill="1" applyBorder="1" applyAlignment="1">
      <alignment horizontal="center" vertical="center" wrapText="1"/>
    </xf>
    <xf numFmtId="0" fontId="55" fillId="31" borderId="16" xfId="0" applyFont="1" applyFill="1" applyBorder="1" applyAlignment="1">
      <alignment horizontal="center" vertical="center" wrapText="1"/>
    </xf>
    <xf numFmtId="0" fontId="44" fillId="31" borderId="4" xfId="0" applyNumberFormat="1" applyFont="1" applyFill="1" applyBorder="1" applyAlignment="1">
      <alignment horizontal="center" vertical="center" wrapText="1"/>
    </xf>
    <xf numFmtId="49" fontId="44" fillId="31" borderId="2" xfId="0" applyNumberFormat="1" applyFont="1" applyFill="1" applyBorder="1" applyAlignment="1">
      <alignment horizontal="center" vertical="center"/>
    </xf>
    <xf numFmtId="49" fontId="44" fillId="31" borderId="2" xfId="0" applyNumberFormat="1" applyFont="1" applyFill="1" applyBorder="1" applyAlignment="1">
      <alignment horizontal="center" vertical="center" wrapText="1"/>
    </xf>
    <xf numFmtId="182" fontId="44" fillId="31" borderId="2" xfId="0" applyNumberFormat="1" applyFont="1" applyFill="1" applyBorder="1" applyAlignment="1">
      <alignment horizontal="center" vertical="center"/>
    </xf>
    <xf numFmtId="49" fontId="44" fillId="31" borderId="2" xfId="0" applyNumberFormat="1" applyFont="1" applyFill="1" applyBorder="1" applyAlignment="1">
      <alignment horizontal="left" vertical="center" wrapText="1"/>
    </xf>
    <xf numFmtId="0" fontId="44" fillId="31" borderId="16" xfId="0" applyNumberFormat="1" applyFont="1" applyFill="1" applyBorder="1" applyAlignment="1">
      <alignment horizontal="center" vertical="center" wrapText="1"/>
    </xf>
    <xf numFmtId="0" fontId="55" fillId="31" borderId="0" xfId="0" applyNumberFormat="1" applyFont="1" applyFill="1" applyAlignment="1">
      <alignment horizontal="center" vertical="center" wrapText="1"/>
    </xf>
    <xf numFmtId="0" fontId="44" fillId="31" borderId="0" xfId="0" applyNumberFormat="1" applyFont="1" applyFill="1" applyAlignment="1">
      <alignment horizontal="center" vertical="center" wrapText="1"/>
    </xf>
    <xf numFmtId="0" fontId="44" fillId="31" borderId="53" xfId="0" applyNumberFormat="1" applyFont="1" applyFill="1" applyBorder="1" applyAlignment="1">
      <alignment horizontal="center" vertical="center" wrapText="1"/>
    </xf>
    <xf numFmtId="0" fontId="44" fillId="31" borderId="25" xfId="0" applyNumberFormat="1" applyFont="1" applyFill="1" applyBorder="1" applyAlignment="1">
      <alignment horizontal="center" vertical="center" wrapText="1"/>
    </xf>
    <xf numFmtId="168" fontId="44" fillId="31" borderId="2" xfId="0" applyNumberFormat="1" applyFont="1" applyFill="1" applyBorder="1" applyAlignment="1">
      <alignment horizontal="center" vertical="center"/>
    </xf>
    <xf numFmtId="49" fontId="44" fillId="31" borderId="0" xfId="0" applyNumberFormat="1" applyFont="1" applyFill="1" applyAlignment="1">
      <alignment horizontal="center" vertical="center"/>
    </xf>
    <xf numFmtId="0" fontId="44" fillId="31" borderId="2" xfId="0" applyNumberFormat="1" applyFont="1" applyFill="1" applyBorder="1" applyAlignment="1">
      <alignment horizontal="center" vertical="center" wrapText="1"/>
    </xf>
    <xf numFmtId="182" fontId="44" fillId="31" borderId="2" xfId="0" applyNumberFormat="1" applyFont="1" applyFill="1" applyBorder="1" applyAlignment="1">
      <alignment horizontal="center" vertical="center" wrapText="1"/>
    </xf>
    <xf numFmtId="0" fontId="44" fillId="31" borderId="0" xfId="0" applyNumberFormat="1" applyFont="1" applyFill="1" applyBorder="1" applyAlignment="1">
      <alignment horizontal="center" vertical="center" wrapText="1"/>
    </xf>
    <xf numFmtId="49" fontId="44" fillId="31" borderId="0" xfId="0" applyNumberFormat="1" applyFont="1" applyFill="1" applyBorder="1" applyAlignment="1">
      <alignment horizontal="center" vertical="center"/>
    </xf>
    <xf numFmtId="49" fontId="44" fillId="31" borderId="0" xfId="0" applyNumberFormat="1" applyFont="1" applyFill="1" applyBorder="1" applyAlignment="1">
      <alignment horizontal="center" vertical="center" wrapText="1"/>
    </xf>
    <xf numFmtId="182" fontId="44" fillId="31" borderId="0" xfId="0" applyNumberFormat="1" applyFont="1" applyFill="1" applyBorder="1" applyAlignment="1">
      <alignment horizontal="center" vertical="center"/>
    </xf>
    <xf numFmtId="49" fontId="44" fillId="31" borderId="0" xfId="0" applyNumberFormat="1" applyFont="1" applyFill="1" applyBorder="1" applyAlignment="1">
      <alignment horizontal="left" vertical="center" wrapText="1"/>
    </xf>
    <xf numFmtId="0" fontId="84" fillId="31" borderId="0" xfId="0" applyNumberFormat="1" applyFont="1" applyFill="1" applyBorder="1" applyAlignment="1">
      <alignment horizontal="center" vertical="center" wrapText="1"/>
    </xf>
    <xf numFmtId="0" fontId="54" fillId="31" borderId="0" xfId="0" applyFont="1" applyFill="1"/>
    <xf numFmtId="0" fontId="44" fillId="31" borderId="0" xfId="0" applyFont="1" applyFill="1" applyAlignment="1">
      <alignment horizontal="center" vertical="center" wrapText="1"/>
    </xf>
    <xf numFmtId="0" fontId="42" fillId="31" borderId="0" xfId="0" applyFont="1" applyFill="1"/>
    <xf numFmtId="0" fontId="44" fillId="31" borderId="0" xfId="0" applyFont="1" applyFill="1" applyAlignment="1">
      <alignment horizontal="left"/>
    </xf>
    <xf numFmtId="165" fontId="44" fillId="31" borderId="0" xfId="330" applyFont="1" applyFill="1" applyAlignment="1"/>
    <xf numFmtId="183" fontId="85" fillId="0" borderId="2" xfId="320" applyNumberFormat="1" applyFont="1" applyBorder="1" applyAlignment="1">
      <alignment horizontal="right" vertical="top" wrapText="1"/>
    </xf>
    <xf numFmtId="0" fontId="0" fillId="4" borderId="2" xfId="0" applyFont="1" applyFill="1" applyBorder="1" applyAlignment="1">
      <alignment horizontal="center" vertical="center" wrapText="1"/>
    </xf>
    <xf numFmtId="0" fontId="0" fillId="4" borderId="2" xfId="0" applyFont="1" applyFill="1" applyBorder="1" applyAlignment="1">
      <alignment vertical="center" wrapText="1"/>
    </xf>
    <xf numFmtId="0" fontId="0" fillId="0" borderId="2" xfId="0" applyFont="1" applyFill="1" applyBorder="1" applyAlignment="1">
      <alignment horizontal="center" vertical="center" wrapText="1"/>
    </xf>
    <xf numFmtId="0" fontId="0" fillId="0" borderId="2" xfId="0" applyFont="1" applyFill="1" applyBorder="1" applyAlignment="1">
      <alignment horizontal="center" vertical="center"/>
    </xf>
    <xf numFmtId="0" fontId="42" fillId="0" borderId="0" xfId="0" applyFont="1" applyAlignment="1">
      <alignment vertical="center" wrapText="1"/>
    </xf>
    <xf numFmtId="0" fontId="0" fillId="0" borderId="0" xfId="0" applyFont="1" applyFill="1"/>
    <xf numFmtId="0" fontId="16" fillId="0" borderId="17" xfId="0" applyFont="1" applyBorder="1" applyAlignment="1">
      <alignment horizontal="center"/>
    </xf>
    <xf numFmtId="0" fontId="16" fillId="0" borderId="7" xfId="0" applyFont="1" applyBorder="1" applyAlignment="1">
      <alignment horizontal="justify" vertical="center" wrapText="1"/>
    </xf>
    <xf numFmtId="167" fontId="16" fillId="0" borderId="49" xfId="0" applyNumberFormat="1" applyFont="1" applyBorder="1" applyAlignment="1">
      <alignment horizontal="right" vertical="center"/>
    </xf>
    <xf numFmtId="0" fontId="16" fillId="0" borderId="2" xfId="0" applyFont="1" applyBorder="1" applyAlignment="1">
      <alignment horizontal="center"/>
    </xf>
    <xf numFmtId="0" fontId="16" fillId="0" borderId="2" xfId="0" applyFont="1" applyBorder="1" applyAlignment="1">
      <alignment horizontal="justify" vertical="center" wrapText="1"/>
    </xf>
    <xf numFmtId="0" fontId="16" fillId="0" borderId="0" xfId="0" applyFont="1" applyBorder="1"/>
    <xf numFmtId="177" fontId="16" fillId="0" borderId="0" xfId="0" applyNumberFormat="1" applyFont="1" applyBorder="1"/>
    <xf numFmtId="2" fontId="16" fillId="0" borderId="0" xfId="0" applyNumberFormat="1" applyFont="1" applyBorder="1" applyAlignment="1">
      <alignment horizontal="right"/>
    </xf>
    <xf numFmtId="0" fontId="0" fillId="0" borderId="2" xfId="0" applyFont="1" applyFill="1" applyBorder="1"/>
    <xf numFmtId="49" fontId="0" fillId="0" borderId="2" xfId="0" applyNumberFormat="1" applyFont="1" applyFill="1" applyBorder="1"/>
    <xf numFmtId="168" fontId="0" fillId="0" borderId="2" xfId="0" applyNumberFormat="1" applyFont="1" applyFill="1" applyBorder="1"/>
    <xf numFmtId="184" fontId="86" fillId="0" borderId="87" xfId="0" applyNumberFormat="1" applyFont="1" applyBorder="1" applyAlignment="1">
      <alignment horizontal="right" vertical="center"/>
    </xf>
    <xf numFmtId="2" fontId="16" fillId="0" borderId="0" xfId="0" applyNumberFormat="1" applyFont="1" applyBorder="1"/>
    <xf numFmtId="0" fontId="85" fillId="0" borderId="0" xfId="0" applyFont="1" applyFill="1"/>
    <xf numFmtId="4" fontId="42" fillId="0" borderId="0" xfId="0" applyNumberFormat="1" applyFont="1"/>
    <xf numFmtId="4" fontId="85" fillId="0" borderId="0" xfId="0" applyNumberFormat="1" applyFont="1" applyFill="1"/>
    <xf numFmtId="0" fontId="0" fillId="0" borderId="2" xfId="0" applyFont="1" applyFill="1" applyBorder="1" applyAlignment="1">
      <alignment horizontal="center"/>
    </xf>
    <xf numFmtId="49" fontId="0" fillId="0" borderId="2" xfId="0" applyNumberFormat="1" applyFont="1" applyFill="1" applyBorder="1" applyAlignment="1">
      <alignment horizontal="center"/>
    </xf>
    <xf numFmtId="165" fontId="0" fillId="0" borderId="2" xfId="0" applyNumberFormat="1" applyFont="1" applyFill="1" applyBorder="1" applyAlignment="1">
      <alignment horizontal="center"/>
    </xf>
    <xf numFmtId="165" fontId="0" fillId="0" borderId="2" xfId="0" applyNumberFormat="1" applyFont="1" applyFill="1" applyBorder="1"/>
    <xf numFmtId="168" fontId="66" fillId="2" borderId="2" xfId="0" applyNumberFormat="1" applyFont="1" applyFill="1" applyBorder="1" applyAlignment="1">
      <alignment horizontal="right"/>
    </xf>
    <xf numFmtId="168" fontId="66" fillId="2" borderId="2" xfId="0" applyNumberFormat="1" applyFont="1" applyFill="1" applyBorder="1" applyAlignment="1">
      <alignment horizontal="center"/>
    </xf>
    <xf numFmtId="4" fontId="42" fillId="31" borderId="2" xfId="0" applyNumberFormat="1" applyFont="1" applyFill="1" applyBorder="1" applyAlignment="1">
      <alignment horizontal="center"/>
    </xf>
    <xf numFmtId="0" fontId="88" fillId="0" borderId="23" xfId="319" applyFont="1" applyFill="1" applyBorder="1" applyAlignment="1">
      <alignment horizontal="center" vertical="center"/>
    </xf>
    <xf numFmtId="0" fontId="88" fillId="0" borderId="24" xfId="319" applyFont="1" applyFill="1" applyBorder="1" applyAlignment="1">
      <alignment horizontal="center" vertical="center"/>
    </xf>
    <xf numFmtId="0" fontId="88" fillId="0" borderId="50" xfId="319" applyFont="1" applyFill="1" applyBorder="1" applyAlignment="1">
      <alignment horizontal="center" vertical="center"/>
    </xf>
    <xf numFmtId="0" fontId="85" fillId="0" borderId="0" xfId="319" applyFont="1" applyFill="1"/>
    <xf numFmtId="49" fontId="86" fillId="0" borderId="87" xfId="0" applyNumberFormat="1" applyFont="1" applyBorder="1" applyAlignment="1">
      <alignment horizontal="left" vertical="center"/>
    </xf>
    <xf numFmtId="0" fontId="44" fillId="31" borderId="4" xfId="0" applyFont="1" applyFill="1" applyBorder="1" applyAlignment="1">
      <alignment horizontal="center"/>
    </xf>
    <xf numFmtId="0" fontId="44" fillId="31" borderId="2" xfId="0" applyFont="1" applyFill="1" applyBorder="1"/>
    <xf numFmtId="167" fontId="44" fillId="31" borderId="2" xfId="330" applyNumberFormat="1" applyFont="1" applyFill="1" applyBorder="1" applyAlignment="1">
      <alignment horizontal="right"/>
    </xf>
    <xf numFmtId="167" fontId="44" fillId="31" borderId="2" xfId="330" applyNumberFormat="1" applyFont="1" applyFill="1" applyBorder="1"/>
    <xf numFmtId="167" fontId="44" fillId="31" borderId="0" xfId="0" applyNumberFormat="1" applyFont="1" applyFill="1"/>
    <xf numFmtId="0" fontId="44" fillId="31" borderId="4" xfId="0" applyFont="1" applyFill="1" applyBorder="1" applyAlignment="1">
      <alignment horizontal="center" vertical="top"/>
    </xf>
    <xf numFmtId="0" fontId="44" fillId="31" borderId="2" xfId="0" applyFont="1" applyFill="1" applyBorder="1" applyAlignment="1">
      <alignment vertical="top"/>
    </xf>
    <xf numFmtId="0" fontId="89" fillId="0" borderId="4" xfId="0" applyFont="1" applyBorder="1" applyAlignment="1">
      <alignment horizontal="right"/>
    </xf>
    <xf numFmtId="0" fontId="84" fillId="0" borderId="2" xfId="0" applyFont="1" applyBorder="1"/>
    <xf numFmtId="167" fontId="84" fillId="0" borderId="2" xfId="330" applyNumberFormat="1" applyFont="1" applyBorder="1" applyAlignment="1">
      <alignment horizontal="right"/>
    </xf>
    <xf numFmtId="167" fontId="84" fillId="0" borderId="2" xfId="330" applyNumberFormat="1" applyFont="1" applyBorder="1"/>
    <xf numFmtId="0" fontId="84" fillId="0" borderId="0" xfId="0" applyFont="1"/>
    <xf numFmtId="167" fontId="84" fillId="0" borderId="0" xfId="0" applyNumberFormat="1" applyFont="1"/>
    <xf numFmtId="0" fontId="0" fillId="0" borderId="2" xfId="0" applyFill="1" applyBorder="1"/>
    <xf numFmtId="0" fontId="82" fillId="0" borderId="2" xfId="0" applyFont="1" applyFill="1" applyBorder="1"/>
    <xf numFmtId="0" fontId="0" fillId="0" borderId="3" xfId="0" applyFill="1" applyBorder="1"/>
    <xf numFmtId="0" fontId="0" fillId="0" borderId="24" xfId="0" applyFill="1" applyBorder="1"/>
    <xf numFmtId="0" fontId="0" fillId="0" borderId="2" xfId="0" applyFill="1" applyBorder="1" applyAlignment="1">
      <alignment horizontal="center" vertical="center" wrapText="1"/>
    </xf>
    <xf numFmtId="0" fontId="0" fillId="0" borderId="8" xfId="0" applyFill="1" applyBorder="1"/>
    <xf numFmtId="0" fontId="0" fillId="0" borderId="0" xfId="0" applyFill="1" applyBorder="1"/>
    <xf numFmtId="0" fontId="90" fillId="0" borderId="2" xfId="0" applyFont="1" applyBorder="1"/>
    <xf numFmtId="0" fontId="0" fillId="0" borderId="2" xfId="0" applyBorder="1" applyAlignment="1">
      <alignment horizontal="center" vertical="center" wrapText="1"/>
    </xf>
    <xf numFmtId="165" fontId="0" fillId="0" borderId="0" xfId="0" applyNumberFormat="1"/>
    <xf numFmtId="0" fontId="42" fillId="0" borderId="2" xfId="0" applyFont="1" applyFill="1" applyBorder="1"/>
    <xf numFmtId="0" fontId="0" fillId="0" borderId="0" xfId="0" applyAlignment="1">
      <alignment horizontal="right"/>
    </xf>
    <xf numFmtId="0" fontId="90" fillId="0" borderId="2" xfId="0" applyFont="1" applyFill="1" applyBorder="1"/>
    <xf numFmtId="165" fontId="90" fillId="0" borderId="2" xfId="330" applyFont="1" applyFill="1" applyBorder="1"/>
    <xf numFmtId="0" fontId="0" fillId="0" borderId="2" xfId="0" applyFont="1" applyBorder="1"/>
    <xf numFmtId="0" fontId="0" fillId="0" borderId="2" xfId="0" applyFont="1" applyFill="1" applyBorder="1" applyAlignment="1">
      <alignment horizontal="right"/>
    </xf>
    <xf numFmtId="0" fontId="0" fillId="0" borderId="2" xfId="0" applyFont="1" applyBorder="1" applyAlignment="1">
      <alignment horizontal="right"/>
    </xf>
    <xf numFmtId="0" fontId="91" fillId="0" borderId="2" xfId="0" applyFont="1" applyBorder="1" applyAlignment="1">
      <alignment horizontal="right" vertical="center"/>
    </xf>
    <xf numFmtId="165" fontId="0" fillId="0" borderId="2" xfId="0" applyNumberFormat="1" applyFont="1" applyBorder="1"/>
    <xf numFmtId="0" fontId="0" fillId="0" borderId="0" xfId="0" applyFill="1"/>
    <xf numFmtId="0" fontId="91" fillId="0" borderId="2" xfId="0" applyFont="1" applyFill="1" applyBorder="1" applyAlignment="1">
      <alignment horizontal="left" vertical="center"/>
    </xf>
    <xf numFmtId="0" fontId="87" fillId="0" borderId="0" xfId="0" applyFont="1" applyAlignment="1">
      <alignment vertical="center"/>
    </xf>
    <xf numFmtId="0" fontId="86" fillId="0" borderId="87" xfId="0" applyFont="1" applyBorder="1" applyAlignment="1">
      <alignment horizontal="center" vertical="center"/>
    </xf>
    <xf numFmtId="0" fontId="16" fillId="0" borderId="27" xfId="0" applyFont="1" applyBorder="1" applyAlignment="1">
      <alignment horizontal="center" vertical="center" wrapText="1"/>
    </xf>
    <xf numFmtId="0" fontId="42" fillId="2" borderId="54" xfId="0" applyFont="1" applyFill="1" applyBorder="1"/>
    <xf numFmtId="0" fontId="16" fillId="0" borderId="55" xfId="0" applyFont="1" applyBorder="1"/>
    <xf numFmtId="167" fontId="17" fillId="2" borderId="2" xfId="0" applyNumberFormat="1" applyFont="1" applyFill="1" applyBorder="1"/>
    <xf numFmtId="0" fontId="42" fillId="2" borderId="55" xfId="0" applyFont="1" applyFill="1" applyBorder="1"/>
    <xf numFmtId="0" fontId="42" fillId="0" borderId="55" xfId="0" applyFont="1" applyBorder="1"/>
    <xf numFmtId="0" fontId="42" fillId="2" borderId="28" xfId="0" applyFont="1" applyFill="1" applyBorder="1"/>
    <xf numFmtId="167" fontId="17" fillId="2" borderId="21" xfId="0" applyNumberFormat="1" applyFont="1" applyFill="1" applyBorder="1"/>
    <xf numFmtId="0" fontId="0" fillId="31" borderId="27" xfId="0" applyFont="1" applyFill="1" applyBorder="1" applyAlignment="1">
      <alignment horizontal="center" vertical="center" wrapText="1"/>
    </xf>
    <xf numFmtId="0" fontId="16" fillId="31" borderId="27" xfId="0" applyFont="1" applyFill="1" applyBorder="1" applyAlignment="1">
      <alignment horizontal="center" vertical="center" wrapText="1"/>
    </xf>
    <xf numFmtId="0" fontId="0" fillId="0" borderId="0" xfId="0" applyFill="1" applyAlignment="1">
      <alignment horizontal="center"/>
    </xf>
    <xf numFmtId="0" fontId="0" fillId="0" borderId="0" xfId="0" applyNumberFormat="1" applyFill="1"/>
    <xf numFmtId="0" fontId="86" fillId="0" borderId="24" xfId="0" applyNumberFormat="1" applyFont="1" applyFill="1" applyBorder="1" applyAlignment="1">
      <alignment horizontal="right" vertical="center"/>
    </xf>
    <xf numFmtId="49" fontId="86" fillId="0" borderId="24" xfId="0" applyNumberFormat="1" applyFont="1" applyFill="1" applyBorder="1" applyAlignment="1">
      <alignment horizontal="left" vertical="center"/>
    </xf>
    <xf numFmtId="0" fontId="86" fillId="0" borderId="24" xfId="0" applyNumberFormat="1" applyFont="1" applyFill="1" applyBorder="1" applyAlignment="1">
      <alignment horizontal="center" vertical="center"/>
    </xf>
    <xf numFmtId="0" fontId="86" fillId="0" borderId="2" xfId="0" applyNumberFormat="1" applyFont="1" applyFill="1" applyBorder="1" applyAlignment="1">
      <alignment horizontal="right" vertical="center"/>
    </xf>
    <xf numFmtId="49" fontId="92" fillId="0" borderId="2" xfId="0" applyNumberFormat="1" applyFont="1" applyFill="1" applyBorder="1" applyAlignment="1">
      <alignment horizontal="left" vertical="center"/>
    </xf>
    <xf numFmtId="0" fontId="92" fillId="0" borderId="2" xfId="0" applyNumberFormat="1" applyFont="1" applyFill="1" applyBorder="1" applyAlignment="1">
      <alignment horizontal="center" vertical="center"/>
    </xf>
    <xf numFmtId="49" fontId="86" fillId="0" borderId="88" xfId="0" applyNumberFormat="1" applyFont="1" applyFill="1" applyBorder="1" applyAlignment="1">
      <alignment horizontal="left" vertical="center"/>
    </xf>
    <xf numFmtId="0" fontId="86" fillId="0" borderId="3" xfId="0" applyNumberFormat="1" applyFont="1" applyFill="1" applyBorder="1" applyAlignment="1">
      <alignment horizontal="center" vertical="center"/>
    </xf>
    <xf numFmtId="0" fontId="0" fillId="0" borderId="2" xfId="0" applyNumberFormat="1" applyFill="1" applyBorder="1"/>
    <xf numFmtId="185" fontId="86" fillId="0" borderId="87" xfId="0" applyNumberFormat="1" applyFont="1" applyBorder="1" applyAlignment="1">
      <alignment horizontal="right" vertical="center"/>
    </xf>
    <xf numFmtId="0" fontId="0" fillId="31" borderId="2" xfId="0" applyFill="1" applyBorder="1"/>
    <xf numFmtId="0" fontId="0" fillId="31" borderId="3" xfId="0" applyFill="1" applyBorder="1"/>
    <xf numFmtId="49" fontId="92" fillId="0" borderId="88" xfId="0" applyNumberFormat="1" applyFont="1" applyFill="1" applyBorder="1" applyAlignment="1">
      <alignment horizontal="left" vertical="center"/>
    </xf>
    <xf numFmtId="0" fontId="93" fillId="0" borderId="0" xfId="0" applyFont="1" applyFill="1"/>
    <xf numFmtId="49" fontId="92" fillId="0" borderId="87" xfId="0" applyNumberFormat="1" applyFont="1" applyFill="1" applyBorder="1" applyAlignment="1">
      <alignment horizontal="left" vertical="center"/>
    </xf>
    <xf numFmtId="0" fontId="92" fillId="0" borderId="24" xfId="0" applyNumberFormat="1" applyFont="1" applyFill="1" applyBorder="1" applyAlignment="1">
      <alignment horizontal="center" vertical="center"/>
    </xf>
    <xf numFmtId="0" fontId="93" fillId="0" borderId="3" xfId="0" applyFont="1" applyFill="1" applyBorder="1"/>
    <xf numFmtId="0" fontId="93" fillId="0" borderId="2" xfId="0" applyFont="1" applyFill="1" applyBorder="1"/>
    <xf numFmtId="0" fontId="92" fillId="0" borderId="3" xfId="0" applyNumberFormat="1" applyFont="1" applyFill="1" applyBorder="1" applyAlignment="1">
      <alignment horizontal="center" vertical="center"/>
    </xf>
    <xf numFmtId="49" fontId="92" fillId="0" borderId="87" xfId="0" applyNumberFormat="1" applyFont="1" applyBorder="1" applyAlignment="1">
      <alignment horizontal="left" vertical="center"/>
    </xf>
    <xf numFmtId="0" fontId="82" fillId="31" borderId="2" xfId="0" applyFont="1" applyFill="1" applyBorder="1"/>
    <xf numFmtId="1" fontId="38" fillId="6" borderId="14" xfId="0" applyNumberFormat="1" applyFont="1" applyFill="1" applyBorder="1" applyAlignment="1">
      <alignment horizontal="left" vertical="center" wrapText="1"/>
    </xf>
    <xf numFmtId="0" fontId="93" fillId="0" borderId="2" xfId="0" applyFont="1" applyBorder="1"/>
    <xf numFmtId="0" fontId="93" fillId="0" borderId="2" xfId="0" applyFont="1" applyBorder="1" applyAlignment="1">
      <alignment horizontal="left"/>
    </xf>
    <xf numFmtId="0" fontId="93" fillId="0" borderId="0" xfId="0" applyFont="1"/>
    <xf numFmtId="185" fontId="86" fillId="0" borderId="0" xfId="0" applyNumberFormat="1" applyFont="1" applyBorder="1" applyAlignment="1">
      <alignment horizontal="right" vertical="center"/>
    </xf>
    <xf numFmtId="0" fontId="92" fillId="0" borderId="2" xfId="0" applyNumberFormat="1" applyFont="1" applyFill="1" applyBorder="1" applyAlignment="1">
      <alignment horizontal="right" vertical="center"/>
    </xf>
    <xf numFmtId="185" fontId="92" fillId="0" borderId="87" xfId="0" applyNumberFormat="1" applyFont="1" applyBorder="1" applyAlignment="1">
      <alignment horizontal="right" vertical="center"/>
    </xf>
    <xf numFmtId="185" fontId="92" fillId="0" borderId="0" xfId="0" applyNumberFormat="1" applyFont="1" applyBorder="1" applyAlignment="1">
      <alignment horizontal="right" vertical="center"/>
    </xf>
    <xf numFmtId="0" fontId="93" fillId="31" borderId="2" xfId="0" applyFont="1" applyFill="1" applyBorder="1"/>
    <xf numFmtId="184" fontId="92" fillId="0" borderId="87" xfId="0" applyNumberFormat="1" applyFont="1" applyBorder="1" applyAlignment="1">
      <alignment horizontal="right" vertical="center"/>
    </xf>
    <xf numFmtId="0" fontId="94" fillId="0" borderId="2" xfId="0" applyNumberFormat="1" applyFont="1" applyFill="1" applyBorder="1" applyAlignment="1">
      <alignment horizontal="right" vertical="center"/>
    </xf>
    <xf numFmtId="49" fontId="94" fillId="0" borderId="2" xfId="0" applyNumberFormat="1" applyFont="1" applyFill="1" applyBorder="1" applyAlignment="1">
      <alignment horizontal="left" vertical="center"/>
    </xf>
    <xf numFmtId="0" fontId="94" fillId="0" borderId="2" xfId="0" applyNumberFormat="1" applyFont="1" applyFill="1" applyBorder="1" applyAlignment="1">
      <alignment horizontal="center" vertical="center"/>
    </xf>
    <xf numFmtId="49" fontId="94" fillId="0" borderId="87" xfId="0" applyNumberFormat="1" applyFont="1" applyBorder="1" applyAlignment="1">
      <alignment horizontal="left" vertical="center"/>
    </xf>
    <xf numFmtId="0" fontId="94" fillId="0" borderId="24" xfId="0" applyNumberFormat="1" applyFont="1" applyFill="1" applyBorder="1" applyAlignment="1">
      <alignment horizontal="center" vertical="center"/>
    </xf>
    <xf numFmtId="185" fontId="94" fillId="0" borderId="87" xfId="0" applyNumberFormat="1" applyFont="1" applyBorder="1" applyAlignment="1">
      <alignment horizontal="right" vertical="center"/>
    </xf>
    <xf numFmtId="185" fontId="94" fillId="0" borderId="0" xfId="0" applyNumberFormat="1" applyFont="1" applyBorder="1" applyAlignment="1">
      <alignment horizontal="right" vertical="center"/>
    </xf>
    <xf numFmtId="0" fontId="95" fillId="0" borderId="2" xfId="0" applyFont="1" applyFill="1" applyBorder="1"/>
    <xf numFmtId="0" fontId="95" fillId="31" borderId="2" xfId="0" applyFont="1" applyFill="1" applyBorder="1"/>
    <xf numFmtId="0" fontId="95" fillId="0" borderId="0" xfId="0" applyFont="1" applyFill="1"/>
    <xf numFmtId="184" fontId="94" fillId="0" borderId="87" xfId="0" applyNumberFormat="1" applyFont="1" applyBorder="1" applyAlignment="1">
      <alignment horizontal="right" vertical="center"/>
    </xf>
    <xf numFmtId="1" fontId="95" fillId="0" borderId="2" xfId="0" applyNumberFormat="1" applyFont="1" applyFill="1" applyBorder="1"/>
    <xf numFmtId="1" fontId="93" fillId="0" borderId="2" xfId="0" applyNumberFormat="1" applyFont="1" applyFill="1" applyBorder="1"/>
    <xf numFmtId="184" fontId="94" fillId="31" borderId="0" xfId="0" applyNumberFormat="1" applyFont="1" applyFill="1" applyBorder="1" applyAlignment="1">
      <alignment horizontal="right" vertical="center"/>
    </xf>
    <xf numFmtId="0" fontId="94" fillId="0" borderId="87" xfId="0" applyNumberFormat="1" applyFont="1" applyBorder="1" applyAlignment="1">
      <alignment horizontal="center" vertical="center"/>
    </xf>
    <xf numFmtId="0" fontId="92" fillId="0" borderId="87" xfId="0" applyNumberFormat="1" applyFont="1" applyBorder="1" applyAlignment="1">
      <alignment horizontal="center" vertical="center"/>
    </xf>
    <xf numFmtId="184" fontId="92" fillId="0" borderId="0" xfId="0" applyNumberFormat="1" applyFont="1" applyBorder="1" applyAlignment="1">
      <alignment horizontal="right" vertical="center"/>
    </xf>
    <xf numFmtId="184" fontId="92" fillId="31" borderId="87" xfId="0" applyNumberFormat="1" applyFont="1" applyFill="1" applyBorder="1" applyAlignment="1">
      <alignment horizontal="right" vertical="center"/>
    </xf>
    <xf numFmtId="184" fontId="92" fillId="31" borderId="0" xfId="0" applyNumberFormat="1" applyFont="1" applyFill="1" applyBorder="1" applyAlignment="1">
      <alignment horizontal="right" vertical="center"/>
    </xf>
    <xf numFmtId="49" fontId="94" fillId="0" borderId="87" xfId="0" applyNumberFormat="1" applyFont="1" applyFill="1" applyBorder="1" applyAlignment="1">
      <alignment horizontal="left" vertical="center"/>
    </xf>
    <xf numFmtId="0" fontId="93" fillId="31" borderId="3" xfId="0" applyFont="1" applyFill="1" applyBorder="1"/>
    <xf numFmtId="49" fontId="94" fillId="0" borderId="88" xfId="0" applyNumberFormat="1" applyFont="1" applyFill="1" applyBorder="1" applyAlignment="1">
      <alignment horizontal="left" vertical="center"/>
    </xf>
    <xf numFmtId="0" fontId="95" fillId="0" borderId="3" xfId="0" applyFont="1" applyFill="1" applyBorder="1"/>
    <xf numFmtId="0" fontId="95" fillId="31" borderId="3" xfId="0" applyFont="1" applyFill="1" applyBorder="1"/>
    <xf numFmtId="0" fontId="95" fillId="0" borderId="0" xfId="0" applyFont="1"/>
    <xf numFmtId="0" fontId="94" fillId="0" borderId="3" xfId="0" applyNumberFormat="1" applyFont="1" applyFill="1" applyBorder="1" applyAlignment="1">
      <alignment horizontal="center" vertical="center"/>
    </xf>
    <xf numFmtId="166" fontId="0" fillId="0" borderId="2" xfId="0" applyNumberFormat="1" applyFill="1" applyBorder="1"/>
    <xf numFmtId="0" fontId="0" fillId="31" borderId="2" xfId="0" applyFill="1" applyBorder="1" applyAlignment="1">
      <alignment horizontal="center" vertical="center" wrapText="1"/>
    </xf>
    <xf numFmtId="166" fontId="0" fillId="31" borderId="2" xfId="0" applyNumberFormat="1" applyFill="1" applyBorder="1"/>
    <xf numFmtId="0" fontId="85" fillId="0" borderId="4" xfId="0" applyFont="1" applyFill="1" applyBorder="1" applyAlignment="1">
      <alignment horizontal="center" vertical="center" wrapText="1"/>
    </xf>
    <xf numFmtId="168" fontId="82" fillId="0" borderId="2" xfId="317" applyNumberFormat="1" applyFont="1" applyBorder="1"/>
    <xf numFmtId="4" fontId="85" fillId="0" borderId="2" xfId="0" applyNumberFormat="1" applyFont="1" applyFill="1" applyBorder="1"/>
    <xf numFmtId="4" fontId="85" fillId="0" borderId="2" xfId="0" applyNumberFormat="1" applyFont="1" applyFill="1" applyBorder="1" applyAlignment="1">
      <alignment horizontal="right" vertical="top" wrapText="1"/>
    </xf>
    <xf numFmtId="4" fontId="85" fillId="0" borderId="2" xfId="0" applyNumberFormat="1" applyFont="1" applyFill="1" applyBorder="1" applyAlignment="1">
      <alignment horizontal="right" vertical="center" wrapText="1"/>
    </xf>
    <xf numFmtId="164" fontId="85" fillId="0" borderId="16" xfId="264" applyFont="1" applyFill="1" applyBorder="1" applyAlignment="1">
      <alignment vertical="center" wrapText="1"/>
    </xf>
    <xf numFmtId="1" fontId="38" fillId="6" borderId="24" xfId="0" applyNumberFormat="1" applyFont="1" applyFill="1" applyBorder="1" applyAlignment="1">
      <alignment horizontal="center"/>
    </xf>
    <xf numFmtId="165" fontId="42" fillId="6" borderId="21" xfId="330" applyFont="1" applyFill="1" applyBorder="1" applyAlignment="1">
      <alignment horizontal="center" vertical="top" wrapText="1"/>
    </xf>
    <xf numFmtId="0" fontId="52" fillId="0" borderId="0" xfId="0" applyFont="1" applyAlignment="1">
      <alignment horizontal="center"/>
    </xf>
    <xf numFmtId="4" fontId="52" fillId="0" borderId="0" xfId="0" applyNumberFormat="1" applyFont="1"/>
    <xf numFmtId="4" fontId="53" fillId="0" borderId="0" xfId="0" applyNumberFormat="1" applyFont="1" applyAlignment="1">
      <alignment horizontal="right"/>
    </xf>
    <xf numFmtId="0" fontId="53" fillId="0" borderId="0" xfId="0" applyFont="1" applyAlignment="1">
      <alignment horizontal="right"/>
    </xf>
    <xf numFmtId="0" fontId="52" fillId="0" borderId="0" xfId="0" applyFont="1" applyAlignment="1">
      <alignment horizontal="right"/>
    </xf>
    <xf numFmtId="4" fontId="52" fillId="0" borderId="0" xfId="0" applyNumberFormat="1" applyFont="1" applyAlignment="1">
      <alignment horizontal="right"/>
    </xf>
    <xf numFmtId="0" fontId="52" fillId="0" borderId="0" xfId="0" applyFont="1" applyFill="1"/>
    <xf numFmtId="0" fontId="53" fillId="0" borderId="0" xfId="0" applyFont="1" applyFill="1"/>
    <xf numFmtId="0" fontId="53" fillId="0" borderId="0" xfId="0" applyFont="1" applyAlignment="1">
      <alignment vertical="center" wrapText="1"/>
    </xf>
    <xf numFmtId="4" fontId="52" fillId="0" borderId="0" xfId="0" applyNumberFormat="1" applyFont="1" applyAlignment="1">
      <alignment horizontal="right" vertical="center"/>
    </xf>
    <xf numFmtId="0" fontId="96" fillId="0" borderId="0" xfId="0" applyFont="1" applyFill="1"/>
    <xf numFmtId="4" fontId="53" fillId="0" borderId="0" xfId="0" applyNumberFormat="1" applyFont="1" applyFill="1"/>
    <xf numFmtId="4" fontId="96" fillId="0" borderId="0" xfId="0" applyNumberFormat="1" applyFont="1" applyFill="1"/>
    <xf numFmtId="0" fontId="52" fillId="4" borderId="2" xfId="0" applyFont="1" applyFill="1" applyBorder="1" applyAlignment="1">
      <alignment horizontal="center" vertical="center" wrapText="1"/>
    </xf>
    <xf numFmtId="0" fontId="52" fillId="4" borderId="2" xfId="0" applyFont="1" applyFill="1" applyBorder="1" applyAlignment="1">
      <alignment vertical="center" wrapText="1"/>
    </xf>
    <xf numFmtId="0" fontId="52" fillId="0" borderId="2" xfId="0" applyFont="1" applyFill="1" applyBorder="1" applyAlignment="1">
      <alignment horizontal="center" vertical="center" wrapText="1"/>
    </xf>
    <xf numFmtId="0" fontId="52" fillId="0" borderId="2" xfId="0" applyFont="1" applyFill="1" applyBorder="1" applyAlignment="1">
      <alignment horizontal="center" vertical="center"/>
    </xf>
    <xf numFmtId="0" fontId="92" fillId="0" borderId="2" xfId="0" applyFont="1" applyFill="1" applyBorder="1" applyAlignment="1">
      <alignment horizontal="center"/>
    </xf>
    <xf numFmtId="49" fontId="92" fillId="0" borderId="2" xfId="0" applyNumberFormat="1" applyFont="1" applyFill="1" applyBorder="1"/>
    <xf numFmtId="165" fontId="92" fillId="0" borderId="2" xfId="0" applyNumberFormat="1" applyFont="1" applyFill="1" applyBorder="1"/>
    <xf numFmtId="49" fontId="92" fillId="0" borderId="2" xfId="0" applyNumberFormat="1" applyFont="1" applyFill="1" applyBorder="1" applyAlignment="1">
      <alignment horizontal="center"/>
    </xf>
    <xf numFmtId="165" fontId="92" fillId="0" borderId="2" xfId="0" applyNumberFormat="1" applyFont="1" applyFill="1" applyBorder="1" applyAlignment="1">
      <alignment horizontal="center"/>
    </xf>
    <xf numFmtId="168" fontId="53" fillId="2" borderId="2" xfId="0" applyNumberFormat="1" applyFont="1" applyFill="1" applyBorder="1" applyAlignment="1">
      <alignment horizontal="right"/>
    </xf>
    <xf numFmtId="168" fontId="53" fillId="2" borderId="2" xfId="0" applyNumberFormat="1" applyFont="1" applyFill="1" applyBorder="1" applyAlignment="1">
      <alignment horizontal="center"/>
    </xf>
    <xf numFmtId="0" fontId="93" fillId="0" borderId="2" xfId="0" applyFont="1" applyBorder="1" applyAlignment="1">
      <alignment horizontal="right"/>
    </xf>
    <xf numFmtId="167" fontId="19" fillId="0" borderId="0" xfId="0" applyNumberFormat="1" applyFont="1"/>
    <xf numFmtId="49" fontId="86" fillId="0" borderId="87" xfId="0" applyNumberFormat="1" applyFont="1" applyBorder="1" applyAlignment="1">
      <alignment horizontal="center" vertical="center"/>
    </xf>
    <xf numFmtId="49" fontId="86" fillId="0" borderId="87" xfId="0" applyNumberFormat="1" applyFont="1" applyBorder="1" applyAlignment="1">
      <alignment horizontal="right" vertical="center"/>
    </xf>
    <xf numFmtId="49" fontId="86" fillId="0" borderId="89" xfId="0" applyNumberFormat="1" applyFont="1" applyFill="1" applyBorder="1" applyAlignment="1">
      <alignment horizontal="center" vertical="center"/>
    </xf>
    <xf numFmtId="0" fontId="93" fillId="0" borderId="0" xfId="0" applyFont="1" applyAlignment="1">
      <alignment horizontal="left"/>
    </xf>
    <xf numFmtId="0" fontId="93" fillId="0" borderId="0" xfId="0" applyFont="1" applyAlignment="1">
      <alignment horizontal="left" wrapText="1"/>
    </xf>
    <xf numFmtId="0" fontId="93" fillId="0" borderId="0" xfId="0" applyFont="1" applyAlignment="1">
      <alignment horizontal="center"/>
    </xf>
    <xf numFmtId="0" fontId="97" fillId="0" borderId="0" xfId="0" applyFont="1" applyAlignment="1">
      <alignment horizontal="left"/>
    </xf>
    <xf numFmtId="0" fontId="97" fillId="0" borderId="0" xfId="0" applyFont="1" applyAlignment="1">
      <alignment horizontal="center"/>
    </xf>
    <xf numFmtId="0" fontId="98" fillId="0" borderId="2" xfId="0" applyFont="1" applyBorder="1" applyAlignment="1">
      <alignment horizontal="center" vertical="center" wrapText="1"/>
    </xf>
    <xf numFmtId="14" fontId="93" fillId="0" borderId="2" xfId="0" applyNumberFormat="1" applyFont="1" applyBorder="1" applyAlignment="1">
      <alignment horizontal="center" wrapText="1"/>
    </xf>
    <xf numFmtId="0" fontId="98" fillId="0" borderId="2" xfId="0" applyFont="1" applyBorder="1" applyAlignment="1">
      <alignment horizontal="center"/>
    </xf>
    <xf numFmtId="0" fontId="98" fillId="0" borderId="0" xfId="0" applyFont="1" applyAlignment="1">
      <alignment horizontal="center"/>
    </xf>
    <xf numFmtId="0" fontId="0" fillId="0" borderId="2" xfId="0" applyFont="1" applyBorder="1" applyAlignment="1">
      <alignment horizontal="left"/>
    </xf>
    <xf numFmtId="14" fontId="0" fillId="0" borderId="2" xfId="0" applyNumberFormat="1" applyFont="1" applyBorder="1" applyAlignment="1">
      <alignment horizontal="center" wrapText="1"/>
    </xf>
    <xf numFmtId="0" fontId="0" fillId="0" borderId="2" xfId="0" applyFont="1" applyBorder="1" applyAlignment="1">
      <alignment horizontal="center"/>
    </xf>
    <xf numFmtId="0" fontId="0" fillId="0" borderId="0" xfId="0" applyFont="1"/>
    <xf numFmtId="0" fontId="0" fillId="0" borderId="2" xfId="0" applyNumberFormat="1" applyFont="1" applyBorder="1" applyAlignment="1">
      <alignment horizontal="left"/>
    </xf>
    <xf numFmtId="184" fontId="86" fillId="0" borderId="0" xfId="0" applyNumberFormat="1" applyFont="1" applyBorder="1" applyAlignment="1">
      <alignment horizontal="right" vertical="center"/>
    </xf>
    <xf numFmtId="0" fontId="99" fillId="0" borderId="87" xfId="0" applyFont="1" applyBorder="1" applyAlignment="1">
      <alignment horizontal="left"/>
    </xf>
    <xf numFmtId="0" fontId="99" fillId="0" borderId="87" xfId="0" applyFont="1" applyBorder="1" applyAlignment="1">
      <alignment horizontal="center"/>
    </xf>
    <xf numFmtId="4" fontId="99" fillId="0" borderId="87" xfId="0" applyNumberFormat="1" applyFont="1" applyBorder="1" applyAlignment="1">
      <alignment horizontal="right"/>
    </xf>
    <xf numFmtId="0" fontId="38" fillId="0" borderId="2" xfId="0" applyFont="1" applyFill="1" applyBorder="1" applyAlignment="1">
      <alignment horizontal="center" vertical="center"/>
    </xf>
    <xf numFmtId="0" fontId="38" fillId="0" borderId="2" xfId="0" applyFont="1" applyFill="1" applyBorder="1" applyAlignment="1">
      <alignment horizontal="center" vertical="center" wrapText="1"/>
    </xf>
    <xf numFmtId="0" fontId="38" fillId="0" borderId="2" xfId="0" applyFont="1" applyFill="1" applyBorder="1" applyAlignment="1">
      <alignment horizontal="left" vertical="top" wrapText="1"/>
    </xf>
    <xf numFmtId="0" fontId="52" fillId="0" borderId="2" xfId="0" applyNumberFormat="1" applyFont="1" applyFill="1" applyBorder="1" applyAlignment="1">
      <alignment horizontal="center" vertical="center"/>
    </xf>
    <xf numFmtId="167" fontId="17" fillId="0" borderId="22" xfId="0" applyNumberFormat="1" applyFont="1" applyFill="1" applyBorder="1" applyAlignment="1">
      <alignment horizontal="right" vertical="center"/>
    </xf>
    <xf numFmtId="2" fontId="20" fillId="0" borderId="0" xfId="0" applyNumberFormat="1" applyFont="1"/>
    <xf numFmtId="0" fontId="52" fillId="0" borderId="2" xfId="0" applyNumberFormat="1" applyFont="1" applyBorder="1" applyAlignment="1">
      <alignment vertical="center"/>
    </xf>
    <xf numFmtId="184" fontId="52" fillId="0" borderId="2" xfId="0" applyNumberFormat="1" applyFont="1" applyBorder="1" applyAlignment="1">
      <alignment horizontal="center" vertical="center"/>
    </xf>
    <xf numFmtId="0" fontId="38" fillId="0" borderId="0" xfId="0" applyFont="1" applyFill="1" applyAlignment="1"/>
    <xf numFmtId="49" fontId="52" fillId="0" borderId="2" xfId="0" applyNumberFormat="1" applyFont="1" applyBorder="1" applyAlignment="1">
      <alignment horizontal="center" vertical="center"/>
    </xf>
    <xf numFmtId="49" fontId="52" fillId="0" borderId="2" xfId="0" applyNumberFormat="1" applyFont="1" applyBorder="1" applyAlignment="1">
      <alignment vertical="center" wrapText="1"/>
    </xf>
    <xf numFmtId="49" fontId="52" fillId="0" borderId="2" xfId="0" applyNumberFormat="1" applyFont="1" applyBorder="1" applyAlignment="1">
      <alignment horizontal="center" vertical="center" wrapText="1"/>
    </xf>
    <xf numFmtId="49" fontId="52" fillId="0" borderId="2" xfId="0" applyNumberFormat="1" applyFont="1" applyBorder="1" applyAlignment="1">
      <alignment horizontal="justify" vertical="top" wrapText="1"/>
    </xf>
    <xf numFmtId="0" fontId="38" fillId="0" borderId="0" xfId="0" applyFont="1" applyFill="1" applyBorder="1" applyAlignment="1">
      <alignment horizontal="center" vertical="top"/>
    </xf>
    <xf numFmtId="0" fontId="38" fillId="0" borderId="2" xfId="0" applyFont="1" applyFill="1" applyBorder="1" applyAlignment="1">
      <alignment horizontal="left" vertical="center"/>
    </xf>
    <xf numFmtId="0" fontId="38" fillId="0" borderId="3" xfId="0" applyFont="1" applyFill="1" applyBorder="1" applyAlignment="1">
      <alignment horizontal="center" vertical="center"/>
    </xf>
    <xf numFmtId="49" fontId="86" fillId="0" borderId="88" xfId="0" applyNumberFormat="1" applyFont="1" applyBorder="1" applyAlignment="1">
      <alignment horizontal="center" vertical="center"/>
    </xf>
    <xf numFmtId="0" fontId="52" fillId="0" borderId="3" xfId="0" applyNumberFormat="1" applyFont="1" applyFill="1" applyBorder="1" applyAlignment="1">
      <alignment horizontal="center" vertical="center"/>
    </xf>
    <xf numFmtId="0" fontId="38" fillId="0" borderId="3" xfId="0" applyFont="1" applyFill="1" applyBorder="1" applyAlignment="1">
      <alignment horizontal="center" vertical="center" wrapText="1"/>
    </xf>
    <xf numFmtId="184" fontId="86" fillId="0" borderId="88" xfId="0" applyNumberFormat="1" applyFont="1" applyBorder="1" applyAlignment="1">
      <alignment horizontal="right" vertical="center"/>
    </xf>
    <xf numFmtId="49" fontId="86" fillId="0" borderId="88" xfId="0" applyNumberFormat="1" applyFont="1" applyBorder="1" applyAlignment="1">
      <alignment horizontal="left" vertical="center"/>
    </xf>
    <xf numFmtId="0" fontId="38" fillId="0" borderId="3" xfId="0" applyFont="1" applyFill="1" applyBorder="1" applyAlignment="1">
      <alignment horizontal="left" vertical="top" wrapText="1"/>
    </xf>
    <xf numFmtId="1" fontId="16" fillId="0" borderId="2" xfId="0" applyNumberFormat="1" applyFont="1" applyFill="1" applyBorder="1" applyAlignment="1">
      <alignment horizontal="center" vertical="center" wrapText="1"/>
    </xf>
    <xf numFmtId="0" fontId="16" fillId="0" borderId="2" xfId="0" applyFont="1" applyFill="1" applyBorder="1"/>
    <xf numFmtId="0" fontId="16" fillId="0" borderId="2" xfId="0" applyFont="1" applyFill="1" applyBorder="1" applyAlignment="1">
      <alignment horizontal="justify" vertical="top" wrapText="1"/>
    </xf>
    <xf numFmtId="184" fontId="87" fillId="0" borderId="2" xfId="0" applyNumberFormat="1" applyFont="1" applyBorder="1" applyAlignment="1">
      <alignment horizontal="right" vertical="center"/>
    </xf>
    <xf numFmtId="49" fontId="86" fillId="0" borderId="2" xfId="0" applyNumberFormat="1" applyFont="1" applyBorder="1" applyAlignment="1">
      <alignment horizontal="center" vertical="center"/>
    </xf>
    <xf numFmtId="49" fontId="86" fillId="0" borderId="2" xfId="0" applyNumberFormat="1" applyFont="1" applyBorder="1" applyAlignment="1">
      <alignment horizontal="left" vertical="center"/>
    </xf>
    <xf numFmtId="0" fontId="86" fillId="0" borderId="2" xfId="0" applyNumberFormat="1" applyFont="1" applyBorder="1" applyAlignment="1">
      <alignment horizontal="center" vertical="center"/>
    </xf>
    <xf numFmtId="184" fontId="86" fillId="0" borderId="2" xfId="0" applyNumberFormat="1" applyFont="1" applyBorder="1" applyAlignment="1">
      <alignment horizontal="right" vertical="center"/>
    </xf>
    <xf numFmtId="0" fontId="86" fillId="0" borderId="2" xfId="0" applyFont="1" applyBorder="1" applyAlignment="1"/>
    <xf numFmtId="49" fontId="92" fillId="0" borderId="2" xfId="0" applyNumberFormat="1" applyFont="1" applyBorder="1" applyAlignment="1">
      <alignment horizontal="center" vertical="center"/>
    </xf>
    <xf numFmtId="0" fontId="92" fillId="0" borderId="2" xfId="0" applyNumberFormat="1" applyFont="1" applyBorder="1" applyAlignment="1">
      <alignment horizontal="center" vertical="center"/>
    </xf>
    <xf numFmtId="49" fontId="92" fillId="0" borderId="2" xfId="0" applyNumberFormat="1" applyFont="1" applyBorder="1" applyAlignment="1">
      <alignment horizontal="left" vertical="center"/>
    </xf>
    <xf numFmtId="184" fontId="92" fillId="0" borderId="2" xfId="0" applyNumberFormat="1" applyFont="1" applyBorder="1" applyAlignment="1">
      <alignment horizontal="right" vertical="center"/>
    </xf>
    <xf numFmtId="0" fontId="0" fillId="0" borderId="2" xfId="0" applyBorder="1" applyAlignment="1"/>
    <xf numFmtId="184" fontId="75" fillId="0" borderId="2" xfId="0" applyNumberFormat="1" applyFont="1" applyBorder="1" applyAlignment="1"/>
    <xf numFmtId="0" fontId="86" fillId="0" borderId="2" xfId="0" applyFont="1" applyBorder="1" applyAlignment="1">
      <alignment horizontal="center" vertical="center" wrapText="1"/>
    </xf>
    <xf numFmtId="0" fontId="38" fillId="0" borderId="56" xfId="0" applyFont="1" applyFill="1" applyBorder="1" applyAlignment="1">
      <alignment horizontal="center" vertical="center"/>
    </xf>
    <xf numFmtId="49" fontId="52" fillId="0" borderId="47" xfId="0" applyNumberFormat="1" applyFont="1" applyBorder="1" applyAlignment="1">
      <alignment horizontal="justify" vertical="top" wrapText="1"/>
    </xf>
    <xf numFmtId="0" fontId="38" fillId="0" borderId="47" xfId="0" applyFont="1" applyFill="1" applyBorder="1" applyAlignment="1">
      <alignment horizontal="left" vertical="top" wrapText="1"/>
    </xf>
    <xf numFmtId="0" fontId="85" fillId="0" borderId="2" xfId="0" applyFont="1" applyFill="1" applyBorder="1" applyAlignment="1">
      <alignment horizontal="center" vertical="center"/>
    </xf>
    <xf numFmtId="49" fontId="92" fillId="0" borderId="87" xfId="0" applyNumberFormat="1" applyFont="1" applyBorder="1" applyAlignment="1">
      <alignment horizontal="center" vertical="center"/>
    </xf>
    <xf numFmtId="0" fontId="85" fillId="0" borderId="2" xfId="0" applyFont="1" applyFill="1" applyBorder="1" applyAlignment="1">
      <alignment horizontal="center" vertical="center" wrapText="1"/>
    </xf>
    <xf numFmtId="0" fontId="85" fillId="0" borderId="2" xfId="0" applyFont="1" applyFill="1" applyBorder="1" applyAlignment="1">
      <alignment horizontal="left" vertical="top" wrapText="1"/>
    </xf>
    <xf numFmtId="0" fontId="85" fillId="0" borderId="0" xfId="0" applyFont="1" applyFill="1" applyBorder="1" applyAlignment="1">
      <alignment horizontal="center" vertical="top"/>
    </xf>
    <xf numFmtId="0" fontId="85" fillId="0" borderId="56" xfId="0" applyFont="1" applyFill="1" applyBorder="1" applyAlignment="1">
      <alignment horizontal="center" vertical="center"/>
    </xf>
    <xf numFmtId="0" fontId="92" fillId="0" borderId="2" xfId="0" applyNumberFormat="1" applyFont="1" applyBorder="1" applyAlignment="1">
      <alignment vertical="center"/>
    </xf>
    <xf numFmtId="49" fontId="92" fillId="0" borderId="2" xfId="0" applyNumberFormat="1" applyFont="1" applyBorder="1" applyAlignment="1">
      <alignment vertical="center" wrapText="1"/>
    </xf>
    <xf numFmtId="49" fontId="92" fillId="0" borderId="2" xfId="0" applyNumberFormat="1" applyFont="1" applyBorder="1" applyAlignment="1">
      <alignment horizontal="center" vertical="center" wrapText="1"/>
    </xf>
    <xf numFmtId="49" fontId="92" fillId="0" borderId="2" xfId="0" applyNumberFormat="1" applyFont="1" applyBorder="1" applyAlignment="1">
      <alignment horizontal="justify" vertical="top" wrapText="1"/>
    </xf>
    <xf numFmtId="49" fontId="92" fillId="0" borderId="47" xfId="0" applyNumberFormat="1" applyFont="1" applyBorder="1" applyAlignment="1">
      <alignment horizontal="justify" vertical="top" wrapText="1"/>
    </xf>
    <xf numFmtId="0" fontId="85" fillId="0" borderId="47" xfId="0" applyFont="1" applyFill="1" applyBorder="1" applyAlignment="1">
      <alignment horizontal="left" vertical="top" wrapText="1"/>
    </xf>
    <xf numFmtId="0" fontId="85" fillId="0" borderId="0" xfId="0" applyFont="1" applyFill="1" applyAlignment="1"/>
    <xf numFmtId="0" fontId="85" fillId="0" borderId="2" xfId="0" applyFont="1" applyFill="1" applyBorder="1" applyAlignment="1">
      <alignment horizontal="left" vertical="center"/>
    </xf>
    <xf numFmtId="49" fontId="92" fillId="0" borderId="87" xfId="0" applyNumberFormat="1" applyFont="1" applyFill="1" applyBorder="1" applyAlignment="1">
      <alignment horizontal="center" vertical="center"/>
    </xf>
    <xf numFmtId="0" fontId="92" fillId="0" borderId="2" xfId="0" applyNumberFormat="1" applyFont="1" applyFill="1" applyBorder="1" applyAlignment="1">
      <alignment vertical="center"/>
    </xf>
    <xf numFmtId="184" fontId="92" fillId="0" borderId="87" xfId="0" applyNumberFormat="1" applyFont="1" applyFill="1" applyBorder="1" applyAlignment="1">
      <alignment horizontal="right" vertical="center"/>
    </xf>
    <xf numFmtId="49" fontId="92" fillId="0" borderId="2" xfId="0" applyNumberFormat="1" applyFont="1" applyFill="1" applyBorder="1" applyAlignment="1">
      <alignment vertical="center" wrapText="1"/>
    </xf>
    <xf numFmtId="49" fontId="92" fillId="0" borderId="2" xfId="0" applyNumberFormat="1" applyFont="1" applyFill="1" applyBorder="1" applyAlignment="1">
      <alignment horizontal="center" vertical="center" wrapText="1"/>
    </xf>
    <xf numFmtId="49" fontId="92" fillId="0" borderId="2" xfId="0" applyNumberFormat="1" applyFont="1" applyFill="1" applyBorder="1" applyAlignment="1">
      <alignment horizontal="justify" vertical="top" wrapText="1"/>
    </xf>
    <xf numFmtId="49" fontId="92" fillId="0" borderId="47" xfId="0" applyNumberFormat="1" applyFont="1" applyFill="1" applyBorder="1" applyAlignment="1">
      <alignment horizontal="justify" vertical="top" wrapText="1"/>
    </xf>
    <xf numFmtId="0" fontId="17" fillId="0" borderId="57" xfId="0" applyFont="1" applyBorder="1" applyAlignment="1">
      <alignment horizontal="center"/>
    </xf>
    <xf numFmtId="0" fontId="17" fillId="0" borderId="39" xfId="0" applyFont="1" applyBorder="1" applyAlignment="1">
      <alignment horizontal="center"/>
    </xf>
    <xf numFmtId="0" fontId="17" fillId="0" borderId="51" xfId="0" applyFont="1" applyBorder="1" applyAlignment="1">
      <alignment horizontal="center"/>
    </xf>
    <xf numFmtId="0" fontId="16" fillId="0" borderId="4" xfId="0" applyFont="1" applyBorder="1" applyAlignment="1">
      <alignment horizontal="right" vertical="center"/>
    </xf>
    <xf numFmtId="0" fontId="17" fillId="2" borderId="4" xfId="0" applyFont="1" applyFill="1" applyBorder="1" applyAlignment="1">
      <alignment horizontal="center"/>
    </xf>
    <xf numFmtId="0" fontId="17" fillId="2" borderId="2" xfId="0" applyFont="1" applyFill="1" applyBorder="1"/>
    <xf numFmtId="167" fontId="17" fillId="2" borderId="2" xfId="0" applyNumberFormat="1" applyFont="1" applyFill="1" applyBorder="1" applyAlignment="1">
      <alignment horizontal="right" vertical="center"/>
    </xf>
    <xf numFmtId="0" fontId="16" fillId="0" borderId="4" xfId="0" applyFont="1" applyBorder="1" applyAlignment="1">
      <alignment horizontal="right"/>
    </xf>
    <xf numFmtId="4" fontId="16" fillId="0" borderId="2" xfId="0" applyNumberFormat="1" applyFont="1" applyBorder="1" applyAlignment="1">
      <alignment horizontal="right" vertical="center"/>
    </xf>
    <xf numFmtId="186" fontId="16" fillId="0" borderId="2" xfId="0" applyNumberFormat="1" applyFont="1" applyBorder="1" applyAlignment="1">
      <alignment horizontal="right" vertical="center"/>
    </xf>
    <xf numFmtId="0" fontId="16" fillId="0" borderId="2" xfId="0" applyFont="1" applyBorder="1" applyAlignment="1">
      <alignment wrapText="1"/>
    </xf>
    <xf numFmtId="0" fontId="17" fillId="2" borderId="20" xfId="0" applyFont="1" applyFill="1" applyBorder="1" applyAlignment="1">
      <alignment horizontal="center"/>
    </xf>
    <xf numFmtId="0" fontId="17" fillId="2" borderId="21" xfId="0" applyFont="1" applyFill="1" applyBorder="1"/>
    <xf numFmtId="167" fontId="17" fillId="13" borderId="21" xfId="0" applyNumberFormat="1" applyFont="1" applyFill="1" applyBorder="1" applyAlignment="1">
      <alignment horizontal="right" vertical="center"/>
    </xf>
    <xf numFmtId="167" fontId="17" fillId="2" borderId="21" xfId="0" applyNumberFormat="1" applyFont="1" applyFill="1" applyBorder="1" applyAlignment="1">
      <alignment horizontal="right" vertical="center"/>
    </xf>
    <xf numFmtId="167" fontId="17" fillId="13" borderId="22" xfId="0" applyNumberFormat="1" applyFont="1" applyFill="1" applyBorder="1" applyAlignment="1">
      <alignment horizontal="right" vertical="center"/>
    </xf>
    <xf numFmtId="2" fontId="42" fillId="0" borderId="0" xfId="0" applyNumberFormat="1" applyFont="1" applyFill="1" applyAlignment="1">
      <alignment horizontal="right"/>
    </xf>
    <xf numFmtId="0" fontId="42" fillId="0" borderId="0" xfId="0" applyFont="1" applyFill="1" applyAlignment="1">
      <alignment horizontal="justify" vertical="top" wrapText="1"/>
    </xf>
    <xf numFmtId="0" fontId="86" fillId="0" borderId="90" xfId="0" applyFont="1" applyBorder="1" applyAlignment="1">
      <alignment vertical="center"/>
    </xf>
    <xf numFmtId="0" fontId="86" fillId="0" borderId="91" xfId="0" applyFont="1" applyBorder="1" applyAlignment="1">
      <alignment vertical="center"/>
    </xf>
    <xf numFmtId="0" fontId="86" fillId="0" borderId="92" xfId="0" applyFont="1" applyBorder="1" applyAlignment="1">
      <alignment vertical="center"/>
    </xf>
    <xf numFmtId="0" fontId="87" fillId="0" borderId="92" xfId="0" applyFont="1" applyBorder="1" applyAlignment="1">
      <alignment vertical="center"/>
    </xf>
    <xf numFmtId="0" fontId="87" fillId="0" borderId="93" xfId="0" applyFont="1" applyBorder="1" applyAlignment="1">
      <alignment vertical="center"/>
    </xf>
    <xf numFmtId="0" fontId="87" fillId="0" borderId="94" xfId="0" applyFont="1" applyBorder="1" applyAlignment="1">
      <alignment vertical="center"/>
    </xf>
    <xf numFmtId="183" fontId="16" fillId="0" borderId="2" xfId="0" applyNumberFormat="1" applyFont="1" applyBorder="1" applyAlignment="1">
      <alignment horizontal="right" vertical="center"/>
    </xf>
    <xf numFmtId="165" fontId="20" fillId="0" borderId="0" xfId="330" applyFont="1" applyBorder="1"/>
    <xf numFmtId="167" fontId="16" fillId="31" borderId="2" xfId="0" applyNumberFormat="1" applyFont="1" applyFill="1" applyBorder="1" applyAlignment="1">
      <alignment horizontal="right" vertical="center"/>
    </xf>
    <xf numFmtId="167" fontId="16" fillId="31" borderId="16" xfId="0" applyNumberFormat="1" applyFont="1" applyFill="1" applyBorder="1" applyAlignment="1">
      <alignment horizontal="right" vertical="center"/>
    </xf>
    <xf numFmtId="165" fontId="18" fillId="0" borderId="0" xfId="330" applyFont="1"/>
    <xf numFmtId="165" fontId="18" fillId="0" borderId="0" xfId="330" applyFont="1" applyBorder="1"/>
    <xf numFmtId="43" fontId="16" fillId="0" borderId="0" xfId="0" applyNumberFormat="1" applyFont="1"/>
    <xf numFmtId="0" fontId="1" fillId="0" borderId="0" xfId="337"/>
    <xf numFmtId="0" fontId="16" fillId="0" borderId="0" xfId="337" applyFont="1"/>
    <xf numFmtId="0" fontId="17" fillId="0" borderId="0" xfId="337" applyFont="1"/>
    <xf numFmtId="0" fontId="42" fillId="0" borderId="0" xfId="337" applyFont="1"/>
    <xf numFmtId="2" fontId="16" fillId="0" borderId="0" xfId="337" applyNumberFormat="1" applyFont="1" applyBorder="1" applyAlignment="1">
      <alignment horizontal="right"/>
    </xf>
    <xf numFmtId="177" fontId="16" fillId="0" borderId="0" xfId="337" applyNumberFormat="1" applyFont="1" applyBorder="1"/>
    <xf numFmtId="43" fontId="18" fillId="0" borderId="0" xfId="338" applyFont="1"/>
    <xf numFmtId="43" fontId="18" fillId="0" borderId="0" xfId="338" applyFont="1" applyBorder="1"/>
    <xf numFmtId="167" fontId="17" fillId="2" borderId="19" xfId="337" applyNumberFormat="1" applyFont="1" applyFill="1" applyBorder="1" applyAlignment="1">
      <alignment horizontal="right" vertical="center"/>
    </xf>
    <xf numFmtId="167" fontId="17" fillId="2" borderId="10" xfId="337" applyNumberFormat="1" applyFont="1" applyFill="1" applyBorder="1" applyAlignment="1">
      <alignment horizontal="right" vertical="center"/>
    </xf>
    <xf numFmtId="167" fontId="17" fillId="2" borderId="18" xfId="337" applyNumberFormat="1" applyFont="1" applyFill="1" applyBorder="1" applyAlignment="1">
      <alignment horizontal="right" vertical="center"/>
    </xf>
    <xf numFmtId="0" fontId="17" fillId="2" borderId="7" xfId="337" applyFont="1" applyFill="1" applyBorder="1" applyAlignment="1">
      <alignment horizontal="center"/>
    </xf>
    <xf numFmtId="0" fontId="16" fillId="2" borderId="17" xfId="337" applyFont="1" applyFill="1" applyBorder="1" applyAlignment="1">
      <alignment horizontal="center"/>
    </xf>
    <xf numFmtId="167" fontId="16" fillId="0" borderId="49" xfId="337" applyNumberFormat="1" applyFont="1" applyBorder="1" applyAlignment="1">
      <alignment horizontal="right" vertical="center"/>
    </xf>
    <xf numFmtId="167" fontId="16" fillId="0" borderId="2" xfId="337" applyNumberFormat="1" applyFont="1" applyBorder="1" applyAlignment="1">
      <alignment horizontal="right" vertical="center"/>
    </xf>
    <xf numFmtId="0" fontId="16" fillId="0" borderId="7" xfId="337" applyFont="1" applyBorder="1" applyAlignment="1">
      <alignment horizontal="justify" vertical="center" wrapText="1"/>
    </xf>
    <xf numFmtId="0" fontId="16" fillId="0" borderId="17" xfId="337" applyFont="1" applyBorder="1" applyAlignment="1">
      <alignment horizontal="center"/>
    </xf>
    <xf numFmtId="167" fontId="16" fillId="0" borderId="16" xfId="337" applyNumberFormat="1" applyFont="1" applyBorder="1" applyAlignment="1">
      <alignment horizontal="right" vertical="center"/>
    </xf>
    <xf numFmtId="0" fontId="16" fillId="0" borderId="2" xfId="337" applyFont="1" applyBorder="1" applyAlignment="1">
      <alignment horizontal="justify" vertical="center" wrapText="1"/>
    </xf>
    <xf numFmtId="0" fontId="16" fillId="0" borderId="2" xfId="337" applyFont="1" applyBorder="1" applyAlignment="1">
      <alignment horizontal="center"/>
    </xf>
    <xf numFmtId="0" fontId="16" fillId="0" borderId="2" xfId="337" applyFont="1" applyBorder="1" applyAlignment="1">
      <alignment horizontal="left" vertical="center" wrapText="1"/>
    </xf>
    <xf numFmtId="0" fontId="16" fillId="0" borderId="4" xfId="337" applyFont="1" applyBorder="1" applyAlignment="1">
      <alignment horizontal="center"/>
    </xf>
    <xf numFmtId="167" fontId="17" fillId="0" borderId="25" xfId="337" applyNumberFormat="1" applyFont="1" applyFill="1" applyBorder="1" applyAlignment="1">
      <alignment horizontal="right" vertical="center"/>
    </xf>
    <xf numFmtId="167" fontId="17" fillId="0" borderId="24" xfId="337" applyNumberFormat="1" applyFont="1" applyFill="1" applyBorder="1" applyAlignment="1">
      <alignment horizontal="right" vertical="center"/>
    </xf>
    <xf numFmtId="0" fontId="61" fillId="0" borderId="24" xfId="337" applyFont="1" applyFill="1" applyBorder="1" applyAlignment="1">
      <alignment horizontal="justify" vertical="center" wrapText="1"/>
    </xf>
    <xf numFmtId="0" fontId="16" fillId="0" borderId="23" xfId="337" applyFont="1" applyFill="1" applyBorder="1" applyAlignment="1">
      <alignment horizontal="center"/>
    </xf>
    <xf numFmtId="167" fontId="17" fillId="0" borderId="22" xfId="337" applyNumberFormat="1" applyFont="1" applyFill="1" applyBorder="1" applyAlignment="1">
      <alignment horizontal="right" vertical="center"/>
    </xf>
    <xf numFmtId="167" fontId="17" fillId="0" borderId="21" xfId="337" applyNumberFormat="1" applyFont="1" applyFill="1" applyBorder="1" applyAlignment="1">
      <alignment horizontal="right" vertical="center"/>
    </xf>
    <xf numFmtId="0" fontId="17" fillId="0" borderId="21" xfId="337" applyFont="1" applyFill="1" applyBorder="1" applyAlignment="1">
      <alignment horizontal="justify" vertical="center" wrapText="1"/>
    </xf>
    <xf numFmtId="0" fontId="52" fillId="0" borderId="20" xfId="337" applyFont="1" applyFill="1" applyBorder="1" applyAlignment="1">
      <alignment horizontal="right"/>
    </xf>
    <xf numFmtId="0" fontId="16" fillId="0" borderId="2" xfId="337" applyFont="1" applyBorder="1"/>
    <xf numFmtId="0" fontId="52" fillId="0" borderId="4" xfId="337" applyFont="1" applyBorder="1" applyAlignment="1">
      <alignment horizontal="right"/>
    </xf>
    <xf numFmtId="0" fontId="16" fillId="0" borderId="2" xfId="337" applyFont="1" applyBorder="1" applyAlignment="1">
      <alignment horizontal="left" vertical="top" wrapText="1"/>
    </xf>
    <xf numFmtId="167" fontId="16" fillId="0" borderId="0" xfId="337" applyNumberFormat="1" applyFont="1"/>
    <xf numFmtId="167" fontId="17" fillId="2" borderId="15" xfId="337" applyNumberFormat="1" applyFont="1" applyFill="1" applyBorder="1" applyAlignment="1">
      <alignment horizontal="right" vertical="center"/>
    </xf>
    <xf numFmtId="167" fontId="17" fillId="2" borderId="14" xfId="337" applyNumberFormat="1" applyFont="1" applyFill="1" applyBorder="1" applyAlignment="1">
      <alignment horizontal="right" vertical="center"/>
    </xf>
    <xf numFmtId="0" fontId="17" fillId="2" borderId="14" xfId="337" applyFont="1" applyFill="1" applyBorder="1" applyAlignment="1">
      <alignment horizontal="justify" vertical="center" wrapText="1"/>
    </xf>
    <xf numFmtId="0" fontId="17" fillId="2" borderId="13" xfId="337" applyFont="1" applyFill="1" applyBorder="1" applyAlignment="1">
      <alignment horizontal="center"/>
    </xf>
    <xf numFmtId="167" fontId="16" fillId="0" borderId="12" xfId="337" applyNumberFormat="1" applyFont="1" applyBorder="1" applyAlignment="1">
      <alignment horizontal="right" vertical="center"/>
    </xf>
    <xf numFmtId="167" fontId="16" fillId="0" borderId="3" xfId="337" applyNumberFormat="1" applyFont="1" applyBorder="1" applyAlignment="1">
      <alignment horizontal="right" vertical="center"/>
    </xf>
    <xf numFmtId="0" fontId="16" fillId="0" borderId="3" xfId="337" applyFont="1" applyBorder="1" applyAlignment="1">
      <alignment horizontal="left" vertical="top" wrapText="1"/>
    </xf>
    <xf numFmtId="0" fontId="52" fillId="0" borderId="11" xfId="337" applyFont="1" applyBorder="1" applyAlignment="1">
      <alignment horizontal="right"/>
    </xf>
    <xf numFmtId="186" fontId="16" fillId="0" borderId="2" xfId="337" applyNumberFormat="1" applyFont="1" applyBorder="1" applyAlignment="1">
      <alignment horizontal="right" vertical="center"/>
    </xf>
    <xf numFmtId="0" fontId="1" fillId="0" borderId="0" xfId="337" applyFont="1" applyFill="1"/>
    <xf numFmtId="43" fontId="16" fillId="0" borderId="0" xfId="337" applyNumberFormat="1" applyFont="1"/>
    <xf numFmtId="167" fontId="16" fillId="31" borderId="16" xfId="337" applyNumberFormat="1" applyFont="1" applyFill="1" applyBorder="1" applyAlignment="1">
      <alignment horizontal="right" vertical="center"/>
    </xf>
    <xf numFmtId="167" fontId="16" fillId="31" borderId="2" xfId="337" applyNumberFormat="1" applyFont="1" applyFill="1" applyBorder="1" applyAlignment="1">
      <alignment horizontal="right" vertical="center"/>
    </xf>
    <xf numFmtId="0" fontId="17" fillId="2" borderId="14" xfId="337" applyFont="1" applyFill="1" applyBorder="1"/>
    <xf numFmtId="0" fontId="17" fillId="0" borderId="12" xfId="337" applyFont="1" applyBorder="1" applyAlignment="1">
      <alignment horizontal="center"/>
    </xf>
    <xf numFmtId="0" fontId="17" fillId="0" borderId="11" xfId="337" applyFont="1" applyBorder="1" applyAlignment="1">
      <alignment horizontal="center"/>
    </xf>
    <xf numFmtId="0" fontId="57" fillId="0" borderId="0" xfId="337" applyFont="1" applyAlignment="1">
      <alignment horizontal="right"/>
    </xf>
    <xf numFmtId="0" fontId="56" fillId="0" borderId="0" xfId="337" applyFont="1" applyAlignment="1">
      <alignment horizontal="right"/>
    </xf>
    <xf numFmtId="166" fontId="16" fillId="0" borderId="0" xfId="337" applyNumberFormat="1" applyFont="1"/>
    <xf numFmtId="167" fontId="100" fillId="0" borderId="16" xfId="0" applyNumberFormat="1" applyFont="1" applyBorder="1" applyAlignment="1">
      <alignment horizontal="right" vertical="center"/>
    </xf>
    <xf numFmtId="167" fontId="101" fillId="2" borderId="15" xfId="0" applyNumberFormat="1" applyFont="1" applyFill="1" applyBorder="1" applyAlignment="1">
      <alignment horizontal="right" vertical="center"/>
    </xf>
    <xf numFmtId="167" fontId="101" fillId="2" borderId="16" xfId="0" applyNumberFormat="1" applyFont="1" applyFill="1" applyBorder="1" applyAlignment="1">
      <alignment horizontal="right" vertical="center"/>
    </xf>
    <xf numFmtId="167" fontId="100" fillId="0" borderId="2" xfId="0" applyNumberFormat="1" applyFont="1" applyBorder="1" applyAlignment="1">
      <alignment horizontal="right" vertical="center"/>
    </xf>
    <xf numFmtId="165" fontId="20" fillId="0" borderId="0" xfId="330" applyFont="1" applyBorder="1" applyAlignment="1">
      <alignment vertical="center"/>
    </xf>
    <xf numFmtId="165" fontId="20" fillId="2" borderId="0" xfId="330" applyFont="1" applyFill="1" applyBorder="1"/>
    <xf numFmtId="165" fontId="45" fillId="0" borderId="0" xfId="330" applyFont="1"/>
    <xf numFmtId="165" fontId="40" fillId="0" borderId="0" xfId="330" applyFont="1"/>
    <xf numFmtId="0" fontId="86" fillId="0" borderId="0" xfId="0" applyFont="1" applyAlignment="1">
      <alignment vertical="center"/>
    </xf>
    <xf numFmtId="0" fontId="87" fillId="0" borderId="2" xfId="0" applyFont="1" applyBorder="1" applyAlignment="1">
      <alignment horizontal="center" vertical="center"/>
    </xf>
    <xf numFmtId="49" fontId="87" fillId="0" borderId="2" xfId="0" applyNumberFormat="1" applyFont="1" applyBorder="1" applyAlignment="1">
      <alignment vertical="center"/>
    </xf>
    <xf numFmtId="49" fontId="87" fillId="0" borderId="2" xfId="0" applyNumberFormat="1" applyFont="1" applyBorder="1" applyAlignment="1">
      <alignment horizontal="left" vertical="center"/>
    </xf>
    <xf numFmtId="0" fontId="86" fillId="0" borderId="2" xfId="0" applyFont="1" applyBorder="1" applyAlignment="1">
      <alignment horizontal="center" vertical="center"/>
    </xf>
    <xf numFmtId="0" fontId="86" fillId="0" borderId="2" xfId="0" applyFont="1" applyBorder="1"/>
    <xf numFmtId="0" fontId="86" fillId="0" borderId="0" xfId="0" applyFont="1"/>
    <xf numFmtId="0" fontId="87" fillId="0" borderId="0" xfId="0" applyFont="1"/>
    <xf numFmtId="0" fontId="17" fillId="0" borderId="0" xfId="0" applyFont="1" applyAlignment="1">
      <alignment horizontal="center" vertical="center" wrapText="1"/>
    </xf>
    <xf numFmtId="0" fontId="17" fillId="0" borderId="27" xfId="0" applyFont="1" applyBorder="1" applyAlignment="1">
      <alignment horizontal="center" vertical="center" wrapText="1"/>
    </xf>
    <xf numFmtId="0" fontId="16" fillId="0" borderId="39" xfId="0" applyFont="1" applyBorder="1" applyAlignment="1">
      <alignment horizontal="center" vertical="center" wrapText="1"/>
    </xf>
    <xf numFmtId="0" fontId="17" fillId="0" borderId="44" xfId="0" applyFont="1" applyBorder="1" applyAlignment="1">
      <alignment horizontal="center" vertical="center" wrapText="1"/>
    </xf>
    <xf numFmtId="0" fontId="16" fillId="0" borderId="51" xfId="0" applyFont="1" applyBorder="1" applyAlignment="1">
      <alignment horizontal="center" vertical="center" wrapText="1"/>
    </xf>
    <xf numFmtId="0" fontId="17" fillId="0" borderId="48" xfId="0" applyFont="1" applyBorder="1" applyAlignment="1">
      <alignment horizontal="justify" vertical="center" wrapText="1"/>
    </xf>
    <xf numFmtId="0" fontId="16" fillId="0" borderId="57" xfId="0" applyFont="1" applyBorder="1" applyAlignment="1">
      <alignment horizontal="justify" vertical="center" wrapText="1"/>
    </xf>
    <xf numFmtId="0" fontId="17" fillId="0" borderId="1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0" xfId="0" applyFont="1" applyAlignment="1">
      <alignment horizontal="center" wrapText="1"/>
    </xf>
    <xf numFmtId="0" fontId="17" fillId="0" borderId="39" xfId="0" applyFont="1" applyBorder="1" applyAlignment="1">
      <alignment horizontal="center" vertical="center" wrapText="1"/>
    </xf>
    <xf numFmtId="0" fontId="17" fillId="0" borderId="48" xfId="0" applyFont="1" applyBorder="1" applyAlignment="1">
      <alignment horizontal="center" vertical="center" wrapText="1"/>
    </xf>
    <xf numFmtId="0" fontId="17" fillId="0" borderId="58" xfId="0" applyFont="1" applyBorder="1" applyAlignment="1">
      <alignment horizontal="center" vertical="center" wrapText="1"/>
    </xf>
    <xf numFmtId="0" fontId="17" fillId="0" borderId="59" xfId="0" applyFont="1" applyBorder="1" applyAlignment="1">
      <alignment horizontal="center" vertical="center" wrapText="1"/>
    </xf>
    <xf numFmtId="0" fontId="16" fillId="0" borderId="0" xfId="0" applyFont="1" applyAlignment="1">
      <alignment horizontal="center" vertical="center" wrapText="1"/>
    </xf>
    <xf numFmtId="0" fontId="38" fillId="0" borderId="60" xfId="0" applyFont="1" applyBorder="1" applyAlignment="1">
      <alignment horizontal="center" vertical="center" wrapText="1"/>
    </xf>
    <xf numFmtId="0" fontId="38" fillId="0" borderId="61" xfId="0" applyFont="1" applyBorder="1" applyAlignment="1">
      <alignment horizontal="center" vertical="center" wrapText="1"/>
    </xf>
    <xf numFmtId="0" fontId="38" fillId="0" borderId="62" xfId="0" applyFont="1" applyBorder="1" applyAlignment="1">
      <alignment horizontal="center" vertical="center" wrapText="1"/>
    </xf>
    <xf numFmtId="0" fontId="38" fillId="0" borderId="63" xfId="0" applyFont="1" applyBorder="1" applyAlignment="1">
      <alignment horizontal="center" vertical="center" wrapText="1"/>
    </xf>
    <xf numFmtId="0" fontId="38" fillId="0" borderId="64" xfId="0" applyFont="1" applyBorder="1" applyAlignment="1">
      <alignment horizontal="center" vertical="center" wrapText="1"/>
    </xf>
    <xf numFmtId="0" fontId="38" fillId="0" borderId="65"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15" xfId="0" applyFont="1" applyBorder="1" applyAlignment="1">
      <alignment horizontal="center" vertical="center" wrapText="1"/>
    </xf>
    <xf numFmtId="0" fontId="19" fillId="0" borderId="0" xfId="0" applyFont="1" applyAlignment="1">
      <alignment horizontal="center" vertical="top" wrapText="1"/>
    </xf>
    <xf numFmtId="0" fontId="19" fillId="0" borderId="0" xfId="0" applyFont="1" applyAlignment="1">
      <alignment horizontal="center" vertical="center" wrapText="1"/>
    </xf>
    <xf numFmtId="0" fontId="47" fillId="0" borderId="27" xfId="0" applyFont="1" applyFill="1" applyBorder="1" applyAlignment="1">
      <alignment horizontal="center" vertical="center" wrapText="1"/>
    </xf>
    <xf numFmtId="0" fontId="47" fillId="0" borderId="19" xfId="0" applyFont="1" applyFill="1" applyBorder="1" applyAlignment="1">
      <alignment horizontal="center" vertical="center" wrapText="1"/>
    </xf>
    <xf numFmtId="0" fontId="47" fillId="0" borderId="30" xfId="0" applyFont="1" applyFill="1" applyBorder="1" applyAlignment="1">
      <alignment horizontal="center" vertical="center" wrapText="1"/>
    </xf>
    <xf numFmtId="0" fontId="47" fillId="0" borderId="66" xfId="0" applyFont="1" applyFill="1" applyBorder="1" applyAlignment="1">
      <alignment horizontal="center" vertical="center" wrapText="1"/>
    </xf>
    <xf numFmtId="0" fontId="66" fillId="2" borderId="2" xfId="0" applyFont="1" applyFill="1" applyBorder="1" applyAlignment="1">
      <alignment horizontal="center"/>
    </xf>
    <xf numFmtId="0" fontId="66" fillId="0" borderId="2" xfId="0" applyFont="1" applyFill="1" applyBorder="1" applyAlignment="1">
      <alignment horizontal="center"/>
    </xf>
    <xf numFmtId="0" fontId="42" fillId="0" borderId="0" xfId="0" applyFont="1" applyAlignment="1">
      <alignment horizontal="center" vertical="center" wrapText="1"/>
    </xf>
    <xf numFmtId="0" fontId="42" fillId="0" borderId="0" xfId="0" applyFont="1" applyAlignment="1">
      <alignment horizontal="center" vertical="center"/>
    </xf>
    <xf numFmtId="0" fontId="53" fillId="0" borderId="0" xfId="0" applyFont="1" applyAlignment="1">
      <alignment horizontal="center" vertical="center" wrapText="1"/>
    </xf>
    <xf numFmtId="0" fontId="53" fillId="0" borderId="0" xfId="0" applyFont="1" applyAlignment="1">
      <alignment horizontal="center" vertical="center"/>
    </xf>
    <xf numFmtId="0" fontId="53" fillId="2" borderId="33" xfId="0" applyFont="1" applyFill="1" applyBorder="1" applyAlignment="1">
      <alignment horizontal="center"/>
    </xf>
    <xf numFmtId="0" fontId="53" fillId="2" borderId="67" xfId="0" applyFont="1" applyFill="1" applyBorder="1" applyAlignment="1">
      <alignment horizontal="center"/>
    </xf>
    <xf numFmtId="0" fontId="53" fillId="2" borderId="55" xfId="0" applyFont="1" applyFill="1" applyBorder="1" applyAlignment="1">
      <alignment horizontal="center"/>
    </xf>
    <xf numFmtId="0" fontId="53" fillId="0" borderId="2" xfId="0" applyFont="1" applyFill="1" applyBorder="1" applyAlignment="1">
      <alignment horizontal="center"/>
    </xf>
    <xf numFmtId="0" fontId="42" fillId="0" borderId="0" xfId="319" applyFont="1" applyAlignment="1">
      <alignment horizontal="center" vertical="center" wrapText="1"/>
    </xf>
    <xf numFmtId="0" fontId="42" fillId="0" borderId="0" xfId="319" applyFont="1" applyAlignment="1">
      <alignment horizontal="center" vertical="center"/>
    </xf>
    <xf numFmtId="0" fontId="42" fillId="0" borderId="36" xfId="319" applyFont="1" applyBorder="1" applyAlignment="1">
      <alignment horizontal="center" vertical="center" wrapText="1"/>
    </xf>
    <xf numFmtId="0" fontId="42" fillId="0" borderId="37" xfId="319" applyFont="1" applyBorder="1" applyAlignment="1">
      <alignment horizontal="center" vertical="center" wrapText="1"/>
    </xf>
    <xf numFmtId="0" fontId="42" fillId="0" borderId="68" xfId="319" applyFont="1" applyBorder="1" applyAlignment="1">
      <alignment horizontal="center" vertical="center" wrapText="1"/>
    </xf>
    <xf numFmtId="0" fontId="42" fillId="0" borderId="36" xfId="319" applyFont="1" applyFill="1" applyBorder="1" applyAlignment="1">
      <alignment horizontal="center" vertical="center" wrapText="1"/>
    </xf>
    <xf numFmtId="0" fontId="42" fillId="0" borderId="37" xfId="319" applyFont="1" applyFill="1" applyBorder="1" applyAlignment="1">
      <alignment horizontal="center" vertical="center" wrapText="1"/>
    </xf>
    <xf numFmtId="0" fontId="42" fillId="0" borderId="68" xfId="319" applyFont="1" applyFill="1" applyBorder="1" applyAlignment="1">
      <alignment horizontal="center" vertical="center" wrapText="1"/>
    </xf>
    <xf numFmtId="0" fontId="42" fillId="0" borderId="60" xfId="319" applyFont="1" applyBorder="1" applyAlignment="1">
      <alignment horizontal="center" vertical="center" wrapText="1"/>
    </xf>
    <xf numFmtId="0" fontId="42" fillId="0" borderId="69" xfId="319" applyFont="1" applyBorder="1" applyAlignment="1">
      <alignment horizontal="center" vertical="center" wrapText="1"/>
    </xf>
    <xf numFmtId="0" fontId="42" fillId="0" borderId="61" xfId="319" applyFont="1" applyBorder="1" applyAlignment="1">
      <alignment horizontal="center" vertical="center" wrapText="1"/>
    </xf>
    <xf numFmtId="0" fontId="42" fillId="0" borderId="64" xfId="319" applyFont="1" applyBorder="1" applyAlignment="1">
      <alignment horizontal="center" vertical="center" wrapText="1"/>
    </xf>
    <xf numFmtId="0" fontId="42" fillId="0" borderId="70" xfId="319" applyFont="1" applyBorder="1" applyAlignment="1">
      <alignment horizontal="center" vertical="center" wrapText="1"/>
    </xf>
    <xf numFmtId="0" fontId="42" fillId="0" borderId="65" xfId="319" applyFont="1" applyBorder="1" applyAlignment="1">
      <alignment horizontal="center" vertical="center" wrapText="1"/>
    </xf>
    <xf numFmtId="0" fontId="53" fillId="17" borderId="33" xfId="319" applyFont="1" applyFill="1" applyBorder="1" applyAlignment="1">
      <alignment horizontal="center"/>
    </xf>
    <xf numFmtId="0" fontId="53" fillId="17" borderId="67" xfId="319" applyFont="1" applyFill="1" applyBorder="1" applyAlignment="1">
      <alignment horizontal="center"/>
    </xf>
    <xf numFmtId="0" fontId="53" fillId="17" borderId="55" xfId="319" applyFont="1" applyFill="1" applyBorder="1" applyAlignment="1">
      <alignment horizontal="center"/>
    </xf>
    <xf numFmtId="0" fontId="64" fillId="3" borderId="2" xfId="0" applyFont="1" applyFill="1" applyBorder="1" applyAlignment="1">
      <alignment horizontal="center" vertical="center" wrapText="1"/>
    </xf>
    <xf numFmtId="0" fontId="38" fillId="0" borderId="12" xfId="320" applyFont="1" applyBorder="1" applyAlignment="1">
      <alignment horizontal="center" vertical="center" wrapText="1"/>
    </xf>
    <xf numFmtId="0" fontId="38" fillId="0" borderId="53" xfId="320" applyFont="1" applyBorder="1" applyAlignment="1">
      <alignment horizontal="center" vertical="center" wrapText="1"/>
    </xf>
    <xf numFmtId="0" fontId="38" fillId="0" borderId="64" xfId="320" applyFont="1" applyBorder="1" applyAlignment="1">
      <alignment horizontal="center" vertical="top" wrapText="1"/>
    </xf>
    <xf numFmtId="0" fontId="38" fillId="0" borderId="71" xfId="320" applyFont="1" applyBorder="1" applyAlignment="1">
      <alignment horizontal="center" vertical="top" wrapText="1"/>
    </xf>
    <xf numFmtId="0" fontId="42" fillId="0" borderId="0" xfId="320" applyFont="1" applyAlignment="1">
      <alignment horizontal="center" vertical="center" wrapText="1"/>
    </xf>
    <xf numFmtId="0" fontId="38" fillId="0" borderId="27" xfId="320" applyFont="1" applyBorder="1" applyAlignment="1">
      <alignment horizontal="center" vertical="center" wrapText="1"/>
    </xf>
    <xf numFmtId="0" fontId="38" fillId="0" borderId="39" xfId="320" applyFont="1" applyBorder="1" applyAlignment="1">
      <alignment horizontal="center" vertical="center" wrapText="1"/>
    </xf>
    <xf numFmtId="0" fontId="38" fillId="0" borderId="19" xfId="320" applyFont="1" applyBorder="1" applyAlignment="1">
      <alignment horizontal="center" vertical="center" wrapText="1"/>
    </xf>
    <xf numFmtId="0" fontId="38" fillId="0" borderId="44" xfId="320" applyFont="1" applyBorder="1" applyAlignment="1">
      <alignment horizontal="center" vertical="center" wrapText="1"/>
    </xf>
    <xf numFmtId="0" fontId="38" fillId="0" borderId="51" xfId="320" applyFont="1" applyBorder="1" applyAlignment="1">
      <alignment horizontal="center" vertical="center" wrapText="1"/>
    </xf>
    <xf numFmtId="0" fontId="38" fillId="0" borderId="17" xfId="320" applyFont="1" applyBorder="1" applyAlignment="1">
      <alignment horizontal="center" vertical="center" wrapText="1"/>
    </xf>
    <xf numFmtId="0" fontId="38" fillId="0" borderId="41" xfId="320" applyFont="1" applyBorder="1" applyAlignment="1">
      <alignment horizontal="center" vertical="top" wrapText="1"/>
    </xf>
    <xf numFmtId="0" fontId="38" fillId="0" borderId="42" xfId="320" applyFont="1" applyBorder="1" applyAlignment="1">
      <alignment horizontal="center" vertical="top" wrapText="1"/>
    </xf>
    <xf numFmtId="0" fontId="38" fillId="0" borderId="43" xfId="320" applyFont="1" applyBorder="1" applyAlignment="1">
      <alignment horizontal="center" vertical="top" wrapText="1"/>
    </xf>
    <xf numFmtId="0" fontId="38" fillId="0" borderId="48" xfId="320" applyFont="1" applyBorder="1" applyAlignment="1">
      <alignment horizontal="center" vertical="top" wrapText="1"/>
    </xf>
    <xf numFmtId="0" fontId="38" fillId="0" borderId="57" xfId="320" applyFont="1" applyBorder="1" applyAlignment="1">
      <alignment horizontal="center" vertical="top" wrapText="1"/>
    </xf>
    <xf numFmtId="0" fontId="38" fillId="0" borderId="36" xfId="320" applyFont="1" applyBorder="1" applyAlignment="1">
      <alignment horizontal="center" vertical="top" wrapText="1"/>
    </xf>
    <xf numFmtId="0" fontId="38" fillId="0" borderId="38" xfId="320" applyFont="1" applyBorder="1" applyAlignment="1">
      <alignment horizontal="center" vertical="top" wrapText="1"/>
    </xf>
    <xf numFmtId="0" fontId="0" fillId="0" borderId="0" xfId="0" applyFill="1" applyAlignment="1">
      <alignment horizontal="center"/>
    </xf>
    <xf numFmtId="0" fontId="42" fillId="0" borderId="0" xfId="0" applyFont="1" applyFill="1" applyAlignment="1">
      <alignment horizontal="center" vertical="center" wrapText="1"/>
    </xf>
    <xf numFmtId="0" fontId="38" fillId="0" borderId="0" xfId="0" applyFont="1" applyFill="1" applyAlignment="1">
      <alignment horizontal="center" vertical="center" wrapText="1"/>
    </xf>
    <xf numFmtId="0" fontId="38" fillId="0" borderId="36" xfId="0" applyFont="1" applyFill="1" applyBorder="1" applyAlignment="1">
      <alignment horizontal="center" vertical="center" wrapText="1"/>
    </xf>
    <xf numFmtId="0" fontId="38" fillId="0" borderId="38" xfId="0" applyFont="1" applyFill="1" applyBorder="1" applyAlignment="1">
      <alignment horizontal="center" vertical="center" wrapText="1"/>
    </xf>
    <xf numFmtId="0" fontId="38" fillId="0" borderId="64" xfId="0" applyFont="1" applyFill="1" applyBorder="1" applyAlignment="1">
      <alignment horizontal="center" vertical="center" wrapText="1"/>
    </xf>
    <xf numFmtId="0" fontId="38" fillId="0" borderId="71" xfId="0" applyFont="1" applyFill="1" applyBorder="1" applyAlignment="1">
      <alignment horizontal="center" vertical="center" wrapText="1"/>
    </xf>
    <xf numFmtId="0" fontId="38" fillId="0" borderId="62" xfId="0" applyFont="1" applyFill="1" applyBorder="1" applyAlignment="1">
      <alignment horizontal="center" vertical="center" wrapText="1"/>
    </xf>
    <xf numFmtId="0" fontId="38" fillId="0" borderId="60" xfId="0" applyFont="1" applyFill="1" applyBorder="1" applyAlignment="1">
      <alignment horizontal="center" vertical="center" wrapText="1"/>
    </xf>
    <xf numFmtId="0" fontId="38" fillId="0" borderId="44" xfId="0" applyFont="1" applyFill="1" applyBorder="1" applyAlignment="1">
      <alignment horizontal="center" vertical="center" wrapText="1"/>
    </xf>
    <xf numFmtId="0" fontId="38" fillId="0" borderId="17" xfId="0" applyFont="1" applyFill="1" applyBorder="1" applyAlignment="1">
      <alignment horizontal="center" vertical="center" wrapText="1"/>
    </xf>
    <xf numFmtId="0" fontId="19" fillId="0" borderId="0" xfId="0" applyFont="1" applyAlignment="1">
      <alignment horizontal="center"/>
    </xf>
    <xf numFmtId="0" fontId="19" fillId="0" borderId="0" xfId="0" applyFont="1" applyAlignment="1">
      <alignment horizontal="left"/>
    </xf>
    <xf numFmtId="0" fontId="47" fillId="6" borderId="44" xfId="0" applyFont="1" applyFill="1" applyBorder="1" applyAlignment="1">
      <alignment horizontal="center" vertical="center" wrapText="1"/>
    </xf>
    <xf numFmtId="0" fontId="47" fillId="6" borderId="51" xfId="0" applyFont="1" applyFill="1" applyBorder="1" applyAlignment="1">
      <alignment horizontal="center" vertical="center" wrapText="1"/>
    </xf>
    <xf numFmtId="0" fontId="47" fillId="6" borderId="17" xfId="0" applyFont="1" applyFill="1" applyBorder="1" applyAlignment="1">
      <alignment horizontal="center" vertical="center" wrapText="1"/>
    </xf>
    <xf numFmtId="0" fontId="47" fillId="6" borderId="45" xfId="0" applyFont="1" applyFill="1" applyBorder="1" applyAlignment="1">
      <alignment horizontal="center" vertical="center" wrapText="1"/>
    </xf>
    <xf numFmtId="0" fontId="47" fillId="6" borderId="48" xfId="0" applyFont="1" applyFill="1" applyBorder="1" applyAlignment="1">
      <alignment horizontal="center" vertical="center" wrapText="1"/>
    </xf>
    <xf numFmtId="0" fontId="47" fillId="6" borderId="58" xfId="0" applyFont="1" applyFill="1" applyBorder="1" applyAlignment="1">
      <alignment horizontal="center" vertical="center" wrapText="1"/>
    </xf>
    <xf numFmtId="0" fontId="47" fillId="6" borderId="72" xfId="0" applyFont="1" applyFill="1" applyBorder="1" applyAlignment="1">
      <alignment horizontal="center" vertical="center" wrapText="1"/>
    </xf>
    <xf numFmtId="0" fontId="47" fillId="6" borderId="59" xfId="0" applyFont="1" applyFill="1" applyBorder="1" applyAlignment="1">
      <alignment horizontal="center" vertical="center" wrapText="1"/>
    </xf>
    <xf numFmtId="0" fontId="47" fillId="6" borderId="0" xfId="0" applyFont="1" applyFill="1" applyBorder="1" applyAlignment="1">
      <alignment horizontal="center" vertical="center" wrapText="1"/>
    </xf>
    <xf numFmtId="0" fontId="47" fillId="6" borderId="57" xfId="0" applyFont="1" applyFill="1" applyBorder="1" applyAlignment="1">
      <alignment horizontal="center" vertical="center" wrapText="1"/>
    </xf>
    <xf numFmtId="0" fontId="47" fillId="6" borderId="10" xfId="0" applyFont="1" applyFill="1" applyBorder="1" applyAlignment="1">
      <alignment horizontal="center" vertical="center" wrapText="1"/>
    </xf>
    <xf numFmtId="0" fontId="47" fillId="6" borderId="49" xfId="0" applyFont="1" applyFill="1" applyBorder="1" applyAlignment="1">
      <alignment horizontal="center" vertical="center" wrapText="1"/>
    </xf>
    <xf numFmtId="0" fontId="47" fillId="6" borderId="20" xfId="0" applyFont="1" applyFill="1" applyBorder="1" applyAlignment="1">
      <alignment horizontal="center"/>
    </xf>
    <xf numFmtId="0" fontId="47" fillId="6" borderId="21" xfId="0" applyFont="1" applyFill="1" applyBorder="1" applyAlignment="1">
      <alignment horizontal="center"/>
    </xf>
    <xf numFmtId="0" fontId="47" fillId="6" borderId="22" xfId="0" applyFont="1" applyFill="1" applyBorder="1" applyAlignment="1">
      <alignment horizontal="center"/>
    </xf>
    <xf numFmtId="167" fontId="20" fillId="0" borderId="73" xfId="0" applyNumberFormat="1" applyFont="1" applyBorder="1" applyAlignment="1">
      <alignment horizontal="center"/>
    </xf>
    <xf numFmtId="167" fontId="20" fillId="0" borderId="74" xfId="0" applyNumberFormat="1" applyFont="1" applyBorder="1" applyAlignment="1">
      <alignment horizontal="center"/>
    </xf>
    <xf numFmtId="167" fontId="20" fillId="0" borderId="32" xfId="0" applyNumberFormat="1" applyFont="1" applyBorder="1" applyAlignment="1">
      <alignment horizontal="center"/>
    </xf>
    <xf numFmtId="167" fontId="20" fillId="0" borderId="66" xfId="0" applyNumberFormat="1" applyFont="1" applyBorder="1" applyAlignment="1">
      <alignment horizontal="center"/>
    </xf>
    <xf numFmtId="0" fontId="19" fillId="0" borderId="0" xfId="0" applyFont="1" applyBorder="1" applyAlignment="1">
      <alignment horizontal="center"/>
    </xf>
    <xf numFmtId="0" fontId="20" fillId="0" borderId="0" xfId="0" applyFont="1" applyAlignment="1">
      <alignment horizontal="left" vertical="center" wrapText="1"/>
    </xf>
    <xf numFmtId="0" fontId="19" fillId="0" borderId="0" xfId="0" applyFont="1" applyFill="1" applyBorder="1" applyAlignment="1">
      <alignment horizontal="justify" vertical="top" wrapText="1"/>
    </xf>
    <xf numFmtId="0" fontId="20" fillId="0" borderId="0" xfId="0" applyFont="1" applyAlignment="1">
      <alignment horizontal="justify" vertical="top" wrapText="1"/>
    </xf>
    <xf numFmtId="0" fontId="20" fillId="0" borderId="10" xfId="0" applyFont="1" applyFill="1" applyBorder="1" applyAlignment="1">
      <alignment horizontal="left" vertical="center" wrapText="1"/>
    </xf>
    <xf numFmtId="0" fontId="20" fillId="0" borderId="50" xfId="0" applyFont="1" applyBorder="1" applyAlignment="1">
      <alignment horizontal="center"/>
    </xf>
    <xf numFmtId="0" fontId="20" fillId="0" borderId="72" xfId="0" applyFont="1" applyBorder="1" applyAlignment="1">
      <alignment horizontal="center"/>
    </xf>
    <xf numFmtId="0" fontId="20" fillId="0" borderId="59" xfId="0" applyFont="1" applyBorder="1" applyAlignment="1">
      <alignment horizontal="center"/>
    </xf>
    <xf numFmtId="0" fontId="47" fillId="6" borderId="44" xfId="0" applyFont="1" applyFill="1" applyBorder="1" applyAlignment="1">
      <alignment horizontal="center" vertical="center"/>
    </xf>
    <xf numFmtId="0" fontId="47" fillId="6" borderId="17" xfId="0" applyFont="1" applyFill="1" applyBorder="1" applyAlignment="1">
      <alignment horizontal="center" vertical="center"/>
    </xf>
    <xf numFmtId="0" fontId="47" fillId="6" borderId="36" xfId="0" applyFont="1" applyFill="1" applyBorder="1" applyAlignment="1">
      <alignment horizontal="center" vertical="center"/>
    </xf>
    <xf numFmtId="0" fontId="47" fillId="6" borderId="62" xfId="0" applyFont="1" applyFill="1" applyBorder="1" applyAlignment="1">
      <alignment horizontal="center" vertical="center"/>
    </xf>
    <xf numFmtId="0" fontId="47" fillId="6" borderId="60" xfId="0" applyFont="1" applyFill="1" applyBorder="1" applyAlignment="1">
      <alignment horizontal="center" vertical="center"/>
    </xf>
    <xf numFmtId="0" fontId="47" fillId="6" borderId="45" xfId="0" applyFont="1" applyFill="1" applyBorder="1" applyAlignment="1">
      <alignment horizontal="center" vertical="center"/>
    </xf>
    <xf numFmtId="0" fontId="47" fillId="6" borderId="48" xfId="0" applyFont="1" applyFill="1" applyBorder="1" applyAlignment="1">
      <alignment horizontal="center" vertical="center"/>
    </xf>
    <xf numFmtId="0" fontId="47" fillId="6" borderId="10" xfId="0" applyFont="1" applyFill="1" applyBorder="1" applyAlignment="1">
      <alignment horizontal="center" vertical="center"/>
    </xf>
    <xf numFmtId="0" fontId="47" fillId="6" borderId="49" xfId="0" applyFont="1" applyFill="1" applyBorder="1" applyAlignment="1">
      <alignment horizontal="center" vertical="center"/>
    </xf>
    <xf numFmtId="0" fontId="20" fillId="0" borderId="29" xfId="0" applyFont="1" applyBorder="1" applyAlignment="1">
      <alignment horizontal="center"/>
    </xf>
    <xf numFmtId="0" fontId="20" fillId="0" borderId="34" xfId="0" applyFont="1" applyBorder="1" applyAlignment="1">
      <alignment horizontal="center"/>
    </xf>
    <xf numFmtId="0" fontId="20" fillId="0" borderId="76" xfId="0" applyFont="1" applyBorder="1" applyAlignment="1">
      <alignment horizontal="center"/>
    </xf>
    <xf numFmtId="0" fontId="20" fillId="0" borderId="75" xfId="0" applyFont="1" applyBorder="1" applyAlignment="1">
      <alignment horizontal="center"/>
    </xf>
    <xf numFmtId="0" fontId="20" fillId="0" borderId="62" xfId="0" applyFont="1" applyBorder="1" applyAlignment="1">
      <alignment horizontal="center"/>
    </xf>
    <xf numFmtId="0" fontId="20" fillId="0" borderId="60" xfId="0" applyFont="1" applyBorder="1" applyAlignment="1">
      <alignment horizontal="center"/>
    </xf>
    <xf numFmtId="0" fontId="20" fillId="0" borderId="33" xfId="0" applyFont="1" applyBorder="1" applyAlignment="1">
      <alignment horizontal="left"/>
    </xf>
    <xf numFmtId="0" fontId="20" fillId="0" borderId="67" xfId="0" applyFont="1" applyBorder="1" applyAlignment="1">
      <alignment horizontal="left"/>
    </xf>
    <xf numFmtId="0" fontId="20" fillId="0" borderId="55" xfId="0" applyFont="1" applyBorder="1" applyAlignment="1">
      <alignment horizontal="left"/>
    </xf>
    <xf numFmtId="0" fontId="20" fillId="0" borderId="33" xfId="0" applyFont="1" applyBorder="1" applyAlignment="1">
      <alignment horizontal="center"/>
    </xf>
    <xf numFmtId="0" fontId="20" fillId="0" borderId="67" xfId="0" applyFont="1" applyBorder="1" applyAlignment="1">
      <alignment horizontal="center"/>
    </xf>
    <xf numFmtId="0" fontId="20" fillId="0" borderId="69" xfId="0" applyFont="1" applyBorder="1" applyAlignment="1">
      <alignment horizontal="center"/>
    </xf>
    <xf numFmtId="0" fontId="20" fillId="0" borderId="33" xfId="0" applyFont="1" applyBorder="1" applyAlignment="1">
      <alignment horizontal="left" wrapText="1"/>
    </xf>
    <xf numFmtId="0" fontId="20" fillId="0" borderId="67" xfId="0" applyFont="1" applyBorder="1" applyAlignment="1">
      <alignment horizontal="left" wrapText="1"/>
    </xf>
    <xf numFmtId="0" fontId="20" fillId="0" borderId="55" xfId="0" applyFont="1" applyBorder="1" applyAlignment="1">
      <alignment horizontal="left" wrapText="1"/>
    </xf>
    <xf numFmtId="0" fontId="19" fillId="6" borderId="9" xfId="0" applyFont="1" applyFill="1" applyBorder="1" applyAlignment="1">
      <alignment horizontal="center" vertical="center"/>
    </xf>
    <xf numFmtId="0" fontId="19" fillId="6" borderId="40" xfId="0" applyFont="1" applyFill="1" applyBorder="1" applyAlignment="1">
      <alignment horizontal="center" vertical="center"/>
    </xf>
    <xf numFmtId="0" fontId="20" fillId="0" borderId="75" xfId="0" applyFont="1" applyBorder="1" applyAlignment="1">
      <alignment horizontal="left"/>
    </xf>
    <xf numFmtId="0" fontId="20" fillId="0" borderId="62" xfId="0" applyFont="1" applyBorder="1" applyAlignment="1">
      <alignment horizontal="left"/>
    </xf>
    <xf numFmtId="0" fontId="20" fillId="0" borderId="54" xfId="0" applyFont="1" applyBorder="1" applyAlignment="1">
      <alignment horizontal="left"/>
    </xf>
    <xf numFmtId="0" fontId="47" fillId="0" borderId="0" xfId="0" applyFont="1" applyAlignment="1">
      <alignment horizontal="justify" vertical="center" wrapText="1"/>
    </xf>
    <xf numFmtId="0" fontId="20" fillId="0" borderId="33" xfId="0" applyFont="1" applyBorder="1" applyAlignment="1">
      <alignment horizontal="left" vertical="center" wrapText="1"/>
    </xf>
    <xf numFmtId="0" fontId="20" fillId="0" borderId="67" xfId="0" applyFont="1" applyBorder="1" applyAlignment="1">
      <alignment horizontal="left" vertical="center" wrapText="1"/>
    </xf>
    <xf numFmtId="0" fontId="20" fillId="0" borderId="55" xfId="0" applyFont="1" applyBorder="1" applyAlignment="1">
      <alignment horizontal="left" vertical="center" wrapText="1"/>
    </xf>
    <xf numFmtId="0" fontId="20" fillId="0" borderId="47" xfId="0" applyFont="1" applyBorder="1" applyAlignment="1">
      <alignment horizontal="left"/>
    </xf>
    <xf numFmtId="0" fontId="20" fillId="0" borderId="63" xfId="0" applyFont="1" applyBorder="1" applyAlignment="1">
      <alignment horizontal="left"/>
    </xf>
    <xf numFmtId="0" fontId="20" fillId="0" borderId="56" xfId="0" applyFont="1" applyBorder="1" applyAlignment="1">
      <alignment horizontal="left"/>
    </xf>
    <xf numFmtId="0" fontId="20" fillId="0" borderId="29" xfId="0" applyFont="1" applyBorder="1" applyAlignment="1">
      <alignment horizontal="left" vertical="center" wrapText="1"/>
    </xf>
    <xf numFmtId="0" fontId="20" fillId="0" borderId="34" xfId="0" applyFont="1" applyBorder="1" applyAlignment="1">
      <alignment horizontal="left" vertical="center" wrapText="1"/>
    </xf>
    <xf numFmtId="0" fontId="20" fillId="0" borderId="28" xfId="0" applyFont="1" applyBorder="1" applyAlignment="1">
      <alignment horizontal="left" vertical="center" wrapText="1"/>
    </xf>
    <xf numFmtId="0" fontId="0" fillId="0" borderId="2" xfId="0" applyFont="1" applyBorder="1" applyAlignment="1">
      <alignment horizontal="right" vertical="center" wrapText="1"/>
    </xf>
    <xf numFmtId="0" fontId="90" fillId="0" borderId="2" xfId="0" applyFont="1" applyBorder="1" applyAlignment="1">
      <alignment horizontal="right" vertical="center"/>
    </xf>
    <xf numFmtId="0" fontId="0" fillId="0" borderId="2" xfId="0" applyFont="1" applyFill="1" applyBorder="1" applyAlignment="1">
      <alignment horizontal="right" vertical="center"/>
    </xf>
    <xf numFmtId="0" fontId="90" fillId="0" borderId="2" xfId="0" applyFont="1" applyFill="1" applyBorder="1" applyAlignment="1">
      <alignment horizontal="left" vertical="center"/>
    </xf>
    <xf numFmtId="0" fontId="0" fillId="0" borderId="2" xfId="0" applyFont="1" applyFill="1" applyBorder="1" applyAlignment="1">
      <alignment horizontal="left" vertical="center"/>
    </xf>
    <xf numFmtId="0" fontId="0" fillId="0" borderId="2" xfId="0" applyFont="1" applyFill="1" applyBorder="1" applyAlignment="1">
      <alignment horizontal="left" vertical="center" wrapText="1"/>
    </xf>
    <xf numFmtId="0" fontId="17" fillId="0" borderId="0" xfId="0" applyFont="1" applyFill="1" applyAlignment="1">
      <alignment horizontal="center" vertical="center" wrapText="1"/>
    </xf>
    <xf numFmtId="0" fontId="17" fillId="0" borderId="0" xfId="0" applyFont="1" applyAlignment="1">
      <alignment horizontal="center" wrapText="1"/>
    </xf>
    <xf numFmtId="0" fontId="38" fillId="0" borderId="54"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75" xfId="0" applyFont="1" applyBorder="1" applyAlignment="1">
      <alignment horizontal="center" vertical="center" wrapText="1"/>
    </xf>
    <xf numFmtId="0" fontId="38" fillId="0" borderId="36" xfId="0" applyFont="1" applyBorder="1" applyAlignment="1">
      <alignment horizontal="center" vertical="center" wrapText="1"/>
    </xf>
    <xf numFmtId="0" fontId="38" fillId="0" borderId="38" xfId="0" applyFont="1" applyBorder="1" applyAlignment="1">
      <alignment horizontal="center" vertical="center" wrapText="1"/>
    </xf>
    <xf numFmtId="0" fontId="38" fillId="0" borderId="71" xfId="0" applyFont="1" applyBorder="1" applyAlignment="1">
      <alignment horizontal="center" vertical="center" wrapText="1"/>
    </xf>
    <xf numFmtId="0" fontId="38" fillId="0" borderId="77" xfId="0" applyFont="1" applyBorder="1" applyAlignment="1">
      <alignment horizontal="center" vertical="center" wrapText="1"/>
    </xf>
    <xf numFmtId="0" fontId="38" fillId="0" borderId="42" xfId="0" applyFont="1" applyBorder="1" applyAlignment="1">
      <alignment horizontal="center" vertical="center" wrapText="1"/>
    </xf>
    <xf numFmtId="0" fontId="38" fillId="0" borderId="46" xfId="0" applyFont="1" applyBorder="1" applyAlignment="1">
      <alignment horizontal="center" vertical="center" wrapText="1"/>
    </xf>
    <xf numFmtId="0" fontId="65" fillId="31" borderId="0" xfId="0" applyFont="1" applyFill="1" applyAlignment="1">
      <alignment horizontal="center" vertical="center" wrapText="1"/>
    </xf>
    <xf numFmtId="49" fontId="44" fillId="31" borderId="3" xfId="0" applyNumberFormat="1" applyFont="1" applyFill="1" applyBorder="1" applyAlignment="1">
      <alignment horizontal="center" vertical="center" wrapText="1"/>
    </xf>
    <xf numFmtId="49" fontId="44" fillId="31" borderId="24" xfId="0" applyNumberFormat="1" applyFont="1" applyFill="1" applyBorder="1" applyAlignment="1">
      <alignment horizontal="center" vertical="center" wrapText="1"/>
    </xf>
    <xf numFmtId="49" fontId="44" fillId="31" borderId="3" xfId="0" applyNumberFormat="1" applyFont="1" applyFill="1" applyBorder="1" applyAlignment="1">
      <alignment horizontal="center" vertical="center"/>
    </xf>
    <xf numFmtId="49" fontId="44" fillId="31" borderId="8" xfId="0" applyNumberFormat="1" applyFont="1" applyFill="1" applyBorder="1" applyAlignment="1">
      <alignment horizontal="center" vertical="center"/>
    </xf>
    <xf numFmtId="49" fontId="44" fillId="31" borderId="24" xfId="0" applyNumberFormat="1" applyFont="1" applyFill="1" applyBorder="1" applyAlignment="1">
      <alignment horizontal="center" vertical="center"/>
    </xf>
    <xf numFmtId="49" fontId="44" fillId="31" borderId="8" xfId="0" applyNumberFormat="1" applyFont="1" applyFill="1" applyBorder="1" applyAlignment="1">
      <alignment horizontal="center" vertical="center" wrapText="1"/>
    </xf>
    <xf numFmtId="0" fontId="44" fillId="31" borderId="11" xfId="0" applyNumberFormat="1" applyFont="1" applyFill="1" applyBorder="1" applyAlignment="1">
      <alignment horizontal="center" vertical="center" wrapText="1"/>
    </xf>
    <xf numFmtId="0" fontId="44" fillId="31" borderId="26" xfId="0" applyNumberFormat="1" applyFont="1" applyFill="1" applyBorder="1" applyAlignment="1">
      <alignment horizontal="center" vertical="center" wrapText="1"/>
    </xf>
    <xf numFmtId="0" fontId="44" fillId="31" borderId="23" xfId="0" applyNumberFormat="1" applyFont="1" applyFill="1" applyBorder="1" applyAlignment="1">
      <alignment horizontal="center" vertical="center" wrapText="1"/>
    </xf>
    <xf numFmtId="0" fontId="44" fillId="31" borderId="12" xfId="0" applyNumberFormat="1" applyFont="1" applyFill="1" applyBorder="1" applyAlignment="1">
      <alignment horizontal="center" vertical="center" wrapText="1"/>
    </xf>
    <xf numFmtId="0" fontId="44" fillId="31" borderId="53" xfId="0" applyNumberFormat="1" applyFont="1" applyFill="1" applyBorder="1" applyAlignment="1">
      <alignment horizontal="center" vertical="center" wrapText="1"/>
    </xf>
    <xf numFmtId="0" fontId="44" fillId="31" borderId="25" xfId="0" applyNumberFormat="1" applyFont="1" applyFill="1" applyBorder="1" applyAlignment="1">
      <alignment horizontal="center" vertical="center" wrapText="1"/>
    </xf>
    <xf numFmtId="0" fontId="19" fillId="0" borderId="14" xfId="321" applyFont="1" applyBorder="1" applyAlignment="1">
      <alignment horizontal="center" vertical="center" wrapText="1"/>
    </xf>
    <xf numFmtId="0" fontId="19" fillId="0" borderId="2" xfId="321" applyFont="1" applyBorder="1" applyAlignment="1">
      <alignment horizontal="center" vertical="center" wrapText="1"/>
    </xf>
    <xf numFmtId="0" fontId="19" fillId="0" borderId="21" xfId="321" applyFont="1" applyBorder="1" applyAlignment="1">
      <alignment horizontal="center" vertical="center" wrapText="1"/>
    </xf>
    <xf numFmtId="2" fontId="19" fillId="0" borderId="14" xfId="321" applyNumberFormat="1" applyFont="1" applyBorder="1" applyAlignment="1">
      <alignment horizontal="center" vertical="center" wrapText="1"/>
    </xf>
    <xf numFmtId="2" fontId="19" fillId="0" borderId="2" xfId="321" applyNumberFormat="1" applyFont="1" applyBorder="1" applyAlignment="1">
      <alignment horizontal="center" vertical="center" wrapText="1"/>
    </xf>
    <xf numFmtId="2" fontId="19" fillId="0" borderId="21" xfId="321" applyNumberFormat="1" applyFont="1" applyBorder="1" applyAlignment="1">
      <alignment horizontal="center" vertical="center" wrapText="1"/>
    </xf>
    <xf numFmtId="167" fontId="16" fillId="31" borderId="3" xfId="323" applyNumberFormat="1" applyFont="1" applyFill="1" applyBorder="1" applyAlignment="1">
      <alignment horizontal="center" vertical="center" wrapText="1"/>
    </xf>
    <xf numFmtId="167" fontId="16" fillId="31" borderId="8" xfId="323" applyNumberFormat="1" applyFont="1" applyFill="1" applyBorder="1" applyAlignment="1">
      <alignment horizontal="center" vertical="center" wrapText="1"/>
    </xf>
    <xf numFmtId="167" fontId="16" fillId="31" borderId="24" xfId="323" applyNumberFormat="1" applyFont="1" applyFill="1" applyBorder="1" applyAlignment="1">
      <alignment horizontal="center" vertical="center" wrapText="1"/>
    </xf>
    <xf numFmtId="0" fontId="19" fillId="0" borderId="0" xfId="321" applyFont="1" applyAlignment="1">
      <alignment horizontal="center"/>
    </xf>
    <xf numFmtId="3" fontId="16" fillId="31" borderId="11" xfId="321" applyNumberFormat="1" applyFont="1" applyFill="1" applyBorder="1" applyAlignment="1">
      <alignment horizontal="center" vertical="center"/>
    </xf>
    <xf numFmtId="3" fontId="16" fillId="31" borderId="26" xfId="321" applyNumberFormat="1" applyFont="1" applyFill="1" applyBorder="1" applyAlignment="1">
      <alignment horizontal="center" vertical="center"/>
    </xf>
    <xf numFmtId="3" fontId="16" fillId="31" borderId="23" xfId="321" applyNumberFormat="1" applyFont="1" applyFill="1" applyBorder="1" applyAlignment="1">
      <alignment horizontal="center" vertical="center"/>
    </xf>
    <xf numFmtId="0" fontId="19" fillId="0" borderId="15" xfId="321" applyFont="1" applyBorder="1" applyAlignment="1">
      <alignment horizontal="center" vertical="center" wrapText="1"/>
    </xf>
    <xf numFmtId="0" fontId="19" fillId="0" borderId="16" xfId="321" applyFont="1" applyBorder="1" applyAlignment="1">
      <alignment horizontal="center" vertical="center" wrapText="1"/>
    </xf>
    <xf numFmtId="0" fontId="19" fillId="0" borderId="22" xfId="321" applyFont="1" applyBorder="1" applyAlignment="1">
      <alignment horizontal="center" vertical="center" wrapText="1"/>
    </xf>
    <xf numFmtId="0" fontId="19" fillId="0" borderId="13" xfId="321" applyFont="1" applyBorder="1" applyAlignment="1">
      <alignment horizontal="center" vertical="center" wrapText="1"/>
    </xf>
    <xf numFmtId="0" fontId="19" fillId="0" borderId="4" xfId="321" applyFont="1" applyBorder="1" applyAlignment="1">
      <alignment horizontal="center" vertical="center" wrapText="1"/>
    </xf>
    <xf numFmtId="0" fontId="19" fillId="0" borderId="20" xfId="321" applyFont="1" applyBorder="1" applyAlignment="1">
      <alignment horizontal="center" vertical="center" wrapText="1"/>
    </xf>
    <xf numFmtId="0" fontId="42" fillId="0" borderId="0" xfId="0" applyFont="1" applyAlignment="1">
      <alignment horizontal="center"/>
    </xf>
    <xf numFmtId="0" fontId="54" fillId="0" borderId="0" xfId="0" applyFont="1" applyAlignment="1">
      <alignment horizontal="center" vertical="center" wrapText="1"/>
    </xf>
    <xf numFmtId="0" fontId="54" fillId="0" borderId="0" xfId="0" applyFont="1" applyAlignment="1">
      <alignment horizontal="center"/>
    </xf>
    <xf numFmtId="0" fontId="44" fillId="0" borderId="41" xfId="0" applyFont="1" applyBorder="1" applyAlignment="1">
      <alignment horizontal="center" vertical="center" wrapText="1"/>
    </xf>
    <xf numFmtId="0" fontId="44" fillId="0" borderId="6" xfId="0" applyFont="1" applyBorder="1" applyAlignment="1">
      <alignment horizontal="center" vertical="center" wrapText="1"/>
    </xf>
    <xf numFmtId="0" fontId="44" fillId="0" borderId="13" xfId="0" applyFont="1" applyBorder="1" applyAlignment="1">
      <alignment horizontal="center" vertical="center" wrapText="1"/>
    </xf>
    <xf numFmtId="0" fontId="44" fillId="0" borderId="62" xfId="0" applyFont="1" applyBorder="1" applyAlignment="1">
      <alignment horizontal="center" vertical="center" wrapText="1"/>
    </xf>
    <xf numFmtId="0" fontId="44" fillId="0" borderId="15" xfId="0" applyFont="1" applyBorder="1" applyAlignment="1">
      <alignment horizontal="center" vertical="center" wrapText="1"/>
    </xf>
    <xf numFmtId="0" fontId="44" fillId="0" borderId="54" xfId="0" applyFont="1" applyBorder="1" applyAlignment="1">
      <alignment horizontal="center" vertical="center" wrapText="1"/>
    </xf>
    <xf numFmtId="0" fontId="44" fillId="0" borderId="14" xfId="0" applyFont="1" applyBorder="1" applyAlignment="1">
      <alignment horizontal="center" vertical="center" wrapText="1"/>
    </xf>
    <xf numFmtId="0" fontId="44" fillId="0" borderId="27" xfId="0" applyFont="1" applyBorder="1" applyAlignment="1">
      <alignment horizontal="center" vertical="center" wrapText="1"/>
    </xf>
    <xf numFmtId="0" fontId="44" fillId="0" borderId="19" xfId="0" applyFont="1" applyBorder="1" applyAlignment="1">
      <alignment horizontal="center" vertical="center" wrapText="1"/>
    </xf>
    <xf numFmtId="0" fontId="44" fillId="0" borderId="43" xfId="0" applyFont="1" applyBorder="1" applyAlignment="1">
      <alignment horizontal="center" vertical="center" wrapText="1"/>
    </xf>
    <xf numFmtId="0" fontId="44" fillId="0" borderId="35" xfId="0" applyFont="1" applyBorder="1" applyAlignment="1">
      <alignment horizontal="center" vertical="center" wrapText="1"/>
    </xf>
    <xf numFmtId="0" fontId="0" fillId="0" borderId="0" xfId="0" applyAlignment="1">
      <alignment horizontal="center" vertical="center" wrapText="1"/>
    </xf>
    <xf numFmtId="0" fontId="17" fillId="0" borderId="0" xfId="337" applyFont="1" applyAlignment="1">
      <alignment horizontal="center" vertical="center" wrapText="1"/>
    </xf>
    <xf numFmtId="0" fontId="17" fillId="0" borderId="27" xfId="337" applyFont="1" applyBorder="1" applyAlignment="1">
      <alignment horizontal="center" vertical="center" wrapText="1"/>
    </xf>
    <xf numFmtId="0" fontId="16" fillId="0" borderId="39" xfId="337" applyFont="1" applyBorder="1" applyAlignment="1">
      <alignment horizontal="center" vertical="center" wrapText="1"/>
    </xf>
    <xf numFmtId="0" fontId="17" fillId="0" borderId="44" xfId="337" applyFont="1" applyBorder="1" applyAlignment="1">
      <alignment horizontal="center" vertical="center" wrapText="1"/>
    </xf>
    <xf numFmtId="0" fontId="16" fillId="0" borderId="51" xfId="337" applyFont="1" applyBorder="1" applyAlignment="1">
      <alignment horizontal="center" vertical="center" wrapText="1"/>
    </xf>
    <xf numFmtId="0" fontId="17" fillId="0" borderId="13" xfId="337" applyFont="1" applyBorder="1" applyAlignment="1">
      <alignment horizontal="center" vertical="center" wrapText="1"/>
    </xf>
    <xf numFmtId="0" fontId="16" fillId="0" borderId="15" xfId="337" applyFont="1" applyBorder="1" applyAlignment="1">
      <alignment horizontal="center" vertical="center" wrapText="1"/>
    </xf>
    <xf numFmtId="0" fontId="17" fillId="0" borderId="48" xfId="337" applyFont="1" applyBorder="1" applyAlignment="1">
      <alignment horizontal="justify" vertical="center" wrapText="1"/>
    </xf>
    <xf numFmtId="0" fontId="16" fillId="0" borderId="57" xfId="337" applyFont="1" applyBorder="1" applyAlignment="1">
      <alignment horizontal="justify" vertical="center" wrapText="1"/>
    </xf>
    <xf numFmtId="0" fontId="54" fillId="0" borderId="0" xfId="0" applyFont="1" applyAlignment="1">
      <alignment horizontal="center" wrapText="1"/>
    </xf>
    <xf numFmtId="0" fontId="44" fillId="0" borderId="12" xfId="0" applyNumberFormat="1" applyFont="1" applyBorder="1" applyAlignment="1">
      <alignment horizontal="center" vertical="center" wrapText="1"/>
    </xf>
    <xf numFmtId="0" fontId="44" fillId="0" borderId="53" xfId="0" applyNumberFormat="1" applyFont="1" applyBorder="1" applyAlignment="1">
      <alignment horizontal="center" vertical="center" wrapText="1"/>
    </xf>
    <xf numFmtId="0" fontId="44" fillId="0" borderId="25" xfId="0" applyNumberFormat="1" applyFont="1" applyBorder="1" applyAlignment="1">
      <alignment horizontal="center" vertical="center" wrapText="1"/>
    </xf>
    <xf numFmtId="0" fontId="44" fillId="0" borderId="27" xfId="0" applyFont="1" applyBorder="1" applyAlignment="1">
      <alignment horizontal="center" vertical="center"/>
    </xf>
    <xf numFmtId="0" fontId="52" fillId="0" borderId="39" xfId="0" applyFont="1" applyBorder="1" applyAlignment="1">
      <alignment horizontal="center" vertical="center"/>
    </xf>
    <xf numFmtId="0" fontId="44" fillId="0" borderId="39" xfId="0" applyFont="1" applyBorder="1" applyAlignment="1">
      <alignment horizontal="center" vertical="center" wrapText="1"/>
    </xf>
    <xf numFmtId="0" fontId="53" fillId="0" borderId="0" xfId="0" applyFont="1" applyAlignment="1">
      <alignment horizontal="center"/>
    </xf>
    <xf numFmtId="0" fontId="42" fillId="17" borderId="44" xfId="0" applyFont="1" applyFill="1" applyBorder="1" applyAlignment="1">
      <alignment horizontal="center" vertical="center" wrapText="1"/>
    </xf>
    <xf numFmtId="0" fontId="42" fillId="17" borderId="51" xfId="0" applyFont="1" applyFill="1" applyBorder="1" applyAlignment="1">
      <alignment horizontal="center" vertical="center" wrapText="1"/>
    </xf>
    <xf numFmtId="0" fontId="42" fillId="17" borderId="13" xfId="0" applyFont="1" applyFill="1" applyBorder="1" applyAlignment="1">
      <alignment horizontal="center" vertical="center" wrapText="1"/>
    </xf>
    <xf numFmtId="0" fontId="42" fillId="17" borderId="75" xfId="0" applyFont="1" applyFill="1" applyBorder="1" applyAlignment="1">
      <alignment horizontal="center" vertical="center" wrapText="1"/>
    </xf>
    <xf numFmtId="0" fontId="42" fillId="17" borderId="15" xfId="0" applyFont="1" applyFill="1" applyBorder="1" applyAlignment="1">
      <alignment horizontal="center" vertical="center" wrapText="1"/>
    </xf>
    <xf numFmtId="0" fontId="44" fillId="0" borderId="44" xfId="0" applyFont="1" applyBorder="1" applyAlignment="1">
      <alignment horizontal="center" vertical="center" wrapText="1"/>
    </xf>
    <xf numFmtId="0" fontId="44" fillId="0" borderId="51" xfId="0" applyFont="1" applyBorder="1" applyAlignment="1">
      <alignment horizontal="center" vertical="center" wrapText="1"/>
    </xf>
    <xf numFmtId="0" fontId="44" fillId="0" borderId="4" xfId="0" applyFont="1" applyBorder="1" applyAlignment="1">
      <alignment horizontal="center" vertical="center" wrapText="1"/>
    </xf>
    <xf numFmtId="0" fontId="44" fillId="0" borderId="2" xfId="0" applyFont="1" applyBorder="1" applyAlignment="1">
      <alignment horizontal="center" vertical="center" wrapText="1"/>
    </xf>
    <xf numFmtId="0" fontId="44" fillId="0" borderId="16" xfId="0" applyFont="1" applyBorder="1" applyAlignment="1">
      <alignment horizontal="center" vertical="center" wrapText="1"/>
    </xf>
    <xf numFmtId="0" fontId="44" fillId="0" borderId="55" xfId="0" applyFont="1" applyBorder="1" applyAlignment="1">
      <alignment horizontal="center" vertical="center" wrapText="1"/>
    </xf>
    <xf numFmtId="0" fontId="44" fillId="0" borderId="48" xfId="0" applyFont="1" applyBorder="1" applyAlignment="1">
      <alignment horizontal="center" vertical="center" wrapText="1"/>
    </xf>
    <xf numFmtId="0" fontId="44" fillId="0" borderId="57" xfId="0" applyFont="1" applyBorder="1" applyAlignment="1">
      <alignment horizontal="center" vertical="center" wrapText="1"/>
    </xf>
    <xf numFmtId="0" fontId="54" fillId="0" borderId="0" xfId="0" applyFont="1" applyBorder="1" applyAlignment="1">
      <alignment horizontal="center"/>
    </xf>
    <xf numFmtId="0" fontId="52" fillId="0" borderId="45" xfId="0" applyFont="1" applyBorder="1" applyAlignment="1">
      <alignment horizontal="center" vertical="center" wrapText="1"/>
    </xf>
    <xf numFmtId="0" fontId="52" fillId="0" borderId="0" xfId="0" applyFont="1" applyBorder="1" applyAlignment="1">
      <alignment horizontal="center" vertical="center" wrapText="1"/>
    </xf>
    <xf numFmtId="0" fontId="52" fillId="0" borderId="27" xfId="0" applyFont="1" applyBorder="1" applyAlignment="1">
      <alignment horizontal="center" vertical="center" wrapText="1"/>
    </xf>
    <xf numFmtId="0" fontId="52" fillId="0" borderId="39" xfId="0" applyFont="1" applyBorder="1" applyAlignment="1">
      <alignment horizontal="center" vertical="center" wrapText="1"/>
    </xf>
    <xf numFmtId="0" fontId="52" fillId="0" borderId="48" xfId="0" applyFont="1" applyBorder="1" applyAlignment="1">
      <alignment horizontal="center" vertical="center" wrapText="1"/>
    </xf>
    <xf numFmtId="0" fontId="52" fillId="0" borderId="57" xfId="0" applyFont="1" applyBorder="1" applyAlignment="1">
      <alignment horizontal="center" vertical="center" wrapText="1"/>
    </xf>
    <xf numFmtId="0" fontId="52" fillId="0" borderId="13" xfId="0" applyFont="1" applyBorder="1" applyAlignment="1">
      <alignment horizontal="center" vertical="center" wrapText="1"/>
    </xf>
    <xf numFmtId="0" fontId="52" fillId="0" borderId="15" xfId="0" applyFont="1" applyBorder="1" applyAlignment="1">
      <alignment horizontal="center" vertical="center" wrapText="1"/>
    </xf>
    <xf numFmtId="0" fontId="54" fillId="0" borderId="0" xfId="0" applyFont="1" applyFill="1" applyAlignment="1">
      <alignment horizontal="center"/>
    </xf>
    <xf numFmtId="0" fontId="19" fillId="0" borderId="0" xfId="0" applyFont="1" applyAlignment="1">
      <alignment horizontal="center" wrapText="1"/>
    </xf>
    <xf numFmtId="0" fontId="102" fillId="0" borderId="0" xfId="0" applyFont="1"/>
    <xf numFmtId="0" fontId="86" fillId="0" borderId="95" xfId="0" applyFont="1" applyBorder="1" applyAlignment="1">
      <alignment vertical="center"/>
    </xf>
    <xf numFmtId="0" fontId="86" fillId="0" borderId="96" xfId="0" applyFont="1" applyBorder="1" applyAlignment="1">
      <alignment vertical="center"/>
    </xf>
    <xf numFmtId="0" fontId="87" fillId="0" borderId="97" xfId="0" applyFont="1" applyBorder="1" applyAlignment="1">
      <alignment vertical="center"/>
    </xf>
    <xf numFmtId="0" fontId="87" fillId="0" borderId="98" xfId="0" applyFont="1" applyBorder="1" applyAlignment="1">
      <alignment vertical="center"/>
    </xf>
    <xf numFmtId="0" fontId="87" fillId="0" borderId="99" xfId="0" applyFont="1" applyBorder="1" applyAlignment="1">
      <alignment vertical="center"/>
    </xf>
    <xf numFmtId="0" fontId="87" fillId="0" borderId="100" xfId="0" applyFont="1" applyBorder="1" applyAlignment="1">
      <alignment vertical="center"/>
    </xf>
    <xf numFmtId="0" fontId="87" fillId="0" borderId="101" xfId="0" applyFont="1" applyBorder="1" applyAlignment="1">
      <alignment vertical="center"/>
    </xf>
    <xf numFmtId="0" fontId="87" fillId="0" borderId="102" xfId="0" applyFont="1" applyBorder="1" applyAlignment="1">
      <alignment vertical="center"/>
    </xf>
    <xf numFmtId="0" fontId="87" fillId="0" borderId="103" xfId="0" applyFont="1" applyBorder="1" applyAlignment="1">
      <alignment vertical="center"/>
    </xf>
    <xf numFmtId="0" fontId="87" fillId="0" borderId="104" xfId="0" applyFont="1" applyBorder="1" applyAlignment="1">
      <alignment horizontal="center" vertical="center"/>
    </xf>
    <xf numFmtId="0" fontId="87" fillId="0" borderId="105" xfId="0" applyFont="1" applyBorder="1" applyAlignment="1">
      <alignment horizontal="center" vertical="center"/>
    </xf>
    <xf numFmtId="49" fontId="87" fillId="0" borderId="106" xfId="0" applyNumberFormat="1" applyFont="1" applyBorder="1" applyAlignment="1">
      <alignment vertical="center"/>
    </xf>
    <xf numFmtId="49" fontId="87" fillId="0" borderId="107" xfId="0" applyNumberFormat="1" applyFont="1" applyBorder="1" applyAlignment="1">
      <alignment vertical="center"/>
    </xf>
    <xf numFmtId="165" fontId="102" fillId="0" borderId="2" xfId="330" applyFont="1" applyBorder="1"/>
    <xf numFmtId="43" fontId="102" fillId="0" borderId="2" xfId="0" applyNumberFormat="1" applyFont="1" applyBorder="1"/>
    <xf numFmtId="165" fontId="103" fillId="0" borderId="2" xfId="330" applyFont="1" applyBorder="1"/>
    <xf numFmtId="43" fontId="103" fillId="0" borderId="2" xfId="0" applyNumberFormat="1" applyFont="1" applyBorder="1"/>
    <xf numFmtId="49" fontId="86" fillId="31" borderId="2" xfId="0" applyNumberFormat="1" applyFont="1" applyFill="1" applyBorder="1" applyAlignment="1">
      <alignment horizontal="left" vertical="center"/>
    </xf>
    <xf numFmtId="165" fontId="102" fillId="31" borderId="2" xfId="330" applyFont="1" applyFill="1" applyBorder="1"/>
    <xf numFmtId="43" fontId="102" fillId="31" borderId="2" xfId="0" applyNumberFormat="1" applyFont="1" applyFill="1" applyBorder="1"/>
    <xf numFmtId="0" fontId="102" fillId="0" borderId="2" xfId="0" applyFont="1" applyBorder="1"/>
  </cellXfs>
  <cellStyles count="339">
    <cellStyle name="???????" xfId="1" xr:uid="{00000000-0005-0000-0000-000000000000}"/>
    <cellStyle name="??????? 2" xfId="2" xr:uid="{00000000-0005-0000-0000-000001000000}"/>
    <cellStyle name="??????? 3" xfId="3" xr:uid="{00000000-0005-0000-0000-000002000000}"/>
    <cellStyle name="??????? 4" xfId="4" xr:uid="{00000000-0005-0000-0000-000003000000}"/>
    <cellStyle name="??????? 5" xfId="5" xr:uid="{00000000-0005-0000-0000-000004000000}"/>
    <cellStyle name="????????" xfId="6" xr:uid="{00000000-0005-0000-0000-000005000000}"/>
    <cellStyle name="???????? [0]" xfId="7" xr:uid="{00000000-0005-0000-0000-000006000000}"/>
    <cellStyle name="???????? [0] 2" xfId="8" xr:uid="{00000000-0005-0000-0000-000007000000}"/>
    <cellStyle name="???????? [0] 3" xfId="9" xr:uid="{00000000-0005-0000-0000-000008000000}"/>
    <cellStyle name="???????? [0] 4" xfId="10" xr:uid="{00000000-0005-0000-0000-000009000000}"/>
    <cellStyle name="???????? [0] 5" xfId="11" xr:uid="{00000000-0005-0000-0000-00000A000000}"/>
    <cellStyle name="???????? 2" xfId="12" xr:uid="{00000000-0005-0000-0000-00000B000000}"/>
    <cellStyle name="???????? 3" xfId="13" xr:uid="{00000000-0005-0000-0000-00000C000000}"/>
    <cellStyle name="???????? 4" xfId="14" xr:uid="{00000000-0005-0000-0000-00000D000000}"/>
    <cellStyle name="???????? 5" xfId="15" xr:uid="{00000000-0005-0000-0000-00000E000000}"/>
    <cellStyle name="??????????" xfId="16" xr:uid="{00000000-0005-0000-0000-00000F000000}"/>
    <cellStyle name="?????????? [0]" xfId="17" xr:uid="{00000000-0005-0000-0000-000010000000}"/>
    <cellStyle name="?????????? [0] 2" xfId="18" xr:uid="{00000000-0005-0000-0000-000011000000}"/>
    <cellStyle name="?????????? [0] 3" xfId="19" xr:uid="{00000000-0005-0000-0000-000012000000}"/>
    <cellStyle name="?????????? [0] 4" xfId="20" xr:uid="{00000000-0005-0000-0000-000013000000}"/>
    <cellStyle name="?????????? [0] 5" xfId="21" xr:uid="{00000000-0005-0000-0000-000014000000}"/>
    <cellStyle name="?????????? 2" xfId="22" xr:uid="{00000000-0005-0000-0000-000015000000}"/>
    <cellStyle name="?????????? 3" xfId="23" xr:uid="{00000000-0005-0000-0000-000016000000}"/>
    <cellStyle name="?????????? 4" xfId="24" xr:uid="{00000000-0005-0000-0000-000017000000}"/>
    <cellStyle name="?????????? 5" xfId="25" xr:uid="{00000000-0005-0000-0000-000018000000}"/>
    <cellStyle name="”€ќђќ‘ћ‚›‰" xfId="26" xr:uid="{00000000-0005-0000-0000-000019000000}"/>
    <cellStyle name="”€ќђќ‘ћ‚›‰ 2" xfId="27" xr:uid="{00000000-0005-0000-0000-00001A000000}"/>
    <cellStyle name="”€ќђќ‘ћ‚›‰ 3" xfId="28" xr:uid="{00000000-0005-0000-0000-00001B000000}"/>
    <cellStyle name="”€ќђќ‘ћ‚›‰ 4" xfId="29" xr:uid="{00000000-0005-0000-0000-00001C000000}"/>
    <cellStyle name="”€ќђќ‘ћ‚›‰ 5" xfId="30" xr:uid="{00000000-0005-0000-0000-00001D000000}"/>
    <cellStyle name="”€љ‘€ђћ‚ђќќ›‰" xfId="31" xr:uid="{00000000-0005-0000-0000-00001E000000}"/>
    <cellStyle name="”€љ‘€ђћ‚ђќќ›‰ 2" xfId="32" xr:uid="{00000000-0005-0000-0000-00001F000000}"/>
    <cellStyle name="”€љ‘€ђћ‚ђќќ›‰ 3" xfId="33" xr:uid="{00000000-0005-0000-0000-000020000000}"/>
    <cellStyle name="”€љ‘€ђћ‚ђќќ›‰ 4" xfId="34" xr:uid="{00000000-0005-0000-0000-000021000000}"/>
    <cellStyle name="”€љ‘€ђћ‚ђќќ›‰ 5" xfId="35" xr:uid="{00000000-0005-0000-0000-000022000000}"/>
    <cellStyle name="”ќђќ‘ћ‚›‰" xfId="36" xr:uid="{00000000-0005-0000-0000-000023000000}"/>
    <cellStyle name="”ќђќ‘ћ‚›‰ 2" xfId="37" xr:uid="{00000000-0005-0000-0000-000024000000}"/>
    <cellStyle name="”ќђќ‘ћ‚›‰ 3" xfId="38" xr:uid="{00000000-0005-0000-0000-000025000000}"/>
    <cellStyle name="”ќђќ‘ћ‚›‰ 4" xfId="39" xr:uid="{00000000-0005-0000-0000-000026000000}"/>
    <cellStyle name="”ќђќ‘ћ‚›‰ 5" xfId="40" xr:uid="{00000000-0005-0000-0000-000027000000}"/>
    <cellStyle name="”љ‘ђћ‚ђќќ›‰" xfId="41" xr:uid="{00000000-0005-0000-0000-000028000000}"/>
    <cellStyle name="”љ‘ђћ‚ђќќ›‰ 2" xfId="42" xr:uid="{00000000-0005-0000-0000-000029000000}"/>
    <cellStyle name="”љ‘ђћ‚ђќќ›‰ 3" xfId="43" xr:uid="{00000000-0005-0000-0000-00002A000000}"/>
    <cellStyle name="”љ‘ђћ‚ђќќ›‰ 4" xfId="44" xr:uid="{00000000-0005-0000-0000-00002B000000}"/>
    <cellStyle name="”љ‘ђћ‚ђќќ›‰ 5" xfId="45" xr:uid="{00000000-0005-0000-0000-00002C000000}"/>
    <cellStyle name="„…ќ…†ќ›‰" xfId="46" xr:uid="{00000000-0005-0000-0000-00002D000000}"/>
    <cellStyle name="„…ќ…†ќ›‰ 2" xfId="47" xr:uid="{00000000-0005-0000-0000-00002E000000}"/>
    <cellStyle name="„…ќ…†ќ›‰ 3" xfId="48" xr:uid="{00000000-0005-0000-0000-00002F000000}"/>
    <cellStyle name="„…ќ…†ќ›‰ 4" xfId="49" xr:uid="{00000000-0005-0000-0000-000030000000}"/>
    <cellStyle name="„…ќ…†ќ›‰ 5" xfId="50" xr:uid="{00000000-0005-0000-0000-000031000000}"/>
    <cellStyle name="€’ћѓћ‚›‰" xfId="51" xr:uid="{00000000-0005-0000-0000-000032000000}"/>
    <cellStyle name="€’ћѓћ‚›‰ 2" xfId="52" xr:uid="{00000000-0005-0000-0000-000033000000}"/>
    <cellStyle name="€’ћѓћ‚›‰ 3" xfId="53" xr:uid="{00000000-0005-0000-0000-000034000000}"/>
    <cellStyle name="€’ћѓћ‚›‰ 4" xfId="54" xr:uid="{00000000-0005-0000-0000-000035000000}"/>
    <cellStyle name="€’ћѓћ‚›‰ 5" xfId="55" xr:uid="{00000000-0005-0000-0000-000036000000}"/>
    <cellStyle name="‡ђѓћ‹ћ‚ћљ1" xfId="56" xr:uid="{00000000-0005-0000-0000-000037000000}"/>
    <cellStyle name="‡ђѓћ‹ћ‚ћљ1 2" xfId="57" xr:uid="{00000000-0005-0000-0000-000038000000}"/>
    <cellStyle name="‡ђѓћ‹ћ‚ћљ1 3" xfId="58" xr:uid="{00000000-0005-0000-0000-000039000000}"/>
    <cellStyle name="‡ђѓћ‹ћ‚ћљ1 4" xfId="59" xr:uid="{00000000-0005-0000-0000-00003A000000}"/>
    <cellStyle name="‡ђѓћ‹ћ‚ћљ1 5" xfId="60" xr:uid="{00000000-0005-0000-0000-00003B000000}"/>
    <cellStyle name="‡ђѓћ‹ћ‚ћљ2" xfId="61" xr:uid="{00000000-0005-0000-0000-00003C000000}"/>
    <cellStyle name="‡ђѓћ‹ћ‚ћљ2 2" xfId="62" xr:uid="{00000000-0005-0000-0000-00003D000000}"/>
    <cellStyle name="‡ђѓћ‹ћ‚ћљ2 3" xfId="63" xr:uid="{00000000-0005-0000-0000-00003E000000}"/>
    <cellStyle name="‡ђѓћ‹ћ‚ћљ2 4" xfId="64" xr:uid="{00000000-0005-0000-0000-00003F000000}"/>
    <cellStyle name="‡ђѓћ‹ћ‚ћљ2 5" xfId="65" xr:uid="{00000000-0005-0000-0000-000040000000}"/>
    <cellStyle name="’ћѓћ‚›‰" xfId="66" xr:uid="{00000000-0005-0000-0000-000041000000}"/>
    <cellStyle name="’ћѓћ‚›‰ 2" xfId="67" xr:uid="{00000000-0005-0000-0000-000042000000}"/>
    <cellStyle name="’ћѓћ‚›‰ 3" xfId="68" xr:uid="{00000000-0005-0000-0000-000043000000}"/>
    <cellStyle name="’ћѓћ‚›‰ 4" xfId="69" xr:uid="{00000000-0005-0000-0000-000044000000}"/>
    <cellStyle name="’ћѓћ‚›‰ 5" xfId="70" xr:uid="{00000000-0005-0000-0000-000045000000}"/>
    <cellStyle name="" xfId="71" xr:uid="{00000000-0005-0000-0000-000046000000}"/>
    <cellStyle name="" xfId="72" xr:uid="{00000000-0005-0000-0000-000047000000}"/>
    <cellStyle name="" xfId="73" xr:uid="{00000000-0005-0000-0000-000048000000}"/>
    <cellStyle name="" xfId="74" xr:uid="{00000000-0005-0000-0000-000049000000}"/>
    <cellStyle name=" 2" xfId="75" xr:uid="{00000000-0005-0000-0000-00004A000000}"/>
    <cellStyle name=" 2" xfId="76" xr:uid="{00000000-0005-0000-0000-00004B000000}"/>
    <cellStyle name=" 2" xfId="77" xr:uid="{00000000-0005-0000-0000-00004C000000}"/>
    <cellStyle name=" 2" xfId="78" xr:uid="{00000000-0005-0000-0000-00004D000000}"/>
    <cellStyle name=" 3" xfId="79" xr:uid="{00000000-0005-0000-0000-00004E000000}"/>
    <cellStyle name=" 3" xfId="80" xr:uid="{00000000-0005-0000-0000-00004F000000}"/>
    <cellStyle name=" 3" xfId="81" xr:uid="{00000000-0005-0000-0000-000050000000}"/>
    <cellStyle name=" 3" xfId="82" xr:uid="{00000000-0005-0000-0000-000051000000}"/>
    <cellStyle name=" 4" xfId="83" xr:uid="{00000000-0005-0000-0000-000052000000}"/>
    <cellStyle name=" 4" xfId="84" xr:uid="{00000000-0005-0000-0000-000053000000}"/>
    <cellStyle name=" 4" xfId="85" xr:uid="{00000000-0005-0000-0000-000054000000}"/>
    <cellStyle name=" 4" xfId="86" xr:uid="{00000000-0005-0000-0000-000055000000}"/>
    <cellStyle name=" 5" xfId="87" xr:uid="{00000000-0005-0000-0000-000056000000}"/>
    <cellStyle name=" 5" xfId="88" xr:uid="{00000000-0005-0000-0000-000057000000}"/>
    <cellStyle name=" 5" xfId="89" xr:uid="{00000000-0005-0000-0000-000058000000}"/>
    <cellStyle name=" 5" xfId="90" xr:uid="{00000000-0005-0000-0000-000059000000}"/>
    <cellStyle name="_ILOVALAR" xfId="91" xr:uid="{00000000-0005-0000-0000-00005A000000}"/>
    <cellStyle name="_ILOVALAR" xfId="92" xr:uid="{00000000-0005-0000-0000-00005B000000}"/>
    <cellStyle name="_ILOVALAR 2" xfId="93" xr:uid="{00000000-0005-0000-0000-00005C000000}"/>
    <cellStyle name="_ILOVALAR 2" xfId="94" xr:uid="{00000000-0005-0000-0000-00005D000000}"/>
    <cellStyle name="_ILOVALAR 3" xfId="95" xr:uid="{00000000-0005-0000-0000-00005E000000}"/>
    <cellStyle name="_ILOVALAR 3" xfId="96" xr:uid="{00000000-0005-0000-0000-00005F000000}"/>
    <cellStyle name="_ILOVALAR 4" xfId="97" xr:uid="{00000000-0005-0000-0000-000060000000}"/>
    <cellStyle name="_ILOVALAR 4" xfId="98" xr:uid="{00000000-0005-0000-0000-000061000000}"/>
    <cellStyle name="_ILOVALAR 5" xfId="99" xr:uid="{00000000-0005-0000-0000-000062000000}"/>
    <cellStyle name="_ILOVALAR 5" xfId="100" xr:uid="{00000000-0005-0000-0000-000063000000}"/>
    <cellStyle name="_MARKAZIY BANK" xfId="101" xr:uid="{00000000-0005-0000-0000-000064000000}"/>
    <cellStyle name="_MARKAZIY BANK" xfId="102" xr:uid="{00000000-0005-0000-0000-000065000000}"/>
    <cellStyle name="_MARKAZIY BANK 2" xfId="103" xr:uid="{00000000-0005-0000-0000-000066000000}"/>
    <cellStyle name="_MARKAZIY BANK 2" xfId="104" xr:uid="{00000000-0005-0000-0000-000067000000}"/>
    <cellStyle name="_MARKAZIY BANK 3" xfId="105" xr:uid="{00000000-0005-0000-0000-000068000000}"/>
    <cellStyle name="_MARKAZIY BANK 3" xfId="106" xr:uid="{00000000-0005-0000-0000-000069000000}"/>
    <cellStyle name="_MARKAZIY BANK 4" xfId="107" xr:uid="{00000000-0005-0000-0000-00006A000000}"/>
    <cellStyle name="_MARKAZIY BANK 4" xfId="108" xr:uid="{00000000-0005-0000-0000-00006B000000}"/>
    <cellStyle name="_MARKAZIY BANK 5" xfId="109" xr:uid="{00000000-0005-0000-0000-00006C000000}"/>
    <cellStyle name="_MARKAZIY BANK 5" xfId="110" xr:uid="{00000000-0005-0000-0000-00006D000000}"/>
    <cellStyle name="_Лист1" xfId="111" xr:uid="{00000000-0005-0000-0000-00006E000000}"/>
    <cellStyle name="_Учтепа_жадвал" xfId="112" xr:uid="{00000000-0005-0000-0000-00006F000000}"/>
    <cellStyle name="_Учтепа_жадвал" xfId="113" xr:uid="{00000000-0005-0000-0000-000070000000}"/>
    <cellStyle name="_Учтепа_жадвал 2" xfId="114" xr:uid="{00000000-0005-0000-0000-000071000000}"/>
    <cellStyle name="_Учтепа_жадвал 2" xfId="115" xr:uid="{00000000-0005-0000-0000-000072000000}"/>
    <cellStyle name="_Учтепа_жадвал 3" xfId="116" xr:uid="{00000000-0005-0000-0000-000073000000}"/>
    <cellStyle name="_Учтепа_жадвал 3" xfId="117" xr:uid="{00000000-0005-0000-0000-000074000000}"/>
    <cellStyle name="_Учтепа_жадвал 4" xfId="118" xr:uid="{00000000-0005-0000-0000-000075000000}"/>
    <cellStyle name="_Учтепа_жадвал 4" xfId="119" xr:uid="{00000000-0005-0000-0000-000076000000}"/>
    <cellStyle name="_Учтепа_жадвал 5" xfId="120" xr:uid="{00000000-0005-0000-0000-000077000000}"/>
    <cellStyle name="_Учтепа_жадвал 5" xfId="121" xr:uid="{00000000-0005-0000-0000-000078000000}"/>
    <cellStyle name="" xfId="122" xr:uid="{00000000-0005-0000-0000-000079000000}"/>
    <cellStyle name="" xfId="123" xr:uid="{00000000-0005-0000-0000-00007A000000}"/>
    <cellStyle name="" xfId="124" xr:uid="{00000000-0005-0000-0000-00007B000000}"/>
    <cellStyle name="" xfId="125" xr:uid="{00000000-0005-0000-0000-00007C000000}"/>
    <cellStyle name=" 2" xfId="126" xr:uid="{00000000-0005-0000-0000-00007D000000}"/>
    <cellStyle name=" 2" xfId="127" xr:uid="{00000000-0005-0000-0000-00007E000000}"/>
    <cellStyle name=" 2" xfId="128" xr:uid="{00000000-0005-0000-0000-00007F000000}"/>
    <cellStyle name=" 2" xfId="129" xr:uid="{00000000-0005-0000-0000-000080000000}"/>
    <cellStyle name=" 3" xfId="130" xr:uid="{00000000-0005-0000-0000-000081000000}"/>
    <cellStyle name=" 3" xfId="131" xr:uid="{00000000-0005-0000-0000-000082000000}"/>
    <cellStyle name=" 3" xfId="132" xr:uid="{00000000-0005-0000-0000-000083000000}"/>
    <cellStyle name=" 3" xfId="133" xr:uid="{00000000-0005-0000-0000-000084000000}"/>
    <cellStyle name=" 4" xfId="134" xr:uid="{00000000-0005-0000-0000-000085000000}"/>
    <cellStyle name=" 4" xfId="135" xr:uid="{00000000-0005-0000-0000-000086000000}"/>
    <cellStyle name=" 4" xfId="136" xr:uid="{00000000-0005-0000-0000-000087000000}"/>
    <cellStyle name=" 4" xfId="137" xr:uid="{00000000-0005-0000-0000-000088000000}"/>
    <cellStyle name=" 5" xfId="138" xr:uid="{00000000-0005-0000-0000-000089000000}"/>
    <cellStyle name=" 5" xfId="139" xr:uid="{00000000-0005-0000-0000-00008A000000}"/>
    <cellStyle name=" 5" xfId="140" xr:uid="{00000000-0005-0000-0000-00008B000000}"/>
    <cellStyle name=" 5" xfId="141" xr:uid="{00000000-0005-0000-0000-00008C000000}"/>
    <cellStyle name="_ILOVALAR" xfId="142" xr:uid="{00000000-0005-0000-0000-00008D000000}"/>
    <cellStyle name="_ILOVALAR" xfId="143" xr:uid="{00000000-0005-0000-0000-00008E000000}"/>
    <cellStyle name="_ILOVALAR 2" xfId="144" xr:uid="{00000000-0005-0000-0000-00008F000000}"/>
    <cellStyle name="_ILOVALAR 2" xfId="145" xr:uid="{00000000-0005-0000-0000-000090000000}"/>
    <cellStyle name="_ILOVALAR 3" xfId="146" xr:uid="{00000000-0005-0000-0000-000091000000}"/>
    <cellStyle name="_ILOVALAR 3" xfId="147" xr:uid="{00000000-0005-0000-0000-000092000000}"/>
    <cellStyle name="_ILOVALAR 4" xfId="148" xr:uid="{00000000-0005-0000-0000-000093000000}"/>
    <cellStyle name="_ILOVALAR 4" xfId="149" xr:uid="{00000000-0005-0000-0000-000094000000}"/>
    <cellStyle name="_ILOVALAR 5" xfId="150" xr:uid="{00000000-0005-0000-0000-000095000000}"/>
    <cellStyle name="_ILOVALAR 5" xfId="151" xr:uid="{00000000-0005-0000-0000-000096000000}"/>
    <cellStyle name="_MARKAZIY BANK" xfId="152" xr:uid="{00000000-0005-0000-0000-000097000000}"/>
    <cellStyle name="_MARKAZIY BANK" xfId="153" xr:uid="{00000000-0005-0000-0000-000098000000}"/>
    <cellStyle name="_MARKAZIY BANK 2" xfId="154" xr:uid="{00000000-0005-0000-0000-000099000000}"/>
    <cellStyle name="_MARKAZIY BANK 2" xfId="155" xr:uid="{00000000-0005-0000-0000-00009A000000}"/>
    <cellStyle name="_MARKAZIY BANK 3" xfId="156" xr:uid="{00000000-0005-0000-0000-00009B000000}"/>
    <cellStyle name="_MARKAZIY BANK 3" xfId="157" xr:uid="{00000000-0005-0000-0000-00009C000000}"/>
    <cellStyle name="_MARKAZIY BANK 4" xfId="158" xr:uid="{00000000-0005-0000-0000-00009D000000}"/>
    <cellStyle name="_MARKAZIY BANK 4" xfId="159" xr:uid="{00000000-0005-0000-0000-00009E000000}"/>
    <cellStyle name="_MARKAZIY BANK 5" xfId="160" xr:uid="{00000000-0005-0000-0000-00009F000000}"/>
    <cellStyle name="_MARKAZIY BANK 5" xfId="161" xr:uid="{00000000-0005-0000-0000-0000A0000000}"/>
    <cellStyle name="_Лист1" xfId="162" xr:uid="{00000000-0005-0000-0000-0000A1000000}"/>
    <cellStyle name="_Лист1" xfId="163" xr:uid="{00000000-0005-0000-0000-0000A2000000}"/>
    <cellStyle name="_Лист1 2" xfId="164" xr:uid="{00000000-0005-0000-0000-0000A3000000}"/>
    <cellStyle name="_Лист1 2" xfId="165" xr:uid="{00000000-0005-0000-0000-0000A4000000}"/>
    <cellStyle name="_Лист1 3" xfId="166" xr:uid="{00000000-0005-0000-0000-0000A5000000}"/>
    <cellStyle name="_Лист1 3" xfId="167" xr:uid="{00000000-0005-0000-0000-0000A6000000}"/>
    <cellStyle name="_Лист1 4" xfId="168" xr:uid="{00000000-0005-0000-0000-0000A7000000}"/>
    <cellStyle name="_Лист1 4" xfId="169" xr:uid="{00000000-0005-0000-0000-0000A8000000}"/>
    <cellStyle name="_Лист1 5" xfId="170" xr:uid="{00000000-0005-0000-0000-0000A9000000}"/>
    <cellStyle name="_Лист1 5" xfId="171" xr:uid="{00000000-0005-0000-0000-0000AA000000}"/>
    <cellStyle name="_Учтепа_жадвал" xfId="172" xr:uid="{00000000-0005-0000-0000-0000AB000000}"/>
    <cellStyle name="_Учтепа_жадвал" xfId="173" xr:uid="{00000000-0005-0000-0000-0000AC000000}"/>
    <cellStyle name="_Учтепа_жадвал 2" xfId="174" xr:uid="{00000000-0005-0000-0000-0000AD000000}"/>
    <cellStyle name="_Учтепа_жадвал 2" xfId="175" xr:uid="{00000000-0005-0000-0000-0000AE000000}"/>
    <cellStyle name="_Учтепа_жадвал 3" xfId="176" xr:uid="{00000000-0005-0000-0000-0000AF000000}"/>
    <cellStyle name="_Учтепа_жадвал 3" xfId="177" xr:uid="{00000000-0005-0000-0000-0000B0000000}"/>
    <cellStyle name="_Учтепа_жадвал 4" xfId="178" xr:uid="{00000000-0005-0000-0000-0000B1000000}"/>
    <cellStyle name="_Учтепа_жадвал 4" xfId="179" xr:uid="{00000000-0005-0000-0000-0000B2000000}"/>
    <cellStyle name="_Учтепа_жадвал 5" xfId="180" xr:uid="{00000000-0005-0000-0000-0000B3000000}"/>
    <cellStyle name="_Учтепа_жадвал 5" xfId="181" xr:uid="{00000000-0005-0000-0000-0000B4000000}"/>
    <cellStyle name="" xfId="182" xr:uid="{00000000-0005-0000-0000-0000B5000000}"/>
    <cellStyle name="" xfId="183" xr:uid="{00000000-0005-0000-0000-0000B6000000}"/>
    <cellStyle name=" 2" xfId="184" xr:uid="{00000000-0005-0000-0000-0000B7000000}"/>
    <cellStyle name=" 2" xfId="185" xr:uid="{00000000-0005-0000-0000-0000B8000000}"/>
    <cellStyle name=" 3" xfId="186" xr:uid="{00000000-0005-0000-0000-0000B9000000}"/>
    <cellStyle name=" 3" xfId="187" xr:uid="{00000000-0005-0000-0000-0000BA000000}"/>
    <cellStyle name=" 4" xfId="188" xr:uid="{00000000-0005-0000-0000-0000BB000000}"/>
    <cellStyle name=" 4" xfId="189" xr:uid="{00000000-0005-0000-0000-0000BC000000}"/>
    <cellStyle name=" 5" xfId="190" xr:uid="{00000000-0005-0000-0000-0000BD000000}"/>
    <cellStyle name=" 5" xfId="191" xr:uid="{00000000-0005-0000-0000-0000BE000000}"/>
    <cellStyle name="_ILOVALAR" xfId="192" xr:uid="{00000000-0005-0000-0000-0000BF000000}"/>
    <cellStyle name="_Лист1" xfId="193" xr:uid="{00000000-0005-0000-0000-0000C0000000}"/>
    <cellStyle name="_Учтепа_жадвал" xfId="194" xr:uid="{00000000-0005-0000-0000-0000C1000000}"/>
    <cellStyle name="1" xfId="195" xr:uid="{00000000-0005-0000-0000-0000C2000000}"/>
    <cellStyle name="1" xfId="196" xr:uid="{00000000-0005-0000-0000-0000C3000000}"/>
    <cellStyle name="1 2" xfId="197" xr:uid="{00000000-0005-0000-0000-0000C4000000}"/>
    <cellStyle name="1 2" xfId="198" xr:uid="{00000000-0005-0000-0000-0000C5000000}"/>
    <cellStyle name="1 3" xfId="199" xr:uid="{00000000-0005-0000-0000-0000C6000000}"/>
    <cellStyle name="1 3" xfId="200" xr:uid="{00000000-0005-0000-0000-0000C7000000}"/>
    <cellStyle name="1 4" xfId="201" xr:uid="{00000000-0005-0000-0000-0000C8000000}"/>
    <cellStyle name="1 4" xfId="202" xr:uid="{00000000-0005-0000-0000-0000C9000000}"/>
    <cellStyle name="1 5" xfId="203" xr:uid="{00000000-0005-0000-0000-0000CA000000}"/>
    <cellStyle name="1 5" xfId="204" xr:uid="{00000000-0005-0000-0000-0000CB000000}"/>
    <cellStyle name="2" xfId="205" xr:uid="{00000000-0005-0000-0000-0000CC000000}"/>
    <cellStyle name="2" xfId="206" xr:uid="{00000000-0005-0000-0000-0000CD000000}"/>
    <cellStyle name="2 2" xfId="207" xr:uid="{00000000-0005-0000-0000-0000CE000000}"/>
    <cellStyle name="2 2" xfId="208" xr:uid="{00000000-0005-0000-0000-0000CF000000}"/>
    <cellStyle name="2 3" xfId="209" xr:uid="{00000000-0005-0000-0000-0000D0000000}"/>
    <cellStyle name="2 3" xfId="210" xr:uid="{00000000-0005-0000-0000-0000D1000000}"/>
    <cellStyle name="2 4" xfId="211" xr:uid="{00000000-0005-0000-0000-0000D2000000}"/>
    <cellStyle name="2 4" xfId="212" xr:uid="{00000000-0005-0000-0000-0000D3000000}"/>
    <cellStyle name="2 5" xfId="213" xr:uid="{00000000-0005-0000-0000-0000D4000000}"/>
    <cellStyle name="2 5" xfId="214" xr:uid="{00000000-0005-0000-0000-0000D5000000}"/>
    <cellStyle name="Äåíåæíûé" xfId="215" xr:uid="{00000000-0005-0000-0000-0000D6000000}"/>
    <cellStyle name="Äåíåæíûé [0]" xfId="216" xr:uid="{00000000-0005-0000-0000-0000D7000000}"/>
    <cellStyle name="Äåíåæíûé [0] 2" xfId="217" xr:uid="{00000000-0005-0000-0000-0000D8000000}"/>
    <cellStyle name="Äåíåæíûé [0] 3" xfId="218" xr:uid="{00000000-0005-0000-0000-0000D9000000}"/>
    <cellStyle name="Äåíåæíûé [0] 4" xfId="219" xr:uid="{00000000-0005-0000-0000-0000DA000000}"/>
    <cellStyle name="Äåíåæíûé [0] 5" xfId="220" xr:uid="{00000000-0005-0000-0000-0000DB000000}"/>
    <cellStyle name="Äåíåæíûé 2" xfId="221" xr:uid="{00000000-0005-0000-0000-0000DC000000}"/>
    <cellStyle name="Äåíåæíûé 3" xfId="222" xr:uid="{00000000-0005-0000-0000-0000DD000000}"/>
    <cellStyle name="Äåíåæíûé 4" xfId="223" xr:uid="{00000000-0005-0000-0000-0000DE000000}"/>
    <cellStyle name="Äåíåæíûé 5" xfId="224" xr:uid="{00000000-0005-0000-0000-0000DF000000}"/>
    <cellStyle name="Ãèïåðññûëêà" xfId="225" xr:uid="{00000000-0005-0000-0000-0000E0000000}"/>
    <cellStyle name="Ãèïåðññûëêà 2" xfId="226" xr:uid="{00000000-0005-0000-0000-0000E1000000}"/>
    <cellStyle name="Ãèïåðññûëêà 3" xfId="227" xr:uid="{00000000-0005-0000-0000-0000E2000000}"/>
    <cellStyle name="Ãèïåðññûëêà 4" xfId="228" xr:uid="{00000000-0005-0000-0000-0000E3000000}"/>
    <cellStyle name="Ãèïåðññûëêà 5" xfId="229" xr:uid="{00000000-0005-0000-0000-0000E4000000}"/>
    <cellStyle name="Îáû÷íûé" xfId="230" xr:uid="{00000000-0005-0000-0000-0000E5000000}"/>
    <cellStyle name="Îáû÷íûé 2" xfId="231" xr:uid="{00000000-0005-0000-0000-0000E6000000}"/>
    <cellStyle name="Îáû÷íûé 3" xfId="232" xr:uid="{00000000-0005-0000-0000-0000E7000000}"/>
    <cellStyle name="Îáû÷íûé 4" xfId="233" xr:uid="{00000000-0005-0000-0000-0000E8000000}"/>
    <cellStyle name="Îáû÷íûé 5" xfId="234" xr:uid="{00000000-0005-0000-0000-0000E9000000}"/>
    <cellStyle name="Ïðîöåíòíûé" xfId="235" xr:uid="{00000000-0005-0000-0000-0000EA000000}"/>
    <cellStyle name="Ïðîöåíòíûé 2" xfId="236" xr:uid="{00000000-0005-0000-0000-0000EB000000}"/>
    <cellStyle name="Ïðîöåíòíûé 3" xfId="237" xr:uid="{00000000-0005-0000-0000-0000EC000000}"/>
    <cellStyle name="Ïðîöåíòíûé 4" xfId="238" xr:uid="{00000000-0005-0000-0000-0000ED000000}"/>
    <cellStyle name="Ïðîöåíòíûé 5" xfId="239" xr:uid="{00000000-0005-0000-0000-0000EE000000}"/>
    <cellStyle name="Îòêðûâàâøàÿñÿ " xfId="240" xr:uid="{00000000-0005-0000-0000-0000EF000000}"/>
    <cellStyle name="Îòêðûâàâøàÿñÿ  2" xfId="241" xr:uid="{00000000-0005-0000-0000-0000F0000000}"/>
    <cellStyle name="Îòêðûâàâøàÿñÿ  3" xfId="242" xr:uid="{00000000-0005-0000-0000-0000F1000000}"/>
    <cellStyle name="Îòêðûâàâøàÿñÿ  4" xfId="243" xr:uid="{00000000-0005-0000-0000-0000F2000000}"/>
    <cellStyle name="Îòêðûâàâøàÿñÿ  5" xfId="244" xr:uid="{00000000-0005-0000-0000-0000F3000000}"/>
    <cellStyle name="Ôèíàíñîâûé" xfId="245" xr:uid="{00000000-0005-0000-0000-0000F4000000}"/>
    <cellStyle name="Ôèíàíñîâûé [0]" xfId="246" xr:uid="{00000000-0005-0000-0000-0000F5000000}"/>
    <cellStyle name="Ôèíàíñîâûé [0] 2" xfId="247" xr:uid="{00000000-0005-0000-0000-0000F6000000}"/>
    <cellStyle name="Ôèíàíñîâûé [0] 3" xfId="248" xr:uid="{00000000-0005-0000-0000-0000F7000000}"/>
    <cellStyle name="Ôèíàíñîâûé [0] 4" xfId="249" xr:uid="{00000000-0005-0000-0000-0000F8000000}"/>
    <cellStyle name="Ôèíàíñîâûé [0] 5" xfId="250" xr:uid="{00000000-0005-0000-0000-0000F9000000}"/>
    <cellStyle name="Ôèíàíñîâûé 2" xfId="251" xr:uid="{00000000-0005-0000-0000-0000FA000000}"/>
    <cellStyle name="Ôèíàíñîâûé 3" xfId="252" xr:uid="{00000000-0005-0000-0000-0000FB000000}"/>
    <cellStyle name="Ôèíàíñîâûé 4" xfId="253" xr:uid="{00000000-0005-0000-0000-0000FC000000}"/>
    <cellStyle name="Ôèíàíñîâûé 5" xfId="254" xr:uid="{00000000-0005-0000-0000-0000FD000000}"/>
    <cellStyle name="Акцент1" xfId="255" builtinId="29" customBuiltin="1"/>
    <cellStyle name="Акцент2" xfId="256" builtinId="33" customBuiltin="1"/>
    <cellStyle name="Акцент3" xfId="257" builtinId="37" customBuiltin="1"/>
    <cellStyle name="Акцент4" xfId="258" builtinId="41" customBuiltin="1"/>
    <cellStyle name="Акцент5" xfId="259" builtinId="45" customBuiltin="1"/>
    <cellStyle name="Акцент6" xfId="260" builtinId="49" customBuiltin="1"/>
    <cellStyle name="Ввод " xfId="261" builtinId="20" customBuiltin="1"/>
    <cellStyle name="Вывод" xfId="262" builtinId="21" customBuiltin="1"/>
    <cellStyle name="Вычисление" xfId="263" builtinId="22" customBuiltin="1"/>
    <cellStyle name="Денежный" xfId="264" builtinId="4"/>
    <cellStyle name="Заголовок 1" xfId="265" builtinId="16" customBuiltin="1"/>
    <cellStyle name="Заголовок 2" xfId="266" builtinId="17" customBuiltin="1"/>
    <cellStyle name="Заголовок 3" xfId="267" builtinId="18" customBuiltin="1"/>
    <cellStyle name="Заголовок 4" xfId="268" builtinId="19" customBuiltin="1"/>
    <cellStyle name="Итог" xfId="269" builtinId="25" customBuiltin="1"/>
    <cellStyle name="Контрольная ячейка" xfId="270" builtinId="23" customBuiltin="1"/>
    <cellStyle name="Название" xfId="271" builtinId="15" customBuiltin="1"/>
    <cellStyle name="Нейтральный" xfId="272" builtinId="28" customBuiltin="1"/>
    <cellStyle name="Обычный" xfId="0" builtinId="0"/>
    <cellStyle name="Обычный 104" xfId="273" xr:uid="{00000000-0005-0000-0000-000011010000}"/>
    <cellStyle name="Обычный 105" xfId="274" xr:uid="{00000000-0005-0000-0000-000012010000}"/>
    <cellStyle name="Обычный 106" xfId="275" xr:uid="{00000000-0005-0000-0000-000013010000}"/>
    <cellStyle name="Обычный 19" xfId="276" xr:uid="{00000000-0005-0000-0000-000014010000}"/>
    <cellStyle name="Обычный 19 2" xfId="277" xr:uid="{00000000-0005-0000-0000-000015010000}"/>
    <cellStyle name="Обычный 19 3" xfId="278" xr:uid="{00000000-0005-0000-0000-000016010000}"/>
    <cellStyle name="Обычный 19 4" xfId="279" xr:uid="{00000000-0005-0000-0000-000017010000}"/>
    <cellStyle name="Обычный 19 5" xfId="280" xr:uid="{00000000-0005-0000-0000-000018010000}"/>
    <cellStyle name="Обычный 2" xfId="281" xr:uid="{00000000-0005-0000-0000-000019010000}"/>
    <cellStyle name="Обычный 2 2" xfId="282" xr:uid="{00000000-0005-0000-0000-00001A010000}"/>
    <cellStyle name="Обычный 2 2 2" xfId="283" xr:uid="{00000000-0005-0000-0000-00001B010000}"/>
    <cellStyle name="Обычный 2 2 3" xfId="284" xr:uid="{00000000-0005-0000-0000-00001C010000}"/>
    <cellStyle name="Обычный 2 2 4" xfId="285" xr:uid="{00000000-0005-0000-0000-00001D010000}"/>
    <cellStyle name="Обычный 2 2 5" xfId="286" xr:uid="{00000000-0005-0000-0000-00001E010000}"/>
    <cellStyle name="Обычный 2 3" xfId="287" xr:uid="{00000000-0005-0000-0000-00001F010000}"/>
    <cellStyle name="Обычный 2 4" xfId="288" xr:uid="{00000000-0005-0000-0000-000020010000}"/>
    <cellStyle name="Обычный 2 5" xfId="289" xr:uid="{00000000-0005-0000-0000-000021010000}"/>
    <cellStyle name="Обычный 29 2" xfId="290" xr:uid="{00000000-0005-0000-0000-000022010000}"/>
    <cellStyle name="Обычный 29 3" xfId="291" xr:uid="{00000000-0005-0000-0000-000023010000}"/>
    <cellStyle name="Обычный 29 4" xfId="292" xr:uid="{00000000-0005-0000-0000-000024010000}"/>
    <cellStyle name="Обычный 29 5" xfId="293" xr:uid="{00000000-0005-0000-0000-000025010000}"/>
    <cellStyle name="Обычный 3" xfId="294" xr:uid="{00000000-0005-0000-0000-000026010000}"/>
    <cellStyle name="Обычный 3 2" xfId="295" xr:uid="{00000000-0005-0000-0000-000027010000}"/>
    <cellStyle name="Обычный 3 3" xfId="296" xr:uid="{00000000-0005-0000-0000-000028010000}"/>
    <cellStyle name="Обычный 3 4" xfId="297" xr:uid="{00000000-0005-0000-0000-000029010000}"/>
    <cellStyle name="Обычный 3 5" xfId="298" xr:uid="{00000000-0005-0000-0000-00002A010000}"/>
    <cellStyle name="Обычный 30 2" xfId="299" xr:uid="{00000000-0005-0000-0000-00002B010000}"/>
    <cellStyle name="Обычный 30 3" xfId="300" xr:uid="{00000000-0005-0000-0000-00002C010000}"/>
    <cellStyle name="Обычный 30 4" xfId="301" xr:uid="{00000000-0005-0000-0000-00002D010000}"/>
    <cellStyle name="Обычный 30 5" xfId="302" xr:uid="{00000000-0005-0000-0000-00002E010000}"/>
    <cellStyle name="Обычный 4" xfId="303" xr:uid="{00000000-0005-0000-0000-00002F010000}"/>
    <cellStyle name="Обычный 4 2" xfId="304" xr:uid="{00000000-0005-0000-0000-000030010000}"/>
    <cellStyle name="Обычный 4 3" xfId="305" xr:uid="{00000000-0005-0000-0000-000031010000}"/>
    <cellStyle name="Обычный 4 4" xfId="306" xr:uid="{00000000-0005-0000-0000-000032010000}"/>
    <cellStyle name="Обычный 4 5" xfId="307" xr:uid="{00000000-0005-0000-0000-000033010000}"/>
    <cellStyle name="Обычный 5" xfId="337" xr:uid="{00000000-0005-0000-0000-000034010000}"/>
    <cellStyle name="Обычный 5 2" xfId="308" xr:uid="{00000000-0005-0000-0000-000035010000}"/>
    <cellStyle name="Обычный 5 3" xfId="309" xr:uid="{00000000-0005-0000-0000-000036010000}"/>
    <cellStyle name="Обычный 5 4" xfId="310" xr:uid="{00000000-0005-0000-0000-000037010000}"/>
    <cellStyle name="Обычный 5 5" xfId="311" xr:uid="{00000000-0005-0000-0000-000038010000}"/>
    <cellStyle name="Обычный 6" xfId="312" xr:uid="{00000000-0005-0000-0000-000039010000}"/>
    <cellStyle name="Обычный 6 2" xfId="313" xr:uid="{00000000-0005-0000-0000-00003A010000}"/>
    <cellStyle name="Обычный 6 3" xfId="314" xr:uid="{00000000-0005-0000-0000-00003B010000}"/>
    <cellStyle name="Обычный 6 4" xfId="315" xr:uid="{00000000-0005-0000-0000-00003C010000}"/>
    <cellStyle name="Обычный 6 5" xfId="316" xr:uid="{00000000-0005-0000-0000-00003D010000}"/>
    <cellStyle name="Обычный 7" xfId="317" xr:uid="{00000000-0005-0000-0000-00003E010000}"/>
    <cellStyle name="Обычный 94" xfId="318" xr:uid="{00000000-0005-0000-0000-00003F010000}"/>
    <cellStyle name="Обычный_Bux_Jadvl-Шовот1" xfId="319" xr:uid="{00000000-0005-0000-0000-000040010000}"/>
    <cellStyle name="Обычный_ILOVALAR" xfId="320" xr:uid="{00000000-0005-0000-0000-000041010000}"/>
    <cellStyle name="Обычный_даромад" xfId="321" xr:uid="{00000000-0005-0000-0000-000042010000}"/>
    <cellStyle name="Обычный_Лист1" xfId="322" xr:uid="{00000000-0005-0000-0000-000043010000}"/>
    <cellStyle name="Обычный_текшириш" xfId="323" xr:uid="{00000000-0005-0000-0000-000044010000}"/>
    <cellStyle name="Плохой" xfId="324" builtinId="27" customBuiltin="1"/>
    <cellStyle name="Пояснение" xfId="325" builtinId="53" customBuiltin="1"/>
    <cellStyle name="Примечание 2" xfId="326" xr:uid="{00000000-0005-0000-0000-000047010000}"/>
    <cellStyle name="Процентный" xfId="327" builtinId="5"/>
    <cellStyle name="Связанная ячейка" xfId="328" builtinId="24" customBuiltin="1"/>
    <cellStyle name="Текст предупреждения" xfId="329" builtinId="11" customBuiltin="1"/>
    <cellStyle name="Финансовый" xfId="330" builtinId="3"/>
    <cellStyle name="Финансовый 2" xfId="338" xr:uid="{00000000-0005-0000-0000-00004C010000}"/>
    <cellStyle name="Хороший" xfId="331" builtinId="26" customBuiltin="1"/>
    <cellStyle name="Џђћ–…ќ’ќ›‰" xfId="332" xr:uid="{00000000-0005-0000-0000-00004E010000}"/>
    <cellStyle name="Џђћ–…ќ’ќ›‰ 2" xfId="333" xr:uid="{00000000-0005-0000-0000-00004F010000}"/>
    <cellStyle name="Џђћ–…ќ’ќ›‰ 3" xfId="334" xr:uid="{00000000-0005-0000-0000-000050010000}"/>
    <cellStyle name="Џђћ–…ќ’ќ›‰ 4" xfId="335" xr:uid="{00000000-0005-0000-0000-000051010000}"/>
    <cellStyle name="Џђћ–…ќ’ќ›‰ 5" xfId="336" xr:uid="{00000000-0005-0000-0000-000052010000}"/>
  </cellStyles>
  <dxfs count="3">
    <dxf>
      <fill>
        <patternFill patternType="solid">
          <fgColor indexed="64"/>
          <bgColor indexed="65"/>
        </patternFill>
      </fill>
    </dxf>
    <dxf>
      <fill>
        <patternFill patternType="solid">
          <fgColor indexed="64"/>
          <bgColor indexed="65"/>
        </patternFill>
      </fill>
    </dxf>
    <dxf>
      <fill>
        <patternFill patternType="solid">
          <fgColor rgb="FFFF0000"/>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2011%20&#1081;&#1080;&#1083;%20&#1103;&#1082;&#1091;&#1085;&#1080;\Xududiy\Bux_Jadval_0058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lugbek\Kred_jadval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Шаблон"/>
      <sheetName val="Баланс"/>
      <sheetName val="1.активлар"/>
      <sheetName val="2.Мол.ёр.16102"/>
      <sheetName val="3.Д-т фоиз"/>
      <sheetName val="4.а-восита"/>
      <sheetName val="5.омборхона"/>
      <sheetName val="6.ВАШ камчилик"/>
      <sheetName val="7.ВАШ"/>
      <sheetName val="8.19900 х-р"/>
      <sheetName val="9.мажбурият"/>
      <sheetName val="10.омонот фоиз "/>
      <sheetName val="11.Омонатдан ун-маган дар-д"/>
      <sheetName val="12.Бух_кунлик"/>
      <sheetName val="13.615-йур"/>
      <sheetName val="14.29801(29896)"/>
      <sheetName val="15.капитал"/>
      <sheetName val="16.Дивидент"/>
      <sheetName val="17.смета"/>
      <sheetName val="18.харажат"/>
      <sheetName val="19.солик"/>
      <sheetName val="20.Карт-2"/>
      <sheetName val="21.Коррект"/>
      <sheetName val="22.кам.солиштир"/>
      <sheetName val="23.ўзгариш"/>
      <sheetName val="24.касса"/>
      <sheetName val="тек.даври айланма баланси"/>
      <sheetName val="Лист1"/>
    </sheetNames>
    <sheetDataSet>
      <sheetData sheetId="0">
        <row r="1">
          <cell r="B1" t="str">
            <v>"Агробанк" ОАТБ</v>
          </cell>
        </row>
        <row r="3">
          <cell r="B3" t="str">
            <v>Ҳудудий</v>
          </cell>
        </row>
        <row r="13">
          <cell r="B13" t="str">
            <v>У.Р.Очилов</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Шаблон"/>
      <sheetName val="1.тижорат"/>
      <sheetName val="2.14901"/>
      <sheetName val="3.ресурс"/>
      <sheetName val="4.истеъмол"/>
      <sheetName val="13.муаммога айланиши мумкин"/>
      <sheetName val="8.галла.ин"/>
      <sheetName val="10.галла.меъёр"/>
      <sheetName val="12.нақд"/>
      <sheetName val="14.амалий ердам"/>
      <sheetName val="свод.(1-2)"/>
      <sheetName val="свод(4)"/>
      <sheetName val="свод(7-8)"/>
      <sheetName val="свод(12-13)"/>
    </sheetNames>
    <sheetDataSet>
      <sheetData sheetId="0" refreshError="1">
        <row r="1">
          <cell r="B1" t="str">
            <v>"Агробанк" ОАТБ</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C00000"/>
    <pageSetUpPr fitToPage="1"/>
  </sheetPr>
  <dimension ref="A1:D28"/>
  <sheetViews>
    <sheetView workbookViewId="0">
      <selection activeCell="B15" sqref="B15"/>
    </sheetView>
  </sheetViews>
  <sheetFormatPr defaultColWidth="9.109375" defaultRowHeight="15.6"/>
  <cols>
    <col min="1" max="1" width="28.109375" style="139" customWidth="1"/>
    <col min="2" max="2" width="27.44140625" style="139" customWidth="1"/>
    <col min="3" max="3" width="9.109375" style="139"/>
    <col min="4" max="4" width="16.88671875" style="139" bestFit="1" customWidth="1"/>
    <col min="5" max="16384" width="9.109375" style="139"/>
  </cols>
  <sheetData>
    <row r="1" spans="1:4">
      <c r="A1" s="139" t="s">
        <v>244</v>
      </c>
      <c r="B1" s="366" t="s">
        <v>2865</v>
      </c>
    </row>
    <row r="2" spans="1:4">
      <c r="A2" s="139" t="s">
        <v>282</v>
      </c>
      <c r="B2" s="45" t="s">
        <v>4260</v>
      </c>
    </row>
    <row r="3" spans="1:4">
      <c r="A3" s="139" t="s">
        <v>214</v>
      </c>
      <c r="B3" s="45" t="s">
        <v>4261</v>
      </c>
    </row>
    <row r="4" spans="1:4">
      <c r="A4" s="139" t="s">
        <v>281</v>
      </c>
      <c r="B4" s="140"/>
    </row>
    <row r="5" spans="1:4">
      <c r="A5" s="139" t="s">
        <v>4089</v>
      </c>
      <c r="B5" s="45" t="s">
        <v>4079</v>
      </c>
    </row>
    <row r="6" spans="1:4">
      <c r="A6" s="139" t="s">
        <v>242</v>
      </c>
      <c r="B6" s="45"/>
    </row>
    <row r="7" spans="1:4">
      <c r="A7" s="139" t="s">
        <v>307</v>
      </c>
      <c r="B7" s="45" t="s">
        <v>4079</v>
      </c>
    </row>
    <row r="8" spans="1:4">
      <c r="A8" s="139" t="s">
        <v>4088</v>
      </c>
      <c r="B8" s="45" t="s">
        <v>4079</v>
      </c>
    </row>
    <row r="9" spans="1:4">
      <c r="A9" s="139" t="s">
        <v>241</v>
      </c>
      <c r="B9" s="231"/>
    </row>
    <row r="10" spans="1:4">
      <c r="A10" s="139" t="s">
        <v>279</v>
      </c>
      <c r="B10" s="45"/>
    </row>
    <row r="11" spans="1:4">
      <c r="A11" s="139" t="s">
        <v>280</v>
      </c>
      <c r="B11" s="45"/>
    </row>
    <row r="12" spans="1:4">
      <c r="A12" s="139" t="s">
        <v>243</v>
      </c>
      <c r="B12" s="370" t="s">
        <v>788</v>
      </c>
    </row>
    <row r="13" spans="1:4">
      <c r="A13" s="139" t="s">
        <v>161</v>
      </c>
      <c r="B13" s="45" t="s">
        <v>4072</v>
      </c>
    </row>
    <row r="14" spans="1:4">
      <c r="A14" s="360">
        <v>2</v>
      </c>
      <c r="B14" s="45"/>
      <c r="D14" s="141"/>
    </row>
    <row r="15" spans="1:4">
      <c r="A15" s="139" t="s">
        <v>240</v>
      </c>
      <c r="B15" s="142" t="s">
        <v>4263</v>
      </c>
      <c r="D15" s="141"/>
    </row>
    <row r="16" spans="1:4">
      <c r="A16" s="143" t="s">
        <v>249</v>
      </c>
      <c r="B16" s="142" t="s">
        <v>4262</v>
      </c>
    </row>
    <row r="17" spans="1:2">
      <c r="A17" s="143"/>
      <c r="B17" s="359"/>
    </row>
    <row r="18" spans="1:2">
      <c r="A18" s="139" t="s">
        <v>322</v>
      </c>
      <c r="B18" s="366" t="s">
        <v>4103</v>
      </c>
    </row>
    <row r="20" spans="1:2">
      <c r="A20" s="361" t="s">
        <v>162</v>
      </c>
      <c r="B20" s="139" t="s">
        <v>163</v>
      </c>
    </row>
    <row r="21" spans="1:2">
      <c r="A21" s="362" t="s">
        <v>164</v>
      </c>
      <c r="B21" s="139" t="s">
        <v>531</v>
      </c>
    </row>
    <row r="22" spans="1:2">
      <c r="A22" s="378" t="s">
        <v>530</v>
      </c>
      <c r="B22" s="139" t="s">
        <v>532</v>
      </c>
    </row>
    <row r="23" spans="1:2">
      <c r="A23" s="363" t="s">
        <v>165</v>
      </c>
      <c r="B23" s="139" t="s">
        <v>166</v>
      </c>
    </row>
    <row r="24" spans="1:2">
      <c r="A24" s="379" t="s">
        <v>167</v>
      </c>
      <c r="B24" s="139" t="s">
        <v>536</v>
      </c>
    </row>
    <row r="25" spans="1:2">
      <c r="A25" s="364" t="s">
        <v>168</v>
      </c>
      <c r="B25" s="139" t="s">
        <v>169</v>
      </c>
    </row>
    <row r="26" spans="1:2">
      <c r="A26" s="365"/>
    </row>
    <row r="27" spans="1:2">
      <c r="A27" s="365"/>
    </row>
    <row r="28" spans="1:2">
      <c r="A28" s="365"/>
    </row>
  </sheetData>
  <phoneticPr fontId="0" type="noConversion"/>
  <printOptions horizontalCentered="1"/>
  <pageMargins left="0.70866141732283472" right="0.70866141732283472" top="0.74803149606299213" bottom="0.74803149606299213" header="0.31496062992125984" footer="0.31496062992125984"/>
  <pageSetup paperSize="11" orientation="portrait" r:id="rId1"/>
  <headerFooter differentOddEven="1" alignWithMargins="0"/>
  <rowBreaks count="1" manualBreakCount="1">
    <brk id="1" max="16383" man="1"/>
  </rowBreaks>
  <colBreaks count="1" manualBreakCount="1">
    <brk id="1"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tabColor rgb="FF0070C0"/>
  </sheetPr>
  <dimension ref="A1:H378"/>
  <sheetViews>
    <sheetView zoomScaleSheetLayoutView="85" workbookViewId="0">
      <pane xSplit="2" ySplit="9" topLeftCell="C10" activePane="bottomRight" state="frozen"/>
      <selection pane="topRight" activeCell="C1" sqref="C1"/>
      <selection pane="bottomLeft" activeCell="A10" sqref="A10"/>
      <selection pane="bottomRight" activeCell="F22" sqref="F22"/>
    </sheetView>
  </sheetViews>
  <sheetFormatPr defaultRowHeight="13.2"/>
  <cols>
    <col min="1" max="1" width="5.5546875" style="987" customWidth="1"/>
    <col min="2" max="2" width="24.44140625" style="987" customWidth="1"/>
    <col min="3" max="3" width="19.77734375" style="987" customWidth="1"/>
    <col min="4" max="4" width="19.6640625" style="987" customWidth="1"/>
    <col min="5" max="5" width="21.5546875" style="987" customWidth="1"/>
    <col min="6" max="6" width="21.88671875" style="987" customWidth="1"/>
    <col min="7" max="7" width="19.5546875" style="987" customWidth="1"/>
    <col min="8" max="8" width="20.109375" style="987" customWidth="1"/>
    <col min="9" max="16384" width="8.88671875" style="987"/>
  </cols>
  <sheetData>
    <row r="1" spans="1:8" ht="13.8">
      <c r="A1" s="907" t="s">
        <v>1014</v>
      </c>
      <c r="B1" s="908"/>
      <c r="C1" s="1248"/>
      <c r="D1" s="1248"/>
      <c r="E1" s="1248"/>
      <c r="F1" s="1248"/>
      <c r="G1" s="1248"/>
      <c r="H1" s="1248"/>
    </row>
    <row r="2" spans="1:8" ht="13.8">
      <c r="A2" s="909" t="s">
        <v>4309</v>
      </c>
      <c r="B2" s="981"/>
      <c r="C2" s="1248"/>
      <c r="D2" s="1248"/>
      <c r="E2" s="1248"/>
      <c r="F2" s="1248"/>
      <c r="G2" s="1248"/>
      <c r="H2" s="1248"/>
    </row>
    <row r="3" spans="1:8" ht="13.8">
      <c r="A3" s="909" t="s">
        <v>4242</v>
      </c>
      <c r="B3" s="981"/>
      <c r="C3" s="1248"/>
      <c r="D3" s="1248"/>
      <c r="E3" s="1248"/>
      <c r="F3" s="1248"/>
      <c r="G3" s="1248"/>
      <c r="H3" s="1248"/>
    </row>
    <row r="4" spans="1:8" ht="13.8">
      <c r="A4" s="910" t="s">
        <v>4264</v>
      </c>
      <c r="B4" s="698"/>
      <c r="C4" s="1248"/>
      <c r="D4" s="1248"/>
      <c r="E4" s="1248"/>
      <c r="F4" s="1248"/>
      <c r="G4" s="1248"/>
      <c r="H4" s="1248"/>
    </row>
    <row r="5" spans="1:8" ht="13.8">
      <c r="A5" s="909"/>
      <c r="B5" s="981"/>
      <c r="C5" s="1248"/>
      <c r="D5" s="1248"/>
      <c r="E5" s="1248"/>
      <c r="F5" s="1248"/>
      <c r="G5" s="1248"/>
      <c r="H5" s="1248"/>
    </row>
    <row r="6" spans="1:8" ht="13.8">
      <c r="A6" s="909" t="s">
        <v>2049</v>
      </c>
      <c r="B6" s="981"/>
      <c r="C6" s="1248"/>
      <c r="D6" s="1248"/>
      <c r="E6" s="1248"/>
      <c r="F6" s="1248"/>
      <c r="G6" s="1248"/>
      <c r="H6" s="1248"/>
    </row>
    <row r="7" spans="1:8" ht="14.4" thickBot="1">
      <c r="A7" s="1249" t="s">
        <v>1101</v>
      </c>
      <c r="B7" s="1250"/>
      <c r="C7" s="1248"/>
      <c r="D7" s="1248"/>
      <c r="E7" s="1248"/>
      <c r="F7" s="1248"/>
      <c r="G7" s="1248"/>
      <c r="H7" s="1248"/>
    </row>
    <row r="8" spans="1:8" ht="13.8" thickBot="1">
      <c r="A8" s="1251" t="s">
        <v>1016</v>
      </c>
      <c r="B8" s="1252" t="s">
        <v>1017</v>
      </c>
      <c r="C8" s="1253" t="s">
        <v>4265</v>
      </c>
      <c r="D8" s="1254"/>
      <c r="E8" s="1253" t="s">
        <v>1018</v>
      </c>
      <c r="F8" s="1254"/>
      <c r="G8" s="1253" t="s">
        <v>4310</v>
      </c>
      <c r="H8" s="1255"/>
    </row>
    <row r="9" spans="1:8" ht="13.8" thickBot="1">
      <c r="A9" s="1256"/>
      <c r="B9" s="1257"/>
      <c r="C9" s="1258" t="s">
        <v>1019</v>
      </c>
      <c r="D9" s="1258" t="s">
        <v>1020</v>
      </c>
      <c r="E9" s="1258" t="s">
        <v>1021</v>
      </c>
      <c r="F9" s="1258" t="s">
        <v>1022</v>
      </c>
      <c r="G9" s="1258" t="s">
        <v>1019</v>
      </c>
      <c r="H9" s="1259" t="s">
        <v>1020</v>
      </c>
    </row>
    <row r="10" spans="1:8" ht="13.8">
      <c r="A10" s="1260" t="s">
        <v>1102</v>
      </c>
      <c r="B10" s="1261"/>
      <c r="C10" s="1248"/>
      <c r="D10" s="1248"/>
      <c r="E10" s="1248"/>
      <c r="F10" s="1248"/>
      <c r="G10" s="1248"/>
      <c r="H10" s="1248"/>
    </row>
    <row r="11" spans="1:8" ht="13.8">
      <c r="A11" s="854" t="s">
        <v>550</v>
      </c>
      <c r="B11" s="854" t="s">
        <v>551</v>
      </c>
      <c r="C11" s="1262">
        <v>3836708183.2600002</v>
      </c>
      <c r="D11" s="1262">
        <v>0</v>
      </c>
      <c r="E11" s="1263">
        <v>709983537715.51001</v>
      </c>
      <c r="F11" s="1263">
        <v>693747522962.30005</v>
      </c>
      <c r="G11" s="1263">
        <v>16419730059.290001</v>
      </c>
      <c r="H11" s="1263">
        <v>0</v>
      </c>
    </row>
    <row r="12" spans="1:8" ht="13.8">
      <c r="A12" s="854" t="s">
        <v>553</v>
      </c>
      <c r="B12" s="854" t="s">
        <v>4096</v>
      </c>
      <c r="C12" s="1262">
        <v>0</v>
      </c>
      <c r="D12" s="1262">
        <v>0</v>
      </c>
      <c r="E12" s="1263">
        <v>4655342169.0500002</v>
      </c>
      <c r="F12" s="1263">
        <v>4655342169.0500002</v>
      </c>
      <c r="G12" s="1263">
        <v>0</v>
      </c>
      <c r="H12" s="1263">
        <v>0</v>
      </c>
    </row>
    <row r="13" spans="1:8" ht="13.8">
      <c r="A13" s="854" t="s">
        <v>4074</v>
      </c>
      <c r="B13" s="854" t="s">
        <v>4125</v>
      </c>
      <c r="C13" s="1262">
        <v>4529309471</v>
      </c>
      <c r="D13" s="1262">
        <v>0</v>
      </c>
      <c r="E13" s="1263">
        <v>209775682599</v>
      </c>
      <c r="F13" s="1263">
        <v>197034191932</v>
      </c>
      <c r="G13" s="1263">
        <v>12749579164</v>
      </c>
      <c r="H13" s="1263">
        <v>0</v>
      </c>
    </row>
    <row r="14" spans="1:8" ht="13.8">
      <c r="A14" s="854" t="s">
        <v>554</v>
      </c>
      <c r="B14" s="854" t="s">
        <v>4126</v>
      </c>
      <c r="C14" s="1262">
        <v>0</v>
      </c>
      <c r="D14" s="1262">
        <v>0</v>
      </c>
      <c r="E14" s="1263">
        <v>1105569627861.22</v>
      </c>
      <c r="F14" s="1263">
        <v>1105732229996.6299</v>
      </c>
      <c r="G14" s="1263">
        <v>0</v>
      </c>
      <c r="H14" s="1263">
        <v>0</v>
      </c>
    </row>
    <row r="15" spans="1:8" ht="13.8">
      <c r="A15" s="854" t="s">
        <v>924</v>
      </c>
      <c r="B15" s="854" t="s">
        <v>4127</v>
      </c>
      <c r="C15" s="1262">
        <v>0</v>
      </c>
      <c r="D15" s="1262">
        <v>0</v>
      </c>
      <c r="E15" s="1263">
        <v>309782585843.08997</v>
      </c>
      <c r="F15" s="1263">
        <v>309782870979.89001</v>
      </c>
      <c r="G15" s="1263">
        <v>0</v>
      </c>
      <c r="H15" s="1263">
        <v>0</v>
      </c>
    </row>
    <row r="16" spans="1:8" ht="13.8">
      <c r="A16" s="854" t="s">
        <v>4128</v>
      </c>
      <c r="B16" s="854" t="s">
        <v>4129</v>
      </c>
      <c r="C16" s="1262">
        <v>0</v>
      </c>
      <c r="D16" s="1262">
        <v>0</v>
      </c>
      <c r="E16" s="1263">
        <v>143910420242.78</v>
      </c>
      <c r="F16" s="1263">
        <v>143910420242.78</v>
      </c>
      <c r="G16" s="1263">
        <v>0</v>
      </c>
      <c r="H16" s="1263">
        <v>0</v>
      </c>
    </row>
    <row r="17" spans="1:8" ht="13.8">
      <c r="A17" s="854" t="s">
        <v>4243</v>
      </c>
      <c r="B17" s="854"/>
      <c r="C17" s="1262">
        <v>1000000</v>
      </c>
      <c r="D17" s="1262">
        <v>0</v>
      </c>
      <c r="E17" s="1263">
        <v>679398240.98000002</v>
      </c>
      <c r="F17" s="1263">
        <v>461908083</v>
      </c>
      <c r="G17" s="1263">
        <v>221975545</v>
      </c>
      <c r="H17" s="1263">
        <v>0</v>
      </c>
    </row>
    <row r="18" spans="1:8" s="988" customFormat="1" ht="13.8">
      <c r="A18" s="984" t="s">
        <v>186</v>
      </c>
      <c r="B18" s="984" t="s">
        <v>925</v>
      </c>
      <c r="C18" s="1264">
        <v>8367017654.2600002</v>
      </c>
      <c r="D18" s="1264">
        <v>0</v>
      </c>
      <c r="E18" s="1265">
        <v>2484356594671.6299</v>
      </c>
      <c r="F18" s="1265">
        <v>2455324486365.6499</v>
      </c>
      <c r="G18" s="1265">
        <v>29391284768.290001</v>
      </c>
      <c r="H18" s="1265">
        <v>0</v>
      </c>
    </row>
    <row r="19" spans="1:8" ht="13.8">
      <c r="A19" s="854" t="s">
        <v>556</v>
      </c>
      <c r="B19" s="854" t="s">
        <v>557</v>
      </c>
      <c r="C19" s="1262">
        <v>0</v>
      </c>
      <c r="D19" s="1262">
        <v>0</v>
      </c>
      <c r="E19" s="1263">
        <v>119500000000</v>
      </c>
      <c r="F19" s="1263">
        <v>119500000000</v>
      </c>
      <c r="G19" s="1263">
        <v>0</v>
      </c>
      <c r="H19" s="1263">
        <v>0</v>
      </c>
    </row>
    <row r="20" spans="1:8" ht="13.8">
      <c r="A20" s="854" t="s">
        <v>4299</v>
      </c>
      <c r="B20" s="854" t="s">
        <v>4300</v>
      </c>
      <c r="C20" s="1262">
        <v>0</v>
      </c>
      <c r="D20" s="1262">
        <v>0</v>
      </c>
      <c r="E20" s="1263">
        <v>3161000000</v>
      </c>
      <c r="F20" s="1263">
        <v>3161000000</v>
      </c>
      <c r="G20" s="1263">
        <v>0</v>
      </c>
      <c r="H20" s="1263">
        <v>0</v>
      </c>
    </row>
    <row r="21" spans="1:8" s="988" customFormat="1" ht="13.8">
      <c r="A21" s="984" t="s">
        <v>186</v>
      </c>
      <c r="B21" s="984" t="s">
        <v>926</v>
      </c>
      <c r="C21" s="1264">
        <v>0</v>
      </c>
      <c r="D21" s="1264">
        <v>0</v>
      </c>
      <c r="E21" s="1265">
        <v>122661000000</v>
      </c>
      <c r="F21" s="1265">
        <v>122661000000</v>
      </c>
      <c r="G21" s="1265">
        <v>0</v>
      </c>
      <c r="H21" s="1265">
        <v>0</v>
      </c>
    </row>
    <row r="22" spans="1:8" ht="13.8">
      <c r="A22" s="854" t="s">
        <v>2753</v>
      </c>
      <c r="B22" s="854" t="s">
        <v>4130</v>
      </c>
      <c r="C22" s="1262">
        <v>0</v>
      </c>
      <c r="D22" s="1262">
        <v>0</v>
      </c>
      <c r="E22" s="1263">
        <v>69500000000</v>
      </c>
      <c r="F22" s="1263">
        <v>69500000000</v>
      </c>
      <c r="G22" s="1263">
        <v>0</v>
      </c>
      <c r="H22" s="1263">
        <v>0</v>
      </c>
    </row>
    <row r="23" spans="1:8" ht="13.8">
      <c r="A23" s="854" t="s">
        <v>899</v>
      </c>
      <c r="B23" s="854" t="s">
        <v>4131</v>
      </c>
      <c r="C23" s="1262">
        <v>110083823.83</v>
      </c>
      <c r="D23" s="1262">
        <v>0</v>
      </c>
      <c r="E23" s="1263">
        <v>1786222789.3199999</v>
      </c>
      <c r="F23" s="1263">
        <v>1775850250</v>
      </c>
      <c r="G23" s="1263">
        <v>10372539.32</v>
      </c>
      <c r="H23" s="1263">
        <v>0</v>
      </c>
    </row>
    <row r="24" spans="1:8" ht="13.8">
      <c r="A24" s="854" t="s">
        <v>75</v>
      </c>
      <c r="B24" s="854" t="s">
        <v>4132</v>
      </c>
      <c r="C24" s="1262">
        <v>1193661164.0599999</v>
      </c>
      <c r="D24" s="1262">
        <v>0</v>
      </c>
      <c r="E24" s="1263">
        <v>15800079703.26</v>
      </c>
      <c r="F24" s="1263">
        <v>14574705639.200001</v>
      </c>
      <c r="G24" s="1263">
        <v>1225374064.0599999</v>
      </c>
      <c r="H24" s="1263">
        <v>0</v>
      </c>
    </row>
    <row r="25" spans="1:8" s="988" customFormat="1" ht="13.8">
      <c r="A25" s="984" t="s">
        <v>186</v>
      </c>
      <c r="B25" s="984" t="s">
        <v>927</v>
      </c>
      <c r="C25" s="1264">
        <v>1303744987.8900001</v>
      </c>
      <c r="D25" s="1264">
        <v>0</v>
      </c>
      <c r="E25" s="1265">
        <v>87086302492.580002</v>
      </c>
      <c r="F25" s="1265">
        <v>85850555889.199997</v>
      </c>
      <c r="G25" s="1265">
        <v>1235746603.3800001</v>
      </c>
      <c r="H25" s="1265">
        <v>0</v>
      </c>
    </row>
    <row r="26" spans="1:8" ht="13.8">
      <c r="A26" s="854" t="s">
        <v>4250</v>
      </c>
      <c r="B26" s="854" t="s">
        <v>4251</v>
      </c>
      <c r="C26" s="1262">
        <v>15717855.890000001</v>
      </c>
      <c r="D26" s="1262">
        <v>0</v>
      </c>
      <c r="E26" s="1263">
        <v>671438409.00999999</v>
      </c>
      <c r="F26" s="1263">
        <v>530554122.84999996</v>
      </c>
      <c r="G26" s="1263">
        <v>140884286.16</v>
      </c>
      <c r="H26" s="1263">
        <v>0</v>
      </c>
    </row>
    <row r="27" spans="1:8" ht="13.8">
      <c r="A27" s="854" t="s">
        <v>561</v>
      </c>
      <c r="B27" s="854" t="s">
        <v>562</v>
      </c>
      <c r="C27" s="1262">
        <v>2645323506.4000001</v>
      </c>
      <c r="D27" s="1262">
        <v>0</v>
      </c>
      <c r="E27" s="1263">
        <v>11983807494.139999</v>
      </c>
      <c r="F27" s="1263">
        <v>9395700719.8299999</v>
      </c>
      <c r="G27" s="1263">
        <v>2588106774.3099999</v>
      </c>
      <c r="H27" s="1263">
        <v>0</v>
      </c>
    </row>
    <row r="28" spans="1:8" ht="13.8">
      <c r="A28" s="854" t="s">
        <v>4266</v>
      </c>
      <c r="B28" s="854" t="s">
        <v>4267</v>
      </c>
      <c r="C28" s="1262">
        <v>880989287.66999996</v>
      </c>
      <c r="D28" s="1262">
        <v>0</v>
      </c>
      <c r="E28" s="1263">
        <v>1281497139.5999999</v>
      </c>
      <c r="F28" s="1263">
        <v>847261691.25</v>
      </c>
      <c r="G28" s="1263">
        <v>434235448.35000002</v>
      </c>
      <c r="H28" s="1263">
        <v>0</v>
      </c>
    </row>
    <row r="29" spans="1:8" ht="13.8">
      <c r="A29" s="854" t="s">
        <v>4311</v>
      </c>
      <c r="B29" s="854"/>
      <c r="C29" s="1262">
        <v>0</v>
      </c>
      <c r="D29" s="1262">
        <v>0</v>
      </c>
      <c r="E29" s="1263">
        <v>5000000</v>
      </c>
      <c r="F29" s="1263">
        <v>420426.5</v>
      </c>
      <c r="G29" s="1263">
        <v>4579573.5</v>
      </c>
      <c r="H29" s="1263">
        <v>0</v>
      </c>
    </row>
    <row r="30" spans="1:8" ht="13.8">
      <c r="A30" s="854" t="s">
        <v>4268</v>
      </c>
      <c r="B30" s="854"/>
      <c r="C30" s="1262">
        <v>0</v>
      </c>
      <c r="D30" s="1262">
        <v>0</v>
      </c>
      <c r="E30" s="1263">
        <v>75000000</v>
      </c>
      <c r="F30" s="1263">
        <v>3279930.79</v>
      </c>
      <c r="G30" s="1263">
        <v>71720069.210000008</v>
      </c>
      <c r="H30" s="1263">
        <v>0</v>
      </c>
    </row>
    <row r="31" spans="1:8" s="988" customFormat="1" ht="13.8">
      <c r="A31" s="854" t="s">
        <v>2855</v>
      </c>
      <c r="B31" s="854" t="s">
        <v>4133</v>
      </c>
      <c r="C31" s="1262">
        <v>0</v>
      </c>
      <c r="D31" s="1262">
        <v>93819685.780000001</v>
      </c>
      <c r="E31" s="1263">
        <v>200048317.06999999</v>
      </c>
      <c r="F31" s="1263">
        <v>267915885.84</v>
      </c>
      <c r="G31" s="1263">
        <v>0</v>
      </c>
      <c r="H31" s="1263">
        <v>67867568.769999996</v>
      </c>
    </row>
    <row r="32" spans="1:8" ht="13.8">
      <c r="A32" s="984" t="s">
        <v>186</v>
      </c>
      <c r="B32" s="984" t="s">
        <v>928</v>
      </c>
      <c r="C32" s="1264">
        <v>3542030649.96</v>
      </c>
      <c r="D32" s="1264">
        <v>93819685.780000001</v>
      </c>
      <c r="E32" s="1265">
        <v>14216791359.82</v>
      </c>
      <c r="F32" s="1265">
        <v>11045132777.059999</v>
      </c>
      <c r="G32" s="1265">
        <v>3239526151.5299997</v>
      </c>
      <c r="H32" s="1265">
        <v>67867568.769999996</v>
      </c>
    </row>
    <row r="33" spans="1:8" s="988" customFormat="1" ht="13.8">
      <c r="A33" s="854" t="s">
        <v>563</v>
      </c>
      <c r="B33" s="854" t="s">
        <v>564</v>
      </c>
      <c r="C33" s="1262">
        <v>68594470.980000004</v>
      </c>
      <c r="D33" s="1262">
        <v>0</v>
      </c>
      <c r="E33" s="1263">
        <v>297364568.94999999</v>
      </c>
      <c r="F33" s="1263">
        <v>248790013.31</v>
      </c>
      <c r="G33" s="1263">
        <v>48574555.640000001</v>
      </c>
      <c r="H33" s="1263">
        <v>0</v>
      </c>
    </row>
    <row r="34" spans="1:8" ht="13.8">
      <c r="A34" s="984" t="s">
        <v>186</v>
      </c>
      <c r="B34" s="984" t="s">
        <v>929</v>
      </c>
      <c r="C34" s="1264">
        <v>68594470.980000004</v>
      </c>
      <c r="D34" s="1264">
        <v>0</v>
      </c>
      <c r="E34" s="1265">
        <v>297364568.94999999</v>
      </c>
      <c r="F34" s="1265">
        <v>248790013.31</v>
      </c>
      <c r="G34" s="1265">
        <v>48574555.640000001</v>
      </c>
      <c r="H34" s="1265">
        <v>0</v>
      </c>
    </row>
    <row r="35" spans="1:8" ht="13.8">
      <c r="A35" s="854" t="s">
        <v>567</v>
      </c>
      <c r="B35" s="854" t="s">
        <v>568</v>
      </c>
      <c r="C35" s="1262">
        <v>429274032.61000001</v>
      </c>
      <c r="D35" s="1262">
        <v>0</v>
      </c>
      <c r="E35" s="1263">
        <v>18291471717.119999</v>
      </c>
      <c r="F35" s="1263">
        <v>7328523569.1800003</v>
      </c>
      <c r="G35" s="1263">
        <v>11072399968.969999</v>
      </c>
      <c r="H35" s="1263">
        <v>0</v>
      </c>
    </row>
    <row r="36" spans="1:8" s="988" customFormat="1" ht="13.8">
      <c r="A36" s="854" t="s">
        <v>468</v>
      </c>
      <c r="B36" s="854" t="s">
        <v>4134</v>
      </c>
      <c r="C36" s="1262">
        <v>0</v>
      </c>
      <c r="D36" s="1262">
        <v>225000000</v>
      </c>
      <c r="E36" s="1263">
        <v>603018661.5</v>
      </c>
      <c r="F36" s="1263">
        <v>850549764</v>
      </c>
      <c r="G36" s="1263">
        <v>0</v>
      </c>
      <c r="H36" s="1263">
        <v>247531102.5</v>
      </c>
    </row>
    <row r="37" spans="1:8" ht="13.8">
      <c r="A37" s="984" t="s">
        <v>186</v>
      </c>
      <c r="B37" s="984" t="s">
        <v>930</v>
      </c>
      <c r="C37" s="1264">
        <v>429274032.61000001</v>
      </c>
      <c r="D37" s="1264">
        <v>225000000</v>
      </c>
      <c r="E37" s="1265">
        <v>18894490378.619999</v>
      </c>
      <c r="F37" s="1265">
        <v>8179073333.1800003</v>
      </c>
      <c r="G37" s="1265">
        <v>11072399968.969999</v>
      </c>
      <c r="H37" s="1265">
        <v>247531102.5</v>
      </c>
    </row>
    <row r="38" spans="1:8" s="988" customFormat="1" ht="13.8">
      <c r="A38" s="854" t="s">
        <v>397</v>
      </c>
      <c r="B38" s="854" t="s">
        <v>4269</v>
      </c>
      <c r="C38" s="1262">
        <v>0</v>
      </c>
      <c r="D38" s="1262">
        <v>0</v>
      </c>
      <c r="E38" s="1263">
        <v>50644127.5</v>
      </c>
      <c r="F38" s="1263">
        <v>0</v>
      </c>
      <c r="G38" s="1263">
        <v>50644127.5</v>
      </c>
      <c r="H38" s="1263">
        <v>0</v>
      </c>
    </row>
    <row r="39" spans="1:8" ht="13.8">
      <c r="A39" s="984" t="s">
        <v>186</v>
      </c>
      <c r="B39" s="984" t="s">
        <v>4270</v>
      </c>
      <c r="C39" s="1264">
        <v>0</v>
      </c>
      <c r="D39" s="1264">
        <v>0</v>
      </c>
      <c r="E39" s="1265">
        <v>50644127.5</v>
      </c>
      <c r="F39" s="1265">
        <v>0</v>
      </c>
      <c r="G39" s="1265">
        <v>50644127.5</v>
      </c>
      <c r="H39" s="1265">
        <v>0</v>
      </c>
    </row>
    <row r="40" spans="1:8" ht="13.8">
      <c r="A40" s="854" t="s">
        <v>570</v>
      </c>
      <c r="B40" s="854" t="s">
        <v>571</v>
      </c>
      <c r="C40" s="1262">
        <v>46146271516.230003</v>
      </c>
      <c r="D40" s="1262">
        <v>0</v>
      </c>
      <c r="E40" s="1263">
        <v>64506012931.110001</v>
      </c>
      <c r="F40" s="1263">
        <v>3652957954.9899998</v>
      </c>
      <c r="G40" s="1263">
        <v>60853054976.120003</v>
      </c>
      <c r="H40" s="1263">
        <v>0</v>
      </c>
    </row>
    <row r="41" spans="1:8" ht="13.8">
      <c r="A41" s="854" t="s">
        <v>4104</v>
      </c>
      <c r="B41" s="854" t="s">
        <v>4135</v>
      </c>
      <c r="C41" s="1262">
        <v>37565358483.059998</v>
      </c>
      <c r="D41" s="1262">
        <v>0</v>
      </c>
      <c r="E41" s="1263">
        <v>59345581877.099998</v>
      </c>
      <c r="F41" s="1263">
        <v>3041891267.3400002</v>
      </c>
      <c r="G41" s="1263">
        <v>56303690609.759995</v>
      </c>
      <c r="H41" s="1263">
        <v>0</v>
      </c>
    </row>
    <row r="42" spans="1:8" ht="13.8">
      <c r="A42" s="854" t="s">
        <v>4075</v>
      </c>
      <c r="B42" s="854" t="s">
        <v>4136</v>
      </c>
      <c r="C42" s="1262">
        <v>235789964.52000001</v>
      </c>
      <c r="D42" s="1262">
        <v>0</v>
      </c>
      <c r="E42" s="1263">
        <v>202251986.49000001</v>
      </c>
      <c r="F42" s="1263">
        <v>17730821.759999998</v>
      </c>
      <c r="G42" s="1263">
        <v>184521164.72999999</v>
      </c>
      <c r="H42" s="1263">
        <v>0</v>
      </c>
    </row>
    <row r="43" spans="1:8" ht="13.8">
      <c r="A43" s="854" t="s">
        <v>4137</v>
      </c>
      <c r="B43" s="854" t="s">
        <v>4138</v>
      </c>
      <c r="C43" s="1262">
        <v>21701494002.869999</v>
      </c>
      <c r="D43" s="1262">
        <v>0</v>
      </c>
      <c r="E43" s="1263">
        <v>58691663817.009995</v>
      </c>
      <c r="F43" s="1263">
        <v>7256011077.2200003</v>
      </c>
      <c r="G43" s="1263">
        <v>51435652739.790001</v>
      </c>
      <c r="H43" s="1263">
        <v>0</v>
      </c>
    </row>
    <row r="44" spans="1:8" s="988" customFormat="1" ht="13.8">
      <c r="A44" s="854" t="s">
        <v>572</v>
      </c>
      <c r="B44" s="854" t="s">
        <v>4139</v>
      </c>
      <c r="C44" s="1262">
        <v>0</v>
      </c>
      <c r="D44" s="1262">
        <v>2334321219.8499999</v>
      </c>
      <c r="E44" s="1263">
        <v>8054126057.2600002</v>
      </c>
      <c r="F44" s="1263">
        <v>10863563641.269999</v>
      </c>
      <c r="G44" s="1263">
        <v>0</v>
      </c>
      <c r="H44" s="1263">
        <v>2809437584.0100002</v>
      </c>
    </row>
    <row r="45" spans="1:8" ht="13.8">
      <c r="A45" s="984" t="s">
        <v>186</v>
      </c>
      <c r="B45" s="984" t="s">
        <v>931</v>
      </c>
      <c r="C45" s="1264">
        <v>105648913966.67999</v>
      </c>
      <c r="D45" s="1264">
        <v>2334321219.8499999</v>
      </c>
      <c r="E45" s="1265">
        <v>190799636668.97</v>
      </c>
      <c r="F45" s="1265">
        <v>24832154762.580002</v>
      </c>
      <c r="G45" s="1265">
        <v>168776919490.39999</v>
      </c>
      <c r="H45" s="1265">
        <v>2809437584.0100002</v>
      </c>
    </row>
    <row r="46" spans="1:8" ht="13.8">
      <c r="A46" s="854" t="s">
        <v>573</v>
      </c>
      <c r="B46" s="854" t="s">
        <v>574</v>
      </c>
      <c r="C46" s="1262">
        <v>303984057.07999998</v>
      </c>
      <c r="D46" s="1262">
        <v>0</v>
      </c>
      <c r="E46" s="1263">
        <v>840175109.72000003</v>
      </c>
      <c r="F46" s="1263">
        <v>125257351.5</v>
      </c>
      <c r="G46" s="1263">
        <v>714917758.22000003</v>
      </c>
      <c r="H46" s="1263">
        <v>0</v>
      </c>
    </row>
    <row r="47" spans="1:8" ht="13.8">
      <c r="A47" s="854" t="s">
        <v>4140</v>
      </c>
      <c r="B47" s="854" t="s">
        <v>4141</v>
      </c>
      <c r="C47" s="1262">
        <v>783334674</v>
      </c>
      <c r="D47" s="1262">
        <v>0</v>
      </c>
      <c r="E47" s="1263">
        <v>537888987.78999996</v>
      </c>
      <c r="F47" s="1263">
        <v>178888987.78999999</v>
      </c>
      <c r="G47" s="1263">
        <v>359000000</v>
      </c>
      <c r="H47" s="1263">
        <v>0</v>
      </c>
    </row>
    <row r="48" spans="1:8" s="988" customFormat="1" ht="13.8">
      <c r="A48" s="854" t="s">
        <v>4100</v>
      </c>
      <c r="B48" s="854" t="s">
        <v>4142</v>
      </c>
      <c r="C48" s="1262">
        <v>0</v>
      </c>
      <c r="D48" s="1262">
        <v>25362202.07</v>
      </c>
      <c r="E48" s="1263">
        <v>65415721.57</v>
      </c>
      <c r="F48" s="1263">
        <v>75822085.409999996</v>
      </c>
      <c r="G48" s="1263">
        <v>0</v>
      </c>
      <c r="H48" s="1263">
        <v>10406363.84</v>
      </c>
    </row>
    <row r="49" spans="1:8" ht="13.8">
      <c r="A49" s="984" t="s">
        <v>186</v>
      </c>
      <c r="B49" s="984" t="s">
        <v>932</v>
      </c>
      <c r="C49" s="1264">
        <v>1087318731.0799999</v>
      </c>
      <c r="D49" s="1264">
        <v>25362202.07</v>
      </c>
      <c r="E49" s="1265">
        <v>1443479819.0799999</v>
      </c>
      <c r="F49" s="1265">
        <v>379968424.69999999</v>
      </c>
      <c r="G49" s="1265">
        <v>1073917758.22</v>
      </c>
      <c r="H49" s="1265">
        <v>10406363.84</v>
      </c>
    </row>
    <row r="50" spans="1:8" ht="13.8">
      <c r="A50" s="854" t="s">
        <v>575</v>
      </c>
      <c r="B50" s="854" t="s">
        <v>576</v>
      </c>
      <c r="C50" s="1262">
        <v>9930559813.6800003</v>
      </c>
      <c r="D50" s="1262">
        <v>0</v>
      </c>
      <c r="E50" s="1263">
        <v>9353715869.4500008</v>
      </c>
      <c r="F50" s="1263">
        <v>1494760193.5</v>
      </c>
      <c r="G50" s="1263">
        <v>7872000108.3800001</v>
      </c>
      <c r="H50" s="1263">
        <v>0</v>
      </c>
    </row>
    <row r="51" spans="1:8" ht="13.8">
      <c r="A51" s="854" t="s">
        <v>4271</v>
      </c>
      <c r="B51" s="854" t="s">
        <v>4272</v>
      </c>
      <c r="C51" s="1262">
        <v>70437779149.059998</v>
      </c>
      <c r="D51" s="1262">
        <v>0</v>
      </c>
      <c r="E51" s="1263">
        <v>73649463653.270004</v>
      </c>
      <c r="F51" s="1263">
        <v>11500623423.120001</v>
      </c>
      <c r="G51" s="1263">
        <v>63674430774.199997</v>
      </c>
      <c r="H51" s="1263">
        <v>0</v>
      </c>
    </row>
    <row r="52" spans="1:8" ht="13.8">
      <c r="A52" s="854" t="s">
        <v>4143</v>
      </c>
      <c r="B52" s="854" t="s">
        <v>4144</v>
      </c>
      <c r="C52" s="1262">
        <v>4487834292.4700003</v>
      </c>
      <c r="D52" s="1262">
        <v>0</v>
      </c>
      <c r="E52" s="1263">
        <v>4299046155.3900003</v>
      </c>
      <c r="F52" s="1263">
        <v>1204528074.95</v>
      </c>
      <c r="G52" s="1263">
        <v>3094518080.4400001</v>
      </c>
      <c r="H52" s="1263">
        <v>0</v>
      </c>
    </row>
    <row r="53" spans="1:8" s="988" customFormat="1" ht="13.8">
      <c r="A53" s="854" t="s">
        <v>577</v>
      </c>
      <c r="B53" s="854" t="s">
        <v>4145</v>
      </c>
      <c r="C53" s="1262">
        <v>0</v>
      </c>
      <c r="D53" s="1262">
        <v>7238162966.8500004</v>
      </c>
      <c r="E53" s="1263">
        <v>7144702888.8800001</v>
      </c>
      <c r="F53" s="1263">
        <v>14778079679.700001</v>
      </c>
      <c r="G53" s="1263">
        <v>0</v>
      </c>
      <c r="H53" s="1263">
        <v>7796543069.4300003</v>
      </c>
    </row>
    <row r="54" spans="1:8" ht="13.8">
      <c r="A54" s="984" t="s">
        <v>186</v>
      </c>
      <c r="B54" s="984" t="s">
        <v>933</v>
      </c>
      <c r="C54" s="1264">
        <v>84856173255.210007</v>
      </c>
      <c r="D54" s="1264">
        <v>7238162966.8500004</v>
      </c>
      <c r="E54" s="1265">
        <v>94446928566.98999</v>
      </c>
      <c r="F54" s="1265">
        <v>28977991371.27</v>
      </c>
      <c r="G54" s="1265">
        <v>74640948963.019989</v>
      </c>
      <c r="H54" s="1265">
        <v>7796543069.4300003</v>
      </c>
    </row>
    <row r="55" spans="1:8" s="988" customFormat="1" ht="13.8">
      <c r="A55" s="854" t="s">
        <v>4252</v>
      </c>
      <c r="B55" s="854" t="s">
        <v>4253</v>
      </c>
      <c r="C55" s="1262">
        <v>17684895.030000001</v>
      </c>
      <c r="D55" s="1262">
        <v>0</v>
      </c>
      <c r="E55" s="1263">
        <v>13509014.08</v>
      </c>
      <c r="F55" s="1263">
        <v>6099559.8799999999</v>
      </c>
      <c r="G55" s="1263">
        <v>7409454.2000000002</v>
      </c>
      <c r="H55" s="1263">
        <v>0</v>
      </c>
    </row>
    <row r="56" spans="1:8" ht="13.8">
      <c r="A56" s="854" t="s">
        <v>4312</v>
      </c>
      <c r="B56" s="854" t="s">
        <v>4313</v>
      </c>
      <c r="C56" s="1262">
        <v>41453616.899999999</v>
      </c>
      <c r="D56" s="1262">
        <v>0</v>
      </c>
      <c r="E56" s="1263">
        <v>25395523.379999999</v>
      </c>
      <c r="F56" s="1263">
        <v>0</v>
      </c>
      <c r="G56" s="1263">
        <v>25395523.379999999</v>
      </c>
      <c r="H56" s="1263">
        <v>0</v>
      </c>
    </row>
    <row r="57" spans="1:8" ht="13.8">
      <c r="A57" s="854" t="s">
        <v>399</v>
      </c>
      <c r="B57" s="854" t="s">
        <v>4314</v>
      </c>
      <c r="C57" s="1262">
        <v>0</v>
      </c>
      <c r="D57" s="1262">
        <v>0</v>
      </c>
      <c r="E57" s="1263">
        <v>3091564.41</v>
      </c>
      <c r="F57" s="1263">
        <v>3091564.41</v>
      </c>
      <c r="G57" s="1263">
        <v>0</v>
      </c>
      <c r="H57" s="1263">
        <v>0</v>
      </c>
    </row>
    <row r="58" spans="1:8" ht="13.8">
      <c r="A58" s="984" t="s">
        <v>186</v>
      </c>
      <c r="B58" s="984" t="s">
        <v>4254</v>
      </c>
      <c r="C58" s="1264">
        <v>59138511.93</v>
      </c>
      <c r="D58" s="1264">
        <v>0</v>
      </c>
      <c r="E58" s="1265">
        <v>41996101.869999997</v>
      </c>
      <c r="F58" s="1265">
        <v>9191124.2899999991</v>
      </c>
      <c r="G58" s="1265">
        <v>32804977.579999998</v>
      </c>
      <c r="H58" s="1265">
        <v>0</v>
      </c>
    </row>
    <row r="59" spans="1:8" ht="13.8">
      <c r="A59" s="854" t="s">
        <v>712</v>
      </c>
      <c r="B59" s="854" t="s">
        <v>4146</v>
      </c>
      <c r="C59" s="1262">
        <v>0</v>
      </c>
      <c r="D59" s="1262">
        <v>0</v>
      </c>
      <c r="E59" s="1263">
        <v>15951130000</v>
      </c>
      <c r="F59" s="1263">
        <v>15965788000</v>
      </c>
      <c r="G59" s="1263">
        <v>0</v>
      </c>
      <c r="H59" s="1263">
        <v>0</v>
      </c>
    </row>
    <row r="60" spans="1:8" ht="13.8">
      <c r="A60" s="854" t="s">
        <v>578</v>
      </c>
      <c r="B60" s="854" t="s">
        <v>4147</v>
      </c>
      <c r="C60" s="1262">
        <v>116035977706.16</v>
      </c>
      <c r="D60" s="1262">
        <v>0</v>
      </c>
      <c r="E60" s="1263">
        <v>155191659856.66</v>
      </c>
      <c r="F60" s="1263">
        <v>25000000000</v>
      </c>
      <c r="G60" s="1263">
        <v>130191659856.66</v>
      </c>
      <c r="H60" s="1263">
        <v>0</v>
      </c>
    </row>
    <row r="61" spans="1:8" ht="13.8">
      <c r="A61" s="854" t="s">
        <v>579</v>
      </c>
      <c r="B61" s="854" t="s">
        <v>4148</v>
      </c>
      <c r="C61" s="1262">
        <v>14530511044.299999</v>
      </c>
      <c r="D61" s="1262">
        <v>0</v>
      </c>
      <c r="E61" s="1263">
        <v>0</v>
      </c>
      <c r="F61" s="1263">
        <v>0</v>
      </c>
      <c r="G61" s="1263">
        <v>0</v>
      </c>
      <c r="H61" s="1263">
        <v>0</v>
      </c>
    </row>
    <row r="62" spans="1:8" s="988" customFormat="1" ht="13.8">
      <c r="A62" s="854" t="s">
        <v>4097</v>
      </c>
      <c r="B62" s="854" t="s">
        <v>4149</v>
      </c>
      <c r="C62" s="1262">
        <v>0</v>
      </c>
      <c r="D62" s="1262">
        <v>0</v>
      </c>
      <c r="E62" s="1263">
        <v>663179007.71000004</v>
      </c>
      <c r="F62" s="1263">
        <v>663179007.71000004</v>
      </c>
      <c r="G62" s="1263">
        <v>0</v>
      </c>
      <c r="H62" s="1263">
        <v>0</v>
      </c>
    </row>
    <row r="63" spans="1:8" ht="13.8">
      <c r="A63" s="854" t="s">
        <v>900</v>
      </c>
      <c r="B63" s="854" t="s">
        <v>4150</v>
      </c>
      <c r="C63" s="1262">
        <v>19126276</v>
      </c>
      <c r="D63" s="1262">
        <v>0</v>
      </c>
      <c r="E63" s="1263">
        <v>326003926</v>
      </c>
      <c r="F63" s="1263">
        <v>15271200</v>
      </c>
      <c r="G63" s="1263">
        <v>310732726</v>
      </c>
      <c r="H63" s="1263">
        <v>0</v>
      </c>
    </row>
    <row r="64" spans="1:8" ht="13.8">
      <c r="A64" s="854" t="s">
        <v>469</v>
      </c>
      <c r="B64" s="854" t="s">
        <v>4151</v>
      </c>
      <c r="C64" s="1262">
        <v>5117273.1100000003</v>
      </c>
      <c r="D64" s="1262">
        <v>0</v>
      </c>
      <c r="E64" s="1263">
        <v>3222934822.3400002</v>
      </c>
      <c r="F64" s="1263">
        <v>186773279.38</v>
      </c>
      <c r="G64" s="1263">
        <v>3036161542.96</v>
      </c>
      <c r="H64" s="1263">
        <v>0</v>
      </c>
    </row>
    <row r="65" spans="1:8" ht="13.8">
      <c r="A65" s="984" t="s">
        <v>186</v>
      </c>
      <c r="B65" s="984" t="s">
        <v>934</v>
      </c>
      <c r="C65" s="1264">
        <v>130590732299.57001</v>
      </c>
      <c r="D65" s="1264">
        <v>0</v>
      </c>
      <c r="E65" s="1265">
        <v>175354907612.70999</v>
      </c>
      <c r="F65" s="1265">
        <v>41831011487.089996</v>
      </c>
      <c r="G65" s="1265">
        <v>133538554125.62</v>
      </c>
      <c r="H65" s="1265">
        <v>0</v>
      </c>
    </row>
    <row r="66" spans="1:8" ht="13.8">
      <c r="A66" s="854" t="s">
        <v>4315</v>
      </c>
      <c r="B66" s="854" t="s">
        <v>4316</v>
      </c>
      <c r="C66" s="1262">
        <v>0</v>
      </c>
      <c r="D66" s="1262">
        <v>0</v>
      </c>
      <c r="E66" s="1263">
        <v>658904109.59000003</v>
      </c>
      <c r="F66" s="1263">
        <v>658904109.59000003</v>
      </c>
      <c r="G66" s="1263">
        <v>0</v>
      </c>
      <c r="H66" s="1263">
        <v>0</v>
      </c>
    </row>
    <row r="67" spans="1:8" ht="13.8">
      <c r="A67" s="854" t="s">
        <v>580</v>
      </c>
      <c r="B67" s="854" t="s">
        <v>4152</v>
      </c>
      <c r="C67" s="1262">
        <v>1221736443.27</v>
      </c>
      <c r="D67" s="1262">
        <v>0</v>
      </c>
      <c r="E67" s="1263">
        <v>16723017557.67</v>
      </c>
      <c r="F67" s="1263">
        <v>13870682439.02</v>
      </c>
      <c r="G67" s="1263">
        <v>2866165977.1100001</v>
      </c>
      <c r="H67" s="1263">
        <v>0</v>
      </c>
    </row>
    <row r="68" spans="1:8" ht="13.8">
      <c r="A68" s="854" t="s">
        <v>4076</v>
      </c>
      <c r="B68" s="854" t="s">
        <v>4317</v>
      </c>
      <c r="C68" s="1262">
        <v>5572317057.4899998</v>
      </c>
      <c r="D68" s="1262">
        <v>0</v>
      </c>
      <c r="E68" s="1263">
        <v>9289578802.2700005</v>
      </c>
      <c r="F68" s="1263">
        <v>915597454.26999998</v>
      </c>
      <c r="G68" s="1263">
        <v>8557081354.5900002</v>
      </c>
      <c r="H68" s="1263">
        <v>0</v>
      </c>
    </row>
    <row r="69" spans="1:8" s="988" customFormat="1" ht="13.8">
      <c r="A69" s="854" t="s">
        <v>581</v>
      </c>
      <c r="B69" s="854" t="s">
        <v>4153</v>
      </c>
      <c r="C69" s="1262">
        <v>2966215238.3899999</v>
      </c>
      <c r="D69" s="1262">
        <v>0</v>
      </c>
      <c r="E69" s="1263">
        <v>14219003205.039999</v>
      </c>
      <c r="F69" s="1263">
        <v>7981097288.8000002</v>
      </c>
      <c r="G69" s="1263">
        <v>6323769660.7599993</v>
      </c>
      <c r="H69" s="1263">
        <v>0</v>
      </c>
    </row>
    <row r="70" spans="1:8" ht="13.8">
      <c r="A70" s="854" t="s">
        <v>4085</v>
      </c>
      <c r="B70" s="854" t="s">
        <v>4106</v>
      </c>
      <c r="C70" s="1262">
        <v>2406598991.71</v>
      </c>
      <c r="D70" s="1262">
        <v>0</v>
      </c>
      <c r="E70" s="1263">
        <v>5421783819.21</v>
      </c>
      <c r="F70" s="1263">
        <v>1935626560.6800001</v>
      </c>
      <c r="G70" s="1263">
        <v>3611437439.4499998</v>
      </c>
      <c r="H70" s="1263">
        <v>0</v>
      </c>
    </row>
    <row r="71" spans="1:8" ht="13.8">
      <c r="A71" s="854" t="s">
        <v>4273</v>
      </c>
      <c r="B71" s="854" t="s">
        <v>4274</v>
      </c>
      <c r="C71" s="1262">
        <v>0</v>
      </c>
      <c r="D71" s="1262">
        <v>0</v>
      </c>
      <c r="E71" s="1263">
        <v>0</v>
      </c>
      <c r="F71" s="1263">
        <v>0</v>
      </c>
      <c r="G71" s="1263">
        <v>0</v>
      </c>
      <c r="H71" s="1263">
        <v>0</v>
      </c>
    </row>
    <row r="72" spans="1:8" ht="13.8">
      <c r="A72" s="854" t="s">
        <v>4117</v>
      </c>
      <c r="B72" s="854"/>
      <c r="C72" s="1262">
        <v>0</v>
      </c>
      <c r="D72" s="1262">
        <v>654001272.94000006</v>
      </c>
      <c r="E72" s="1263">
        <v>879350672.23000002</v>
      </c>
      <c r="F72" s="1263">
        <v>1403781801.28</v>
      </c>
      <c r="G72" s="1263">
        <v>0</v>
      </c>
      <c r="H72" s="1263">
        <v>531225773.47000003</v>
      </c>
    </row>
    <row r="73" spans="1:8" ht="13.8">
      <c r="A73" s="984" t="s">
        <v>186</v>
      </c>
      <c r="B73" s="984" t="s">
        <v>935</v>
      </c>
      <c r="C73" s="1264">
        <v>12166867730.860001</v>
      </c>
      <c r="D73" s="1264">
        <v>654001272.94000006</v>
      </c>
      <c r="E73" s="1265">
        <v>47191638166.010002</v>
      </c>
      <c r="F73" s="1265">
        <v>26765689653.639999</v>
      </c>
      <c r="G73" s="1265">
        <v>21358454431.91</v>
      </c>
      <c r="H73" s="1265">
        <v>531225773.47000003</v>
      </c>
    </row>
    <row r="74" spans="1:8" s="988" customFormat="1" ht="13.8">
      <c r="A74" s="854" t="s">
        <v>582</v>
      </c>
      <c r="B74" s="854" t="s">
        <v>4154</v>
      </c>
      <c r="C74" s="1262">
        <v>6166398.9000000004</v>
      </c>
      <c r="D74" s="1262">
        <v>0</v>
      </c>
      <c r="E74" s="1263">
        <v>379857611.63</v>
      </c>
      <c r="F74" s="1263">
        <v>366020269.71999997</v>
      </c>
      <c r="G74" s="1263">
        <v>13874479.1</v>
      </c>
      <c r="H74" s="1263">
        <v>0</v>
      </c>
    </row>
    <row r="75" spans="1:8" ht="13.8">
      <c r="A75" s="854" t="s">
        <v>2172</v>
      </c>
      <c r="B75" s="854" t="s">
        <v>4155</v>
      </c>
      <c r="C75" s="1262">
        <v>201672324.5</v>
      </c>
      <c r="D75" s="1262">
        <v>0</v>
      </c>
      <c r="E75" s="1263">
        <v>345399793.75999999</v>
      </c>
      <c r="F75" s="1263">
        <v>195829715.97999999</v>
      </c>
      <c r="G75" s="1263">
        <v>150884816.38999999</v>
      </c>
      <c r="H75" s="1263">
        <v>0</v>
      </c>
    </row>
    <row r="76" spans="1:8" ht="13.8">
      <c r="A76" s="854" t="s">
        <v>936</v>
      </c>
      <c r="B76" s="854" t="s">
        <v>4156</v>
      </c>
      <c r="C76" s="1262">
        <v>114274495.84</v>
      </c>
      <c r="D76" s="1262">
        <v>0</v>
      </c>
      <c r="E76" s="1263">
        <v>113485930.02</v>
      </c>
      <c r="F76" s="1263">
        <v>0</v>
      </c>
      <c r="G76" s="1263">
        <v>113485930.02</v>
      </c>
      <c r="H76" s="1263">
        <v>0</v>
      </c>
    </row>
    <row r="77" spans="1:8" ht="13.8">
      <c r="A77" s="854" t="s">
        <v>4157</v>
      </c>
      <c r="B77" s="854" t="s">
        <v>4158</v>
      </c>
      <c r="C77" s="1262">
        <v>0</v>
      </c>
      <c r="D77" s="1262">
        <v>32146354.23</v>
      </c>
      <c r="E77" s="1263">
        <v>36732825.090000004</v>
      </c>
      <c r="F77" s="1263">
        <v>40896197.960000001</v>
      </c>
      <c r="G77" s="1263">
        <v>0</v>
      </c>
      <c r="H77" s="1263">
        <v>4163372.87</v>
      </c>
    </row>
    <row r="78" spans="1:8" ht="13.8">
      <c r="A78" s="984" t="s">
        <v>186</v>
      </c>
      <c r="B78" s="984" t="s">
        <v>937</v>
      </c>
      <c r="C78" s="1264">
        <v>322113219.24000001</v>
      </c>
      <c r="D78" s="1264">
        <v>32146354.23</v>
      </c>
      <c r="E78" s="1265">
        <v>875476160.5</v>
      </c>
      <c r="F78" s="1265">
        <v>602746183.65999997</v>
      </c>
      <c r="G78" s="1265">
        <v>278245225.50999999</v>
      </c>
      <c r="H78" s="1265">
        <v>4163372.87</v>
      </c>
    </row>
    <row r="79" spans="1:8" ht="13.8">
      <c r="A79" s="854" t="s">
        <v>583</v>
      </c>
      <c r="B79" s="854" t="s">
        <v>4159</v>
      </c>
      <c r="C79" s="1262">
        <v>4016869613.3200002</v>
      </c>
      <c r="D79" s="1262">
        <v>0</v>
      </c>
      <c r="E79" s="1263">
        <v>4566869613.3199997</v>
      </c>
      <c r="F79" s="1263">
        <v>398856163</v>
      </c>
      <c r="G79" s="1263">
        <v>4168013450.3200002</v>
      </c>
      <c r="H79" s="1263">
        <v>0</v>
      </c>
    </row>
    <row r="80" spans="1:8" ht="13.8">
      <c r="A80" s="854" t="s">
        <v>584</v>
      </c>
      <c r="B80" s="854" t="s">
        <v>4160</v>
      </c>
      <c r="C80" s="1262">
        <v>0</v>
      </c>
      <c r="D80" s="1262">
        <v>1023955255.11</v>
      </c>
      <c r="E80" s="1263">
        <v>62155085.469999999</v>
      </c>
      <c r="F80" s="1263">
        <v>1247715402.45</v>
      </c>
      <c r="G80" s="1263">
        <v>0</v>
      </c>
      <c r="H80" s="1263">
        <v>1185560316.98</v>
      </c>
    </row>
    <row r="81" spans="1:8" ht="13.8">
      <c r="A81" s="854" t="s">
        <v>585</v>
      </c>
      <c r="B81" s="854" t="s">
        <v>938</v>
      </c>
      <c r="C81" s="1262">
        <v>810919326.25999999</v>
      </c>
      <c r="D81" s="1262">
        <v>0</v>
      </c>
      <c r="E81" s="1263">
        <v>2896775859.5599999</v>
      </c>
      <c r="F81" s="1263">
        <v>1757589298.49</v>
      </c>
      <c r="G81" s="1263">
        <v>1139186561.0699999</v>
      </c>
      <c r="H81" s="1263">
        <v>0</v>
      </c>
    </row>
    <row r="82" spans="1:8" ht="13.8">
      <c r="A82" s="854" t="s">
        <v>586</v>
      </c>
      <c r="B82" s="854" t="s">
        <v>4161</v>
      </c>
      <c r="C82" s="1262">
        <v>0</v>
      </c>
      <c r="D82" s="1262">
        <v>564853109.83000004</v>
      </c>
      <c r="E82" s="1263">
        <v>815413300.28999996</v>
      </c>
      <c r="F82" s="1263">
        <v>1470415715.99</v>
      </c>
      <c r="G82" s="1263">
        <v>0</v>
      </c>
      <c r="H82" s="1263">
        <v>655002415.70000005</v>
      </c>
    </row>
    <row r="83" spans="1:8" s="988" customFormat="1" ht="13.8">
      <c r="A83" s="854" t="s">
        <v>587</v>
      </c>
      <c r="B83" s="854" t="s">
        <v>588</v>
      </c>
      <c r="C83" s="1262">
        <v>2748798545.1199999</v>
      </c>
      <c r="D83" s="1262">
        <v>0</v>
      </c>
      <c r="E83" s="1263">
        <v>4155825697.52</v>
      </c>
      <c r="F83" s="1263">
        <v>450111382.08999997</v>
      </c>
      <c r="G83" s="1263">
        <v>3705714315.4299998</v>
      </c>
      <c r="H83" s="1263">
        <v>0</v>
      </c>
    </row>
    <row r="84" spans="1:8" ht="13.8">
      <c r="A84" s="854" t="s">
        <v>589</v>
      </c>
      <c r="B84" s="854" t="s">
        <v>4162</v>
      </c>
      <c r="C84" s="1262">
        <v>0</v>
      </c>
      <c r="D84" s="1262">
        <v>1551807447.75</v>
      </c>
      <c r="E84" s="1263">
        <v>2235937033.77</v>
      </c>
      <c r="F84" s="1263">
        <v>4641047946.75</v>
      </c>
      <c r="G84" s="1263">
        <v>0</v>
      </c>
      <c r="H84" s="1263">
        <v>2405110912.98</v>
      </c>
    </row>
    <row r="85" spans="1:8" s="988" customFormat="1" ht="13.8">
      <c r="A85" s="854" t="s">
        <v>590</v>
      </c>
      <c r="B85" s="854" t="s">
        <v>4163</v>
      </c>
      <c r="C85" s="1262">
        <v>3208281152.1999998</v>
      </c>
      <c r="D85" s="1262">
        <v>0</v>
      </c>
      <c r="E85" s="1263">
        <v>7804811389.29</v>
      </c>
      <c r="F85" s="1263">
        <v>39884353.969999999</v>
      </c>
      <c r="G85" s="1263">
        <v>7764927035.3200006</v>
      </c>
      <c r="H85" s="1263">
        <v>0</v>
      </c>
    </row>
    <row r="86" spans="1:8" ht="13.8">
      <c r="A86" s="854" t="s">
        <v>591</v>
      </c>
      <c r="B86" s="854" t="s">
        <v>4164</v>
      </c>
      <c r="C86" s="1262">
        <v>0</v>
      </c>
      <c r="D86" s="1262">
        <v>1063569676.17</v>
      </c>
      <c r="E86" s="1263">
        <v>37747640.170000002</v>
      </c>
      <c r="F86" s="1263">
        <v>3533230653.4500003</v>
      </c>
      <c r="G86" s="1263">
        <v>0</v>
      </c>
      <c r="H86" s="1263">
        <v>3495483013.2800002</v>
      </c>
    </row>
    <row r="87" spans="1:8" ht="13.8">
      <c r="A87" s="1266" t="s">
        <v>4318</v>
      </c>
      <c r="B87" s="1266" t="s">
        <v>101</v>
      </c>
      <c r="C87" s="1267">
        <v>64039594.020000003</v>
      </c>
      <c r="D87" s="1267">
        <v>0</v>
      </c>
      <c r="E87" s="1268">
        <v>1729362238.1900001</v>
      </c>
      <c r="F87" s="1268">
        <v>1693114861.71</v>
      </c>
      <c r="G87" s="1268">
        <v>36247376.479999997</v>
      </c>
      <c r="H87" s="1268">
        <v>0</v>
      </c>
    </row>
    <row r="88" spans="1:8" s="988" customFormat="1" ht="13.8">
      <c r="A88" s="984" t="s">
        <v>186</v>
      </c>
      <c r="B88" s="984" t="s">
        <v>939</v>
      </c>
      <c r="C88" s="1264">
        <v>10848908230.92</v>
      </c>
      <c r="D88" s="1264">
        <v>4204185488.8600001</v>
      </c>
      <c r="E88" s="1265">
        <v>24304897857.579998</v>
      </c>
      <c r="F88" s="1265">
        <v>15231965777.9</v>
      </c>
      <c r="G88" s="1265">
        <v>16814088738.619999</v>
      </c>
      <c r="H88" s="1265">
        <v>7741156658.9399996</v>
      </c>
    </row>
    <row r="89" spans="1:8" ht="13.8">
      <c r="A89" s="1266" t="s">
        <v>4319</v>
      </c>
      <c r="B89" s="1266" t="s">
        <v>4320</v>
      </c>
      <c r="C89" s="1267">
        <v>1321057453.1400001</v>
      </c>
      <c r="D89" s="1267">
        <v>0</v>
      </c>
      <c r="E89" s="1268">
        <v>5212557802.1000004</v>
      </c>
      <c r="F89" s="1268">
        <v>1431116770.9000001</v>
      </c>
      <c r="G89" s="1268">
        <v>3781441031.1999998</v>
      </c>
      <c r="H89" s="1268">
        <v>0</v>
      </c>
    </row>
    <row r="90" spans="1:8" ht="13.8">
      <c r="A90" s="1266" t="s">
        <v>4321</v>
      </c>
      <c r="B90" s="1266" t="s">
        <v>4322</v>
      </c>
      <c r="C90" s="1267">
        <v>0</v>
      </c>
      <c r="D90" s="1267">
        <v>0</v>
      </c>
      <c r="E90" s="1268">
        <v>1367048320</v>
      </c>
      <c r="F90" s="1268">
        <v>66897931</v>
      </c>
      <c r="G90" s="1268">
        <v>1300150389</v>
      </c>
      <c r="H90" s="1268">
        <v>0</v>
      </c>
    </row>
    <row r="91" spans="1:8" ht="13.8">
      <c r="A91" s="1266" t="s">
        <v>4323</v>
      </c>
      <c r="B91" s="1266" t="s">
        <v>4324</v>
      </c>
      <c r="C91" s="1267">
        <v>0</v>
      </c>
      <c r="D91" s="1267">
        <v>696190047.13999999</v>
      </c>
      <c r="E91" s="1268">
        <v>0</v>
      </c>
      <c r="F91" s="1268">
        <v>696190047.13999999</v>
      </c>
      <c r="G91" s="1268">
        <v>0</v>
      </c>
      <c r="H91" s="1268">
        <v>696190047.13999999</v>
      </c>
    </row>
    <row r="92" spans="1:8" s="988" customFormat="1" ht="13.8">
      <c r="A92" s="984" t="s">
        <v>186</v>
      </c>
      <c r="B92" s="984" t="s">
        <v>4325</v>
      </c>
      <c r="C92" s="1264">
        <v>1321057453.1400001</v>
      </c>
      <c r="D92" s="1264">
        <v>696190047.13999999</v>
      </c>
      <c r="E92" s="1265">
        <v>6579606122.1000004</v>
      </c>
      <c r="F92" s="1265">
        <v>2194204749.04</v>
      </c>
      <c r="G92" s="1265">
        <v>5081591420.1999998</v>
      </c>
      <c r="H92" s="1265">
        <v>696190047.13999999</v>
      </c>
    </row>
    <row r="93" spans="1:8" ht="13.8">
      <c r="A93" s="854" t="s">
        <v>594</v>
      </c>
      <c r="B93" s="854" t="s">
        <v>940</v>
      </c>
      <c r="C93" s="1262">
        <v>2172323989.8200002</v>
      </c>
      <c r="D93" s="1262">
        <v>2172323989.8200002</v>
      </c>
      <c r="E93" s="1263">
        <v>161099750154.49002</v>
      </c>
      <c r="F93" s="1263">
        <v>161470470889.19998</v>
      </c>
      <c r="G93" s="1263">
        <v>4997355359.2299995</v>
      </c>
      <c r="H93" s="1263">
        <v>4997355359.2299995</v>
      </c>
    </row>
    <row r="94" spans="1:8" ht="13.8">
      <c r="A94" s="984" t="s">
        <v>186</v>
      </c>
      <c r="B94" s="984" t="s">
        <v>941</v>
      </c>
      <c r="C94" s="1264">
        <v>2172323989.8200002</v>
      </c>
      <c r="D94" s="1264">
        <v>2172323989.8200002</v>
      </c>
      <c r="E94" s="1265">
        <v>161099750154.49002</v>
      </c>
      <c r="F94" s="1265">
        <v>161470470889.19998</v>
      </c>
      <c r="G94" s="1265">
        <v>4997355359.2299995</v>
      </c>
      <c r="H94" s="1265">
        <v>4997355359.2299995</v>
      </c>
    </row>
    <row r="95" spans="1:8" ht="13.8">
      <c r="A95" s="854" t="s">
        <v>595</v>
      </c>
      <c r="B95" s="854" t="s">
        <v>2754</v>
      </c>
      <c r="C95" s="1262">
        <v>0</v>
      </c>
      <c r="D95" s="1262">
        <v>0</v>
      </c>
      <c r="E95" s="1263">
        <v>214525725996.79999</v>
      </c>
      <c r="F95" s="1263">
        <v>214525725996.79999</v>
      </c>
      <c r="G95" s="1263">
        <v>0</v>
      </c>
      <c r="H95" s="1263">
        <v>0</v>
      </c>
    </row>
    <row r="96" spans="1:8" ht="13.8">
      <c r="A96" s="854" t="s">
        <v>596</v>
      </c>
      <c r="B96" s="854" t="s">
        <v>597</v>
      </c>
      <c r="C96" s="1262">
        <v>0</v>
      </c>
      <c r="D96" s="1262">
        <v>0</v>
      </c>
      <c r="E96" s="1263">
        <v>3038044</v>
      </c>
      <c r="F96" s="1263">
        <v>3038044</v>
      </c>
      <c r="G96" s="1263">
        <v>0</v>
      </c>
      <c r="H96" s="1263">
        <v>0</v>
      </c>
    </row>
    <row r="97" spans="1:8" ht="13.8">
      <c r="A97" s="984" t="s">
        <v>186</v>
      </c>
      <c r="B97" s="984" t="s">
        <v>942</v>
      </c>
      <c r="C97" s="1264">
        <v>0</v>
      </c>
      <c r="D97" s="1264">
        <v>0</v>
      </c>
      <c r="E97" s="1265">
        <v>214528764040.79999</v>
      </c>
      <c r="F97" s="1265">
        <v>214528764040.79999</v>
      </c>
      <c r="G97" s="1265">
        <v>0</v>
      </c>
      <c r="H97" s="1265">
        <v>0</v>
      </c>
    </row>
    <row r="98" spans="1:8" ht="13.8">
      <c r="A98" s="854" t="s">
        <v>901</v>
      </c>
      <c r="B98" s="854" t="s">
        <v>4165</v>
      </c>
      <c r="C98" s="1262">
        <v>13274000</v>
      </c>
      <c r="D98" s="1262">
        <v>0</v>
      </c>
      <c r="E98" s="1263">
        <v>3295738179</v>
      </c>
      <c r="F98" s="1263">
        <v>3287619401</v>
      </c>
      <c r="G98" s="1263">
        <v>8118778</v>
      </c>
      <c r="H98" s="1263">
        <v>0</v>
      </c>
    </row>
    <row r="99" spans="1:8" ht="13.8">
      <c r="A99" s="854" t="s">
        <v>4301</v>
      </c>
      <c r="B99" s="854" t="s">
        <v>4302</v>
      </c>
      <c r="C99" s="1262">
        <v>201002</v>
      </c>
      <c r="D99" s="1262">
        <v>0</v>
      </c>
      <c r="E99" s="1263">
        <v>201002</v>
      </c>
      <c r="F99" s="1263">
        <v>0</v>
      </c>
      <c r="G99" s="1263">
        <v>201002</v>
      </c>
      <c r="H99" s="1263">
        <v>0</v>
      </c>
    </row>
    <row r="100" spans="1:8" ht="13.8">
      <c r="A100" s="854" t="s">
        <v>943</v>
      </c>
      <c r="B100" s="854" t="s">
        <v>4166</v>
      </c>
      <c r="C100" s="1262">
        <v>591535440.10000002</v>
      </c>
      <c r="D100" s="1262">
        <v>0</v>
      </c>
      <c r="E100" s="1263">
        <v>20418468685.77</v>
      </c>
      <c r="F100" s="1263">
        <v>19932443044.619999</v>
      </c>
      <c r="G100" s="1263">
        <v>486025641.14999998</v>
      </c>
      <c r="H100" s="1263">
        <v>0</v>
      </c>
    </row>
    <row r="101" spans="1:8" s="988" customFormat="1" ht="13.8">
      <c r="A101" s="984" t="s">
        <v>186</v>
      </c>
      <c r="B101" s="984" t="s">
        <v>944</v>
      </c>
      <c r="C101" s="1264">
        <v>605010442.10000002</v>
      </c>
      <c r="D101" s="1264">
        <v>0</v>
      </c>
      <c r="E101" s="1265">
        <v>23714407866.77</v>
      </c>
      <c r="F101" s="1265">
        <v>23220062445.619999</v>
      </c>
      <c r="G101" s="1265">
        <v>494345421.14999998</v>
      </c>
      <c r="H101" s="1265">
        <v>0</v>
      </c>
    </row>
    <row r="102" spans="1:8" s="988" customFormat="1" ht="13.8">
      <c r="A102" s="854" t="s">
        <v>599</v>
      </c>
      <c r="B102" s="854" t="s">
        <v>4167</v>
      </c>
      <c r="C102" s="1262">
        <v>252783579.80000001</v>
      </c>
      <c r="D102" s="1262">
        <v>0</v>
      </c>
      <c r="E102" s="1263">
        <v>782721055.85000002</v>
      </c>
      <c r="F102" s="1263">
        <v>557308430.01999998</v>
      </c>
      <c r="G102" s="1263">
        <v>225412625.83000001</v>
      </c>
      <c r="H102" s="1263">
        <v>0</v>
      </c>
    </row>
    <row r="103" spans="1:8" ht="13.8">
      <c r="A103" s="854" t="s">
        <v>600</v>
      </c>
      <c r="B103" s="854" t="s">
        <v>4326</v>
      </c>
      <c r="C103" s="1262">
        <v>0</v>
      </c>
      <c r="D103" s="1262">
        <v>0</v>
      </c>
      <c r="E103" s="1263">
        <v>67218562</v>
      </c>
      <c r="F103" s="1263">
        <v>51304758</v>
      </c>
      <c r="G103" s="1263">
        <v>15913804</v>
      </c>
      <c r="H103" s="1263">
        <v>0</v>
      </c>
    </row>
    <row r="104" spans="1:8" ht="13.8">
      <c r="A104" s="854" t="s">
        <v>601</v>
      </c>
      <c r="B104" s="854" t="s">
        <v>4168</v>
      </c>
      <c r="C104" s="1262">
        <v>255384260.00999999</v>
      </c>
      <c r="D104" s="1262">
        <v>0</v>
      </c>
      <c r="E104" s="1263">
        <v>1059450590.6</v>
      </c>
      <c r="F104" s="1263">
        <v>1059450590.6</v>
      </c>
      <c r="G104" s="1263">
        <v>0</v>
      </c>
      <c r="H104" s="1263">
        <v>0</v>
      </c>
    </row>
    <row r="105" spans="1:8" ht="13.8">
      <c r="A105" s="854" t="s">
        <v>402</v>
      </c>
      <c r="B105" s="854" t="s">
        <v>4169</v>
      </c>
      <c r="C105" s="1262">
        <v>184383</v>
      </c>
      <c r="D105" s="1262">
        <v>0</v>
      </c>
      <c r="E105" s="1263">
        <v>90367983</v>
      </c>
      <c r="F105" s="1263">
        <v>89950169</v>
      </c>
      <c r="G105" s="1263">
        <v>417814</v>
      </c>
      <c r="H105" s="1263">
        <v>0</v>
      </c>
    </row>
    <row r="106" spans="1:8" ht="13.8">
      <c r="A106" s="854" t="s">
        <v>4327</v>
      </c>
      <c r="B106" s="854" t="s">
        <v>4328</v>
      </c>
      <c r="C106" s="1262">
        <v>0</v>
      </c>
      <c r="D106" s="1262">
        <v>0</v>
      </c>
      <c r="E106" s="1263">
        <v>0</v>
      </c>
      <c r="F106" s="1263">
        <v>54059821.329999998</v>
      </c>
      <c r="G106" s="1263">
        <v>0</v>
      </c>
      <c r="H106" s="1263">
        <v>54059821.329999998</v>
      </c>
    </row>
    <row r="107" spans="1:8" ht="13.8">
      <c r="A107" s="1266" t="s">
        <v>619</v>
      </c>
      <c r="B107" s="1266" t="s">
        <v>620</v>
      </c>
      <c r="C107" s="1267">
        <v>217241986.05000001</v>
      </c>
      <c r="D107" s="1267">
        <v>0</v>
      </c>
      <c r="E107" s="1268">
        <v>2617456769.27</v>
      </c>
      <c r="F107" s="1268">
        <v>2033499348.5899999</v>
      </c>
      <c r="G107" s="1268">
        <v>583957420.67999995</v>
      </c>
      <c r="H107" s="1268">
        <v>0</v>
      </c>
    </row>
    <row r="108" spans="1:8" ht="13.8">
      <c r="A108" s="854" t="s">
        <v>621</v>
      </c>
      <c r="B108" s="854" t="s">
        <v>622</v>
      </c>
      <c r="C108" s="1262">
        <v>15356104</v>
      </c>
      <c r="D108" s="1262">
        <v>0</v>
      </c>
      <c r="E108" s="1263">
        <v>62159832</v>
      </c>
      <c r="F108" s="1263">
        <v>16766052</v>
      </c>
      <c r="G108" s="1263">
        <v>45393780</v>
      </c>
      <c r="H108" s="1263">
        <v>0</v>
      </c>
    </row>
    <row r="109" spans="1:8" s="988" customFormat="1" ht="13.8">
      <c r="A109" s="854" t="s">
        <v>604</v>
      </c>
      <c r="B109" s="854" t="s">
        <v>4170</v>
      </c>
      <c r="C109" s="1262">
        <v>158692954.80000001</v>
      </c>
      <c r="D109" s="1262">
        <v>0</v>
      </c>
      <c r="E109" s="1263">
        <v>13275835618.27</v>
      </c>
      <c r="F109" s="1263">
        <v>13250760615.210001</v>
      </c>
      <c r="G109" s="1263">
        <v>35967256.5</v>
      </c>
      <c r="H109" s="1263">
        <v>0</v>
      </c>
    </row>
    <row r="110" spans="1:8" ht="13.8">
      <c r="A110" s="854" t="s">
        <v>902</v>
      </c>
      <c r="B110" s="854" t="s">
        <v>4171</v>
      </c>
      <c r="C110" s="1262">
        <v>52421027.899999999</v>
      </c>
      <c r="D110" s="1262">
        <v>0</v>
      </c>
      <c r="E110" s="1263">
        <v>4857540136.8400002</v>
      </c>
      <c r="F110" s="1263">
        <v>4744952541.9899998</v>
      </c>
      <c r="G110" s="1263">
        <v>112587594.84999999</v>
      </c>
      <c r="H110" s="1263">
        <v>0</v>
      </c>
    </row>
    <row r="111" spans="1:8" s="988" customFormat="1" ht="13.8">
      <c r="A111" s="854" t="s">
        <v>4275</v>
      </c>
      <c r="B111" s="854" t="s">
        <v>4276</v>
      </c>
      <c r="C111" s="1262">
        <v>0</v>
      </c>
      <c r="D111" s="1262">
        <v>0</v>
      </c>
      <c r="E111" s="1263">
        <v>1258330.19</v>
      </c>
      <c r="F111" s="1263">
        <v>20258330.190000001</v>
      </c>
      <c r="G111" s="1263">
        <v>0</v>
      </c>
      <c r="H111" s="1263">
        <v>19000000</v>
      </c>
    </row>
    <row r="112" spans="1:8" ht="13.8">
      <c r="A112" s="984" t="s">
        <v>186</v>
      </c>
      <c r="B112" s="984" t="s">
        <v>945</v>
      </c>
      <c r="C112" s="1264">
        <v>952064295.55999994</v>
      </c>
      <c r="D112" s="1264">
        <v>0</v>
      </c>
      <c r="E112" s="1265">
        <v>22814008878.02</v>
      </c>
      <c r="F112" s="1265">
        <v>21878310656.93</v>
      </c>
      <c r="G112" s="1265">
        <v>1019650295.86</v>
      </c>
      <c r="H112" s="1265">
        <v>73059821.329999998</v>
      </c>
    </row>
    <row r="113" spans="1:8" ht="13.8">
      <c r="A113" s="984" t="s">
        <v>186</v>
      </c>
      <c r="B113" s="984" t="s">
        <v>946</v>
      </c>
      <c r="C113" s="1264">
        <v>364341283921.81</v>
      </c>
      <c r="D113" s="1264">
        <v>17675513227.540001</v>
      </c>
      <c r="E113" s="1265">
        <v>3690758685614.9897</v>
      </c>
      <c r="F113" s="1265">
        <v>3245231569945.1201</v>
      </c>
      <c r="G113" s="1265">
        <v>473145052382.63</v>
      </c>
      <c r="H113" s="1265">
        <v>24974936721.529999</v>
      </c>
    </row>
    <row r="114" spans="1:8" ht="13.8">
      <c r="A114" s="985"/>
      <c r="B114" s="986"/>
      <c r="C114" s="1269"/>
      <c r="D114" s="1269"/>
      <c r="E114" s="1269"/>
      <c r="F114" s="1269"/>
      <c r="G114" s="1269"/>
      <c r="H114" s="1269"/>
    </row>
    <row r="115" spans="1:8" s="988" customFormat="1" ht="13.8">
      <c r="A115" s="983" t="s">
        <v>947</v>
      </c>
      <c r="B115" s="983"/>
      <c r="C115" s="1269"/>
      <c r="D115" s="1269"/>
      <c r="E115" s="1269"/>
      <c r="F115" s="1269"/>
      <c r="G115" s="1263"/>
      <c r="H115" s="1263"/>
    </row>
    <row r="116" spans="1:8" ht="13.8">
      <c r="A116" s="854" t="s">
        <v>624</v>
      </c>
      <c r="B116" s="854" t="s">
        <v>625</v>
      </c>
      <c r="C116" s="1262">
        <v>0</v>
      </c>
      <c r="D116" s="1262">
        <v>20121107.140000001</v>
      </c>
      <c r="E116" s="1263">
        <v>12786047361.57</v>
      </c>
      <c r="F116" s="1263">
        <v>12815708047.470001</v>
      </c>
      <c r="G116" s="1263">
        <v>0</v>
      </c>
      <c r="H116" s="1263">
        <v>30047116.790000003</v>
      </c>
    </row>
    <row r="117" spans="1:8" ht="13.8">
      <c r="A117" s="854" t="s">
        <v>626</v>
      </c>
      <c r="B117" s="854" t="s">
        <v>1103</v>
      </c>
      <c r="C117" s="1262">
        <v>0</v>
      </c>
      <c r="D117" s="1262">
        <v>4019617778.0599999</v>
      </c>
      <c r="E117" s="1263">
        <v>148247418160.47998</v>
      </c>
      <c r="F117" s="1263">
        <v>157457910423.73999</v>
      </c>
      <c r="G117" s="1263">
        <v>0</v>
      </c>
      <c r="H117" s="1263">
        <v>9160463698.8000011</v>
      </c>
    </row>
    <row r="118" spans="1:8" s="988" customFormat="1" ht="13.8">
      <c r="A118" s="854" t="s">
        <v>627</v>
      </c>
      <c r="B118" s="854" t="s">
        <v>4329</v>
      </c>
      <c r="C118" s="1262">
        <v>0</v>
      </c>
      <c r="D118" s="1262">
        <v>109145710.09</v>
      </c>
      <c r="E118" s="1263">
        <v>134100131.69</v>
      </c>
      <c r="F118" s="1263">
        <v>134680346.15000001</v>
      </c>
      <c r="G118" s="1263">
        <v>0</v>
      </c>
      <c r="H118" s="1263">
        <v>580214.46</v>
      </c>
    </row>
    <row r="119" spans="1:8" ht="13.8">
      <c r="A119" s="854" t="s">
        <v>628</v>
      </c>
      <c r="B119" s="854" t="s">
        <v>4172</v>
      </c>
      <c r="C119" s="1262">
        <v>0</v>
      </c>
      <c r="D119" s="1262">
        <v>4236779698.3299999</v>
      </c>
      <c r="E119" s="1263">
        <v>48969692718.440002</v>
      </c>
      <c r="F119" s="1263">
        <v>51401917768.849998</v>
      </c>
      <c r="G119" s="1263">
        <v>0</v>
      </c>
      <c r="H119" s="1263">
        <v>2432467588.0100002</v>
      </c>
    </row>
    <row r="120" spans="1:8" s="988" customFormat="1" ht="13.8">
      <c r="A120" s="854" t="s">
        <v>630</v>
      </c>
      <c r="B120" s="854" t="s">
        <v>631</v>
      </c>
      <c r="C120" s="1262">
        <v>0</v>
      </c>
      <c r="D120" s="1262">
        <v>379816685.61000001</v>
      </c>
      <c r="E120" s="1263">
        <v>7512193773.1199999</v>
      </c>
      <c r="F120" s="1263">
        <v>7905045068.6899996</v>
      </c>
      <c r="G120" s="1263">
        <v>0</v>
      </c>
      <c r="H120" s="1263">
        <v>391868803.66999996</v>
      </c>
    </row>
    <row r="121" spans="1:8" ht="13.8">
      <c r="A121" s="984" t="s">
        <v>186</v>
      </c>
      <c r="B121" s="984" t="s">
        <v>948</v>
      </c>
      <c r="C121" s="1264">
        <v>0</v>
      </c>
      <c r="D121" s="1264">
        <v>8765480979.2299995</v>
      </c>
      <c r="E121" s="1265">
        <v>217649452145.29999</v>
      </c>
      <c r="F121" s="1265">
        <v>229715261654.89999</v>
      </c>
      <c r="G121" s="1265">
        <v>0</v>
      </c>
      <c r="H121" s="1265">
        <v>12015427421.73</v>
      </c>
    </row>
    <row r="122" spans="1:8" ht="13.8">
      <c r="A122" s="854" t="s">
        <v>632</v>
      </c>
      <c r="B122" s="854" t="s">
        <v>633</v>
      </c>
      <c r="C122" s="1262">
        <v>0</v>
      </c>
      <c r="D122" s="1262">
        <v>12715183733.940001</v>
      </c>
      <c r="E122" s="1263">
        <v>19013319337.540001</v>
      </c>
      <c r="F122" s="1263">
        <v>29718067420.799999</v>
      </c>
      <c r="G122" s="1263">
        <v>0</v>
      </c>
      <c r="H122" s="1263">
        <v>10711867056.320002</v>
      </c>
    </row>
    <row r="123" spans="1:8" ht="13.8">
      <c r="A123" s="984" t="s">
        <v>186</v>
      </c>
      <c r="B123" s="984" t="s">
        <v>949</v>
      </c>
      <c r="C123" s="1264">
        <v>0</v>
      </c>
      <c r="D123" s="1264">
        <v>12715183733.940001</v>
      </c>
      <c r="E123" s="1265">
        <v>19013319337.540001</v>
      </c>
      <c r="F123" s="1265">
        <v>29718067420.799999</v>
      </c>
      <c r="G123" s="1265">
        <v>0</v>
      </c>
      <c r="H123" s="1265">
        <v>10711867056.320002</v>
      </c>
    </row>
    <row r="124" spans="1:8" ht="13.8">
      <c r="A124" s="854" t="s">
        <v>4330</v>
      </c>
      <c r="B124" s="854" t="s">
        <v>4331</v>
      </c>
      <c r="C124" s="1262">
        <v>0</v>
      </c>
      <c r="D124" s="1262">
        <v>0</v>
      </c>
      <c r="E124" s="1263">
        <v>0</v>
      </c>
      <c r="F124" s="1263">
        <v>16700000000</v>
      </c>
      <c r="G124" s="1263">
        <v>0</v>
      </c>
      <c r="H124" s="1263">
        <v>16700000000</v>
      </c>
    </row>
    <row r="125" spans="1:8" ht="13.8">
      <c r="A125" s="854" t="s">
        <v>634</v>
      </c>
      <c r="B125" s="854" t="s">
        <v>635</v>
      </c>
      <c r="C125" s="1262">
        <v>0</v>
      </c>
      <c r="D125" s="1262">
        <v>14780543851.129999</v>
      </c>
      <c r="E125" s="1263">
        <v>6811525425.2399998</v>
      </c>
      <c r="F125" s="1263">
        <v>20309716624.580002</v>
      </c>
      <c r="G125" s="1263">
        <v>0</v>
      </c>
      <c r="H125" s="1263">
        <v>13498238307.280001</v>
      </c>
    </row>
    <row r="126" spans="1:8" ht="13.8">
      <c r="A126" s="854" t="s">
        <v>606</v>
      </c>
      <c r="B126" s="854" t="s">
        <v>4332</v>
      </c>
      <c r="C126" s="1262">
        <v>0</v>
      </c>
      <c r="D126" s="1262">
        <v>2825000000</v>
      </c>
      <c r="E126" s="1263">
        <v>0</v>
      </c>
      <c r="F126" s="1263">
        <v>825000000</v>
      </c>
      <c r="G126" s="1263">
        <v>0</v>
      </c>
      <c r="H126" s="1263">
        <v>825000000</v>
      </c>
    </row>
    <row r="127" spans="1:8" s="988" customFormat="1" ht="13.8">
      <c r="A127" s="854" t="s">
        <v>4333</v>
      </c>
      <c r="B127" s="854" t="s">
        <v>4334</v>
      </c>
      <c r="C127" s="1262">
        <v>0</v>
      </c>
      <c r="D127" s="1262">
        <v>18800000000</v>
      </c>
      <c r="E127" s="1263">
        <v>3200000000</v>
      </c>
      <c r="F127" s="1263">
        <v>6200000000</v>
      </c>
      <c r="G127" s="1263">
        <v>0</v>
      </c>
      <c r="H127" s="1263">
        <v>3000000000</v>
      </c>
    </row>
    <row r="128" spans="1:8" ht="13.8">
      <c r="A128" s="854" t="s">
        <v>4277</v>
      </c>
      <c r="B128" s="854" t="s">
        <v>4278</v>
      </c>
      <c r="C128" s="1262">
        <v>0</v>
      </c>
      <c r="D128" s="1262">
        <v>1000000000</v>
      </c>
      <c r="E128" s="1263">
        <v>0</v>
      </c>
      <c r="F128" s="1263">
        <v>300000000</v>
      </c>
      <c r="G128" s="1263">
        <v>0</v>
      </c>
      <c r="H128" s="1263">
        <v>300000000</v>
      </c>
    </row>
    <row r="129" spans="1:8" ht="13.8">
      <c r="A129" s="984" t="s">
        <v>186</v>
      </c>
      <c r="B129" s="984" t="s">
        <v>950</v>
      </c>
      <c r="C129" s="1264">
        <v>0</v>
      </c>
      <c r="D129" s="1264">
        <v>37405543851.129997</v>
      </c>
      <c r="E129" s="1265">
        <v>10011525425.24</v>
      </c>
      <c r="F129" s="1265">
        <v>44334716624.579994</v>
      </c>
      <c r="G129" s="1265">
        <v>0</v>
      </c>
      <c r="H129" s="1265">
        <v>34323238307.279999</v>
      </c>
    </row>
    <row r="130" spans="1:8" ht="13.8">
      <c r="A130" s="854" t="s">
        <v>4335</v>
      </c>
      <c r="B130" s="854" t="s">
        <v>4336</v>
      </c>
      <c r="C130" s="1262">
        <v>0</v>
      </c>
      <c r="D130" s="1262">
        <v>0</v>
      </c>
      <c r="E130" s="1263">
        <v>2000000000</v>
      </c>
      <c r="F130" s="1263">
        <v>2000000000</v>
      </c>
      <c r="G130" s="1263">
        <v>0</v>
      </c>
      <c r="H130" s="1263">
        <v>0</v>
      </c>
    </row>
    <row r="131" spans="1:8" ht="13.8">
      <c r="A131" s="854" t="s">
        <v>713</v>
      </c>
      <c r="B131" s="854" t="s">
        <v>4173</v>
      </c>
      <c r="C131" s="1262">
        <v>0</v>
      </c>
      <c r="D131" s="1262">
        <v>204345730</v>
      </c>
      <c r="E131" s="1263">
        <v>16902983053</v>
      </c>
      <c r="F131" s="1263">
        <v>17679096793</v>
      </c>
      <c r="G131" s="1263">
        <v>0</v>
      </c>
      <c r="H131" s="1263">
        <v>776113740</v>
      </c>
    </row>
    <row r="132" spans="1:8" ht="13.8">
      <c r="A132" s="854" t="s">
        <v>76</v>
      </c>
      <c r="B132" s="854" t="s">
        <v>4174</v>
      </c>
      <c r="C132" s="1262">
        <v>0</v>
      </c>
      <c r="D132" s="1262">
        <v>1206019</v>
      </c>
      <c r="E132" s="1263">
        <v>27795209449.07</v>
      </c>
      <c r="F132" s="1263">
        <v>27825065521.209999</v>
      </c>
      <c r="G132" s="1263">
        <v>0</v>
      </c>
      <c r="H132" s="1263">
        <v>29856072.140000001</v>
      </c>
    </row>
    <row r="133" spans="1:8" s="988" customFormat="1" ht="13.8">
      <c r="A133" s="984" t="s">
        <v>186</v>
      </c>
      <c r="B133" s="984" t="s">
        <v>951</v>
      </c>
      <c r="C133" s="1264">
        <v>0</v>
      </c>
      <c r="D133" s="1264">
        <v>205551749</v>
      </c>
      <c r="E133" s="1265">
        <v>46698192502.07</v>
      </c>
      <c r="F133" s="1265">
        <v>47504162314.209999</v>
      </c>
      <c r="G133" s="1265">
        <v>0</v>
      </c>
      <c r="H133" s="1265">
        <v>805969812.13999999</v>
      </c>
    </row>
    <row r="134" spans="1:8" ht="13.8">
      <c r="A134" s="854" t="s">
        <v>637</v>
      </c>
      <c r="B134" s="854" t="s">
        <v>4303</v>
      </c>
      <c r="C134" s="1262">
        <v>0</v>
      </c>
      <c r="D134" s="1262">
        <v>13342000</v>
      </c>
      <c r="E134" s="1263">
        <v>0</v>
      </c>
      <c r="F134" s="1263">
        <v>0</v>
      </c>
      <c r="G134" s="1263">
        <v>0</v>
      </c>
      <c r="H134" s="1263">
        <v>0</v>
      </c>
    </row>
    <row r="135" spans="1:8" ht="13.8">
      <c r="A135" s="984" t="s">
        <v>186</v>
      </c>
      <c r="B135" s="984" t="s">
        <v>4304</v>
      </c>
      <c r="C135" s="1264">
        <v>0</v>
      </c>
      <c r="D135" s="1264">
        <v>13342000</v>
      </c>
      <c r="E135" s="1265">
        <v>0</v>
      </c>
      <c r="F135" s="1265">
        <v>0</v>
      </c>
      <c r="G135" s="1265">
        <v>0</v>
      </c>
      <c r="H135" s="1265">
        <v>0</v>
      </c>
    </row>
    <row r="136" spans="1:8" ht="13.8">
      <c r="A136" s="854" t="s">
        <v>4337</v>
      </c>
      <c r="B136" s="854" t="s">
        <v>4338</v>
      </c>
      <c r="C136" s="1262">
        <v>0</v>
      </c>
      <c r="D136" s="1262">
        <v>0</v>
      </c>
      <c r="E136" s="1263">
        <v>266353015618.39999</v>
      </c>
      <c r="F136" s="1263">
        <v>266114594189.79999</v>
      </c>
      <c r="G136" s="1263">
        <v>0</v>
      </c>
      <c r="H136" s="1263">
        <v>0</v>
      </c>
    </row>
    <row r="137" spans="1:8" ht="13.8">
      <c r="A137" s="854" t="s">
        <v>638</v>
      </c>
      <c r="B137" s="854" t="s">
        <v>4175</v>
      </c>
      <c r="C137" s="1262">
        <v>0</v>
      </c>
      <c r="D137" s="1262">
        <v>121094233242.46001</v>
      </c>
      <c r="E137" s="1263">
        <v>3273412566.3000002</v>
      </c>
      <c r="F137" s="1263">
        <v>134859247806.56</v>
      </c>
      <c r="G137" s="1263">
        <v>0</v>
      </c>
      <c r="H137" s="1263">
        <v>133293638817.86</v>
      </c>
    </row>
    <row r="138" spans="1:8" s="988" customFormat="1" ht="13.8">
      <c r="A138" s="854" t="s">
        <v>952</v>
      </c>
      <c r="B138" s="854" t="s">
        <v>4176</v>
      </c>
      <c r="C138" s="1262">
        <v>0</v>
      </c>
      <c r="D138" s="1262">
        <v>861445188.52999997</v>
      </c>
      <c r="E138" s="1263">
        <v>0</v>
      </c>
      <c r="F138" s="1263">
        <v>0</v>
      </c>
      <c r="G138" s="1263">
        <v>0</v>
      </c>
      <c r="H138" s="1263">
        <v>0</v>
      </c>
    </row>
    <row r="139" spans="1:8" ht="13.8">
      <c r="A139" s="854" t="s">
        <v>406</v>
      </c>
      <c r="B139" s="854" t="s">
        <v>4177</v>
      </c>
      <c r="C139" s="1262">
        <v>0</v>
      </c>
      <c r="D139" s="1262">
        <v>0</v>
      </c>
      <c r="E139" s="1263">
        <v>5021529174.8900003</v>
      </c>
      <c r="F139" s="1263">
        <v>5021529174.8900003</v>
      </c>
      <c r="G139" s="1263">
        <v>0</v>
      </c>
      <c r="H139" s="1263">
        <v>0</v>
      </c>
    </row>
    <row r="140" spans="1:8" ht="13.8">
      <c r="A140" s="854" t="s">
        <v>4339</v>
      </c>
      <c r="B140" s="854" t="s">
        <v>4340</v>
      </c>
      <c r="C140" s="1262">
        <v>0</v>
      </c>
      <c r="D140" s="1262">
        <v>0</v>
      </c>
      <c r="E140" s="1263">
        <v>0</v>
      </c>
      <c r="F140" s="1263">
        <v>0</v>
      </c>
      <c r="G140" s="1263">
        <v>0</v>
      </c>
      <c r="H140" s="1263">
        <v>0</v>
      </c>
    </row>
    <row r="141" spans="1:8" ht="13.8">
      <c r="A141" s="854" t="s">
        <v>714</v>
      </c>
      <c r="B141" s="854" t="s">
        <v>4178</v>
      </c>
      <c r="C141" s="1262">
        <v>0</v>
      </c>
      <c r="D141" s="1262">
        <v>55939600</v>
      </c>
      <c r="E141" s="1263">
        <v>0</v>
      </c>
      <c r="F141" s="1263">
        <v>480313017</v>
      </c>
      <c r="G141" s="1263">
        <v>0</v>
      </c>
      <c r="H141" s="1263">
        <v>480313017</v>
      </c>
    </row>
    <row r="142" spans="1:8" ht="13.8">
      <c r="A142" s="854" t="s">
        <v>715</v>
      </c>
      <c r="B142" s="854" t="s">
        <v>4179</v>
      </c>
      <c r="C142" s="1262">
        <v>0</v>
      </c>
      <c r="D142" s="1262">
        <v>49830716.030000001</v>
      </c>
      <c r="E142" s="1263">
        <v>0</v>
      </c>
      <c r="F142" s="1263">
        <v>3143622665.4299998</v>
      </c>
      <c r="G142" s="1263">
        <v>0</v>
      </c>
      <c r="H142" s="1263">
        <v>3143622665.4299998</v>
      </c>
    </row>
    <row r="143" spans="1:8" ht="13.8">
      <c r="A143" s="854" t="s">
        <v>4077</v>
      </c>
      <c r="B143" s="854" t="s">
        <v>4180</v>
      </c>
      <c r="C143" s="1262">
        <v>0</v>
      </c>
      <c r="D143" s="1262">
        <v>56186580990.540001</v>
      </c>
      <c r="E143" s="1263">
        <v>1457721994</v>
      </c>
      <c r="F143" s="1263">
        <v>56242291477.220001</v>
      </c>
      <c r="G143" s="1263">
        <v>0</v>
      </c>
      <c r="H143" s="1263">
        <v>54784569483.220001</v>
      </c>
    </row>
    <row r="144" spans="1:8" ht="13.8">
      <c r="A144" s="984" t="s">
        <v>186</v>
      </c>
      <c r="B144" s="984" t="s">
        <v>953</v>
      </c>
      <c r="C144" s="1264">
        <v>0</v>
      </c>
      <c r="D144" s="1264">
        <v>178248029737.56</v>
      </c>
      <c r="E144" s="1265">
        <v>276105679353.59003</v>
      </c>
      <c r="F144" s="1265">
        <v>465861598330.90002</v>
      </c>
      <c r="G144" s="1265">
        <v>0</v>
      </c>
      <c r="H144" s="1265">
        <v>191702143983.51001</v>
      </c>
    </row>
    <row r="145" spans="1:8" ht="13.8">
      <c r="A145" s="854" t="s">
        <v>639</v>
      </c>
      <c r="B145" s="854" t="s">
        <v>4181</v>
      </c>
      <c r="C145" s="1262">
        <v>0</v>
      </c>
      <c r="D145" s="1262">
        <v>16871.330000000002</v>
      </c>
      <c r="E145" s="1263">
        <v>10017.719999999999</v>
      </c>
      <c r="F145" s="1263">
        <v>38840.300000000003</v>
      </c>
      <c r="G145" s="1263">
        <v>0</v>
      </c>
      <c r="H145" s="1263">
        <v>28822.58</v>
      </c>
    </row>
    <row r="146" spans="1:8" ht="13.8">
      <c r="A146" s="854" t="s">
        <v>640</v>
      </c>
      <c r="B146" s="854" t="s">
        <v>4182</v>
      </c>
      <c r="C146" s="1262">
        <v>0</v>
      </c>
      <c r="D146" s="1262">
        <v>260703716.02000001</v>
      </c>
      <c r="E146" s="1263">
        <v>796590934.34000003</v>
      </c>
      <c r="F146" s="1263">
        <v>999063039.80999994</v>
      </c>
      <c r="G146" s="1263">
        <v>0</v>
      </c>
      <c r="H146" s="1263">
        <v>202484856.03</v>
      </c>
    </row>
    <row r="147" spans="1:8" ht="13.8">
      <c r="A147" s="854" t="s">
        <v>641</v>
      </c>
      <c r="B147" s="854" t="s">
        <v>4183</v>
      </c>
      <c r="C147" s="1262">
        <v>0</v>
      </c>
      <c r="D147" s="1262">
        <v>157860831.06</v>
      </c>
      <c r="E147" s="1263">
        <v>1805099716.02</v>
      </c>
      <c r="F147" s="1263">
        <v>1911507685.5</v>
      </c>
      <c r="G147" s="1263">
        <v>0</v>
      </c>
      <c r="H147" s="1263">
        <v>106407969.48</v>
      </c>
    </row>
    <row r="148" spans="1:8" ht="13.8">
      <c r="A148" s="854" t="s">
        <v>407</v>
      </c>
      <c r="B148" s="854" t="s">
        <v>4184</v>
      </c>
      <c r="C148" s="1262">
        <v>0</v>
      </c>
      <c r="D148" s="1262">
        <v>0</v>
      </c>
      <c r="E148" s="1263">
        <v>6486297876.0699997</v>
      </c>
      <c r="F148" s="1263">
        <v>6479545743.21</v>
      </c>
      <c r="G148" s="1263">
        <v>0</v>
      </c>
      <c r="H148" s="1263">
        <v>0.05</v>
      </c>
    </row>
    <row r="149" spans="1:8" ht="13.8">
      <c r="A149" s="854" t="s">
        <v>642</v>
      </c>
      <c r="B149" s="854" t="s">
        <v>4279</v>
      </c>
      <c r="C149" s="1262">
        <v>0</v>
      </c>
      <c r="D149" s="1262">
        <v>0</v>
      </c>
      <c r="E149" s="1263">
        <v>1141583494.27</v>
      </c>
      <c r="F149" s="1263">
        <v>1141583494.27</v>
      </c>
      <c r="G149" s="1263">
        <v>0</v>
      </c>
      <c r="H149" s="1263">
        <v>0</v>
      </c>
    </row>
    <row r="150" spans="1:8" s="988" customFormat="1" ht="13.8">
      <c r="A150" s="854" t="s">
        <v>4341</v>
      </c>
      <c r="B150" s="854" t="s">
        <v>4342</v>
      </c>
      <c r="C150" s="1262">
        <v>0</v>
      </c>
      <c r="D150" s="1262">
        <v>46657186.490000002</v>
      </c>
      <c r="E150" s="1263">
        <v>701369.88</v>
      </c>
      <c r="F150" s="1263">
        <v>701369.88</v>
      </c>
      <c r="G150" s="1263">
        <v>0</v>
      </c>
      <c r="H150" s="1263">
        <v>0</v>
      </c>
    </row>
    <row r="151" spans="1:8" ht="13.8">
      <c r="A151" s="984" t="s">
        <v>186</v>
      </c>
      <c r="B151" s="984" t="s">
        <v>954</v>
      </c>
      <c r="C151" s="1264">
        <v>0</v>
      </c>
      <c r="D151" s="1264">
        <v>465238604.89999998</v>
      </c>
      <c r="E151" s="1265">
        <v>10230283408.300001</v>
      </c>
      <c r="F151" s="1265">
        <v>10532440172.969999</v>
      </c>
      <c r="G151" s="1265">
        <v>0</v>
      </c>
      <c r="H151" s="1265">
        <v>308921648.13999999</v>
      </c>
    </row>
    <row r="152" spans="1:8" s="988" customFormat="1" ht="13.8">
      <c r="A152" s="854" t="s">
        <v>644</v>
      </c>
      <c r="B152" s="854" t="s">
        <v>645</v>
      </c>
      <c r="C152" s="1262">
        <v>0</v>
      </c>
      <c r="D152" s="1262">
        <v>32411981.420000002</v>
      </c>
      <c r="E152" s="1263">
        <v>551994907.69000006</v>
      </c>
      <c r="F152" s="1263">
        <v>593743268.36000001</v>
      </c>
      <c r="G152" s="1263">
        <v>0</v>
      </c>
      <c r="H152" s="1263">
        <v>41748360.670000002</v>
      </c>
    </row>
    <row r="153" spans="1:8" ht="13.8">
      <c r="A153" s="854" t="s">
        <v>646</v>
      </c>
      <c r="B153" s="854" t="s">
        <v>647</v>
      </c>
      <c r="C153" s="1262">
        <v>0</v>
      </c>
      <c r="D153" s="1262">
        <v>113195380.69</v>
      </c>
      <c r="E153" s="1263">
        <v>702311530.68999994</v>
      </c>
      <c r="F153" s="1263">
        <v>895746910.13</v>
      </c>
      <c r="G153" s="1263">
        <v>0</v>
      </c>
      <c r="H153" s="1263">
        <v>193435379.44</v>
      </c>
    </row>
    <row r="154" spans="1:8" ht="13.8">
      <c r="A154" s="854" t="s">
        <v>648</v>
      </c>
      <c r="B154" s="854" t="s">
        <v>4185</v>
      </c>
      <c r="C154" s="1262">
        <v>0</v>
      </c>
      <c r="D154" s="1262">
        <v>111812970.63</v>
      </c>
      <c r="E154" s="1263">
        <v>719681950.48000002</v>
      </c>
      <c r="F154" s="1263">
        <v>912615331.01999998</v>
      </c>
      <c r="G154" s="1263">
        <v>0</v>
      </c>
      <c r="H154" s="1263">
        <v>192933380.53999999</v>
      </c>
    </row>
    <row r="155" spans="1:8" ht="13.8">
      <c r="A155" s="854" t="s">
        <v>408</v>
      </c>
      <c r="B155" s="854" t="s">
        <v>4186</v>
      </c>
      <c r="C155" s="1262">
        <v>0</v>
      </c>
      <c r="D155" s="1262">
        <v>0</v>
      </c>
      <c r="E155" s="1263">
        <v>57356718.039999999</v>
      </c>
      <c r="F155" s="1263">
        <v>73177245.390000001</v>
      </c>
      <c r="G155" s="1263">
        <v>0</v>
      </c>
      <c r="H155" s="1263">
        <v>15820527.35</v>
      </c>
    </row>
    <row r="156" spans="1:8" ht="13.8">
      <c r="A156" s="984" t="s">
        <v>186</v>
      </c>
      <c r="B156" s="984" t="s">
        <v>955</v>
      </c>
      <c r="C156" s="1264">
        <v>0</v>
      </c>
      <c r="D156" s="1264">
        <v>257420332.74000001</v>
      </c>
      <c r="E156" s="1265">
        <v>2031345106.8999999</v>
      </c>
      <c r="F156" s="1265">
        <v>2475282754.9000001</v>
      </c>
      <c r="G156" s="1265">
        <v>0</v>
      </c>
      <c r="H156" s="1265">
        <v>443937648</v>
      </c>
    </row>
    <row r="157" spans="1:8" ht="13.8">
      <c r="A157" s="854" t="s">
        <v>4099</v>
      </c>
      <c r="B157" s="854" t="s">
        <v>4343</v>
      </c>
      <c r="C157" s="1262">
        <v>0</v>
      </c>
      <c r="D157" s="1262">
        <v>118032537.13</v>
      </c>
      <c r="E157" s="1263">
        <v>10635698492</v>
      </c>
      <c r="F157" s="1263">
        <v>10640461952.129999</v>
      </c>
      <c r="G157" s="1263">
        <v>0</v>
      </c>
      <c r="H157" s="1263">
        <v>4763460.13</v>
      </c>
    </row>
    <row r="158" spans="1:8" ht="13.8">
      <c r="A158" s="854" t="s">
        <v>2856</v>
      </c>
      <c r="B158" s="854" t="s">
        <v>2857</v>
      </c>
      <c r="C158" s="1262">
        <v>0</v>
      </c>
      <c r="D158" s="1262">
        <v>0</v>
      </c>
      <c r="E158" s="1263">
        <v>10718273803.51</v>
      </c>
      <c r="F158" s="1263">
        <v>10717798044.809999</v>
      </c>
      <c r="G158" s="1263">
        <v>0</v>
      </c>
      <c r="H158" s="1263">
        <v>0</v>
      </c>
    </row>
    <row r="159" spans="1:8" ht="13.8">
      <c r="A159" s="854" t="s">
        <v>4255</v>
      </c>
      <c r="B159" s="854" t="s">
        <v>4256</v>
      </c>
      <c r="C159" s="1262">
        <v>0</v>
      </c>
      <c r="D159" s="1262">
        <v>10000</v>
      </c>
      <c r="E159" s="1263">
        <v>0</v>
      </c>
      <c r="F159" s="1263">
        <v>10000</v>
      </c>
      <c r="G159" s="1263">
        <v>0</v>
      </c>
      <c r="H159" s="1263">
        <v>10000</v>
      </c>
    </row>
    <row r="160" spans="1:8" ht="13.8">
      <c r="A160" s="854" t="s">
        <v>903</v>
      </c>
      <c r="B160" s="854" t="s">
        <v>4187</v>
      </c>
      <c r="C160" s="1262">
        <v>0</v>
      </c>
      <c r="D160" s="1262">
        <v>12035025566.469999</v>
      </c>
      <c r="E160" s="1263">
        <v>234328174271.67999</v>
      </c>
      <c r="F160" s="1263">
        <v>250862665567.32001</v>
      </c>
      <c r="G160" s="1263">
        <v>0</v>
      </c>
      <c r="H160" s="1263">
        <v>16534491295.639999</v>
      </c>
    </row>
    <row r="161" spans="1:8" ht="13.8">
      <c r="A161" s="854" t="s">
        <v>650</v>
      </c>
      <c r="B161" s="854" t="s">
        <v>4188</v>
      </c>
      <c r="C161" s="1262">
        <v>0</v>
      </c>
      <c r="D161" s="1262">
        <v>6622754678.9499998</v>
      </c>
      <c r="E161" s="1263">
        <v>341665275351.19</v>
      </c>
      <c r="F161" s="1263">
        <v>353165638242.51001</v>
      </c>
      <c r="G161" s="1263">
        <v>0</v>
      </c>
      <c r="H161" s="1263">
        <v>11501459595.219999</v>
      </c>
    </row>
    <row r="162" spans="1:8" ht="13.8">
      <c r="A162" s="854" t="s">
        <v>956</v>
      </c>
      <c r="B162" s="854" t="s">
        <v>4189</v>
      </c>
      <c r="C162" s="1262">
        <v>0</v>
      </c>
      <c r="D162" s="1262">
        <v>15973128.77</v>
      </c>
      <c r="E162" s="1263">
        <v>1759801369.5799999</v>
      </c>
      <c r="F162" s="1263">
        <v>1839800253.3900001</v>
      </c>
      <c r="G162" s="1263">
        <v>0</v>
      </c>
      <c r="H162" s="1263">
        <v>80004307.310000002</v>
      </c>
    </row>
    <row r="163" spans="1:8" s="988" customFormat="1" ht="13.8">
      <c r="A163" s="854" t="s">
        <v>651</v>
      </c>
      <c r="B163" s="854" t="s">
        <v>4190</v>
      </c>
      <c r="C163" s="1262">
        <v>0</v>
      </c>
      <c r="D163" s="1262">
        <v>87929139.510000005</v>
      </c>
      <c r="E163" s="1263">
        <v>2059693684.3199999</v>
      </c>
      <c r="F163" s="1263">
        <v>2171614299.9899998</v>
      </c>
      <c r="G163" s="1263">
        <v>0</v>
      </c>
      <c r="H163" s="1263">
        <v>111920615.67</v>
      </c>
    </row>
    <row r="164" spans="1:8" ht="13.8">
      <c r="A164" s="854" t="s">
        <v>957</v>
      </c>
      <c r="B164" s="854" t="s">
        <v>958</v>
      </c>
      <c r="C164" s="1262">
        <v>0</v>
      </c>
      <c r="D164" s="1262">
        <v>115748747699.59</v>
      </c>
      <c r="E164" s="1263">
        <v>3948094784.4899998</v>
      </c>
      <c r="F164" s="1263">
        <v>133468789151.83</v>
      </c>
      <c r="G164" s="1263">
        <v>0</v>
      </c>
      <c r="H164" s="1263">
        <v>129520694367.34</v>
      </c>
    </row>
    <row r="165" spans="1:8" ht="13.8">
      <c r="A165" s="854" t="s">
        <v>4191</v>
      </c>
      <c r="B165" s="854" t="s">
        <v>4192</v>
      </c>
      <c r="C165" s="1262">
        <v>0</v>
      </c>
      <c r="D165" s="1262">
        <v>0</v>
      </c>
      <c r="E165" s="1263">
        <v>25953543900</v>
      </c>
      <c r="F165" s="1263">
        <v>25953543900</v>
      </c>
      <c r="G165" s="1263">
        <v>0</v>
      </c>
      <c r="H165" s="1263">
        <v>0</v>
      </c>
    </row>
    <row r="166" spans="1:8" ht="13.8">
      <c r="A166" s="854" t="s">
        <v>4193</v>
      </c>
      <c r="B166" s="854" t="s">
        <v>4194</v>
      </c>
      <c r="C166" s="1262">
        <v>0</v>
      </c>
      <c r="D166" s="1262">
        <v>0</v>
      </c>
      <c r="E166" s="1263">
        <v>730581886602.07996</v>
      </c>
      <c r="F166" s="1263">
        <v>730581886602.07996</v>
      </c>
      <c r="G166" s="1263">
        <v>0</v>
      </c>
      <c r="H166" s="1263">
        <v>0</v>
      </c>
    </row>
    <row r="167" spans="1:8" s="988" customFormat="1" ht="13.8">
      <c r="A167" s="984" t="s">
        <v>186</v>
      </c>
      <c r="B167" s="984" t="s">
        <v>959</v>
      </c>
      <c r="C167" s="1264">
        <v>0</v>
      </c>
      <c r="D167" s="1264">
        <v>134628472750.42</v>
      </c>
      <c r="E167" s="1265">
        <v>1361650442258.8499</v>
      </c>
      <c r="F167" s="1265">
        <v>1519402208014.0601</v>
      </c>
      <c r="G167" s="1265">
        <v>0</v>
      </c>
      <c r="H167" s="1265">
        <v>157753343641.31</v>
      </c>
    </row>
    <row r="168" spans="1:8" ht="13.8">
      <c r="A168" s="854" t="s">
        <v>726</v>
      </c>
      <c r="B168" s="854" t="s">
        <v>4195</v>
      </c>
      <c r="C168" s="1262">
        <v>0</v>
      </c>
      <c r="D168" s="1262">
        <v>68112157.319999993</v>
      </c>
      <c r="E168" s="1263">
        <v>23459635266.48</v>
      </c>
      <c r="F168" s="1263">
        <v>23558742133.290001</v>
      </c>
      <c r="G168" s="1263">
        <v>0</v>
      </c>
      <c r="H168" s="1263">
        <v>99106866.810000002</v>
      </c>
    </row>
    <row r="169" spans="1:8" ht="13.8">
      <c r="A169" s="984" t="s">
        <v>186</v>
      </c>
      <c r="B169" s="984" t="s">
        <v>960</v>
      </c>
      <c r="C169" s="1264">
        <v>0</v>
      </c>
      <c r="D169" s="1264">
        <v>68112157.319999993</v>
      </c>
      <c r="E169" s="1265">
        <v>23459635266.48</v>
      </c>
      <c r="F169" s="1265">
        <v>23558742133.290001</v>
      </c>
      <c r="G169" s="1265">
        <v>0</v>
      </c>
      <c r="H169" s="1265">
        <v>99106866.810000002</v>
      </c>
    </row>
    <row r="170" spans="1:8" ht="13.8">
      <c r="A170" s="854" t="s">
        <v>727</v>
      </c>
      <c r="B170" s="854" t="s">
        <v>4196</v>
      </c>
      <c r="C170" s="1262">
        <v>0</v>
      </c>
      <c r="D170" s="1262">
        <v>0</v>
      </c>
      <c r="E170" s="1263">
        <v>2074041300</v>
      </c>
      <c r="F170" s="1263">
        <v>2074041300</v>
      </c>
      <c r="G170" s="1263">
        <v>0</v>
      </c>
      <c r="H170" s="1263">
        <v>0</v>
      </c>
    </row>
    <row r="171" spans="1:8" ht="13.8">
      <c r="A171" s="854" t="s">
        <v>961</v>
      </c>
      <c r="B171" s="854" t="s">
        <v>4197</v>
      </c>
      <c r="C171" s="1262">
        <v>0</v>
      </c>
      <c r="D171" s="1262">
        <v>0</v>
      </c>
      <c r="E171" s="1263">
        <v>1781303000</v>
      </c>
      <c r="F171" s="1263">
        <v>1781303000</v>
      </c>
      <c r="G171" s="1263">
        <v>0</v>
      </c>
      <c r="H171" s="1263">
        <v>0</v>
      </c>
    </row>
    <row r="172" spans="1:8" ht="13.8">
      <c r="A172" s="854" t="s">
        <v>654</v>
      </c>
      <c r="B172" s="854" t="s">
        <v>4198</v>
      </c>
      <c r="C172" s="1262">
        <v>0</v>
      </c>
      <c r="D172" s="1262">
        <v>0</v>
      </c>
      <c r="E172" s="1263">
        <v>15255049185.389999</v>
      </c>
      <c r="F172" s="1263">
        <v>15255049185.389999</v>
      </c>
      <c r="G172" s="1263">
        <v>0</v>
      </c>
      <c r="H172" s="1263">
        <v>0</v>
      </c>
    </row>
    <row r="173" spans="1:8" ht="13.8">
      <c r="A173" s="854" t="s">
        <v>4107</v>
      </c>
      <c r="B173" s="854"/>
      <c r="C173" s="1262">
        <v>0</v>
      </c>
      <c r="D173" s="1262">
        <v>0</v>
      </c>
      <c r="E173" s="1263">
        <v>5617080007</v>
      </c>
      <c r="F173" s="1263">
        <v>5617080007</v>
      </c>
      <c r="G173" s="1263">
        <v>0</v>
      </c>
      <c r="H173" s="1263">
        <v>0</v>
      </c>
    </row>
    <row r="174" spans="1:8" s="988" customFormat="1" ht="13.8">
      <c r="A174" s="854" t="s">
        <v>2858</v>
      </c>
      <c r="B174" s="854" t="s">
        <v>4344</v>
      </c>
      <c r="C174" s="1262">
        <v>0</v>
      </c>
      <c r="D174" s="1262">
        <v>0</v>
      </c>
      <c r="E174" s="1263">
        <v>47032791017.43</v>
      </c>
      <c r="F174" s="1263">
        <v>47032791017.43</v>
      </c>
      <c r="G174" s="1263">
        <v>0</v>
      </c>
      <c r="H174" s="1263">
        <v>0</v>
      </c>
    </row>
    <row r="175" spans="1:8" ht="13.8">
      <c r="A175" s="854" t="s">
        <v>4199</v>
      </c>
      <c r="B175" s="854" t="s">
        <v>4345</v>
      </c>
      <c r="C175" s="1262">
        <v>0</v>
      </c>
      <c r="D175" s="1262">
        <v>0</v>
      </c>
      <c r="E175" s="1263">
        <v>140446194070.54001</v>
      </c>
      <c r="F175" s="1263">
        <v>140446194070.54001</v>
      </c>
      <c r="G175" s="1263">
        <v>0</v>
      </c>
      <c r="H175" s="1263">
        <v>0</v>
      </c>
    </row>
    <row r="176" spans="1:8" ht="13.8">
      <c r="A176" s="854" t="s">
        <v>4200</v>
      </c>
      <c r="B176" s="854" t="s">
        <v>4201</v>
      </c>
      <c r="C176" s="1262">
        <v>0</v>
      </c>
      <c r="D176" s="1262">
        <v>0</v>
      </c>
      <c r="E176" s="1263">
        <v>23214239717</v>
      </c>
      <c r="F176" s="1263">
        <v>23214239717</v>
      </c>
      <c r="G176" s="1263">
        <v>0</v>
      </c>
      <c r="H176" s="1263">
        <v>0</v>
      </c>
    </row>
    <row r="177" spans="1:8" ht="13.8">
      <c r="A177" s="854" t="s">
        <v>655</v>
      </c>
      <c r="B177" s="854" t="s">
        <v>4202</v>
      </c>
      <c r="C177" s="1262">
        <v>0</v>
      </c>
      <c r="D177" s="1262">
        <v>2417317.16</v>
      </c>
      <c r="E177" s="1263">
        <v>19813634530.310001</v>
      </c>
      <c r="F177" s="1263">
        <v>19848477530.310001</v>
      </c>
      <c r="G177" s="1263">
        <v>0</v>
      </c>
      <c r="H177" s="1263">
        <v>34843000</v>
      </c>
    </row>
    <row r="178" spans="1:8" ht="13.8">
      <c r="A178" s="854" t="s">
        <v>656</v>
      </c>
      <c r="B178" s="854" t="s">
        <v>4203</v>
      </c>
      <c r="C178" s="1262">
        <v>0</v>
      </c>
      <c r="D178" s="1262">
        <v>0</v>
      </c>
      <c r="E178" s="1263">
        <v>1296845074.8499999</v>
      </c>
      <c r="F178" s="1263">
        <v>1297114918.0699999</v>
      </c>
      <c r="G178" s="1263">
        <v>0</v>
      </c>
      <c r="H178" s="1263">
        <v>269843.21999999997</v>
      </c>
    </row>
    <row r="179" spans="1:8" ht="13.8">
      <c r="A179" s="854" t="s">
        <v>657</v>
      </c>
      <c r="B179" s="854" t="s">
        <v>4204</v>
      </c>
      <c r="C179" s="1262">
        <v>0</v>
      </c>
      <c r="D179" s="1262">
        <v>8136410</v>
      </c>
      <c r="E179" s="1263">
        <v>28093901553.599998</v>
      </c>
      <c r="F179" s="1263">
        <v>28093901553.599998</v>
      </c>
      <c r="G179" s="1263">
        <v>0</v>
      </c>
      <c r="H179" s="1263">
        <v>0</v>
      </c>
    </row>
    <row r="180" spans="1:8" ht="13.8">
      <c r="A180" s="984" t="s">
        <v>186</v>
      </c>
      <c r="B180" s="984" t="s">
        <v>962</v>
      </c>
      <c r="C180" s="1264">
        <v>0</v>
      </c>
      <c r="D180" s="1264">
        <v>10553727.16</v>
      </c>
      <c r="E180" s="1265">
        <v>284625079456.12</v>
      </c>
      <c r="F180" s="1265">
        <v>284660192299.34003</v>
      </c>
      <c r="G180" s="1265">
        <v>0</v>
      </c>
      <c r="H180" s="1265">
        <v>35112843.219999999</v>
      </c>
    </row>
    <row r="181" spans="1:8" ht="13.8">
      <c r="A181" s="854" t="s">
        <v>658</v>
      </c>
      <c r="B181" s="854" t="s">
        <v>597</v>
      </c>
      <c r="C181" s="1262">
        <v>0</v>
      </c>
      <c r="D181" s="1262">
        <v>0</v>
      </c>
      <c r="E181" s="1263">
        <v>717173734.25999999</v>
      </c>
      <c r="F181" s="1263">
        <v>717173734.25999999</v>
      </c>
      <c r="G181" s="1263">
        <v>0</v>
      </c>
      <c r="H181" s="1263">
        <v>0</v>
      </c>
    </row>
    <row r="182" spans="1:8" ht="13.8">
      <c r="A182" s="854" t="s">
        <v>659</v>
      </c>
      <c r="B182" s="854" t="s">
        <v>4280</v>
      </c>
      <c r="C182" s="1262">
        <v>0</v>
      </c>
      <c r="D182" s="1262">
        <v>0</v>
      </c>
      <c r="E182" s="1263">
        <v>9000</v>
      </c>
      <c r="F182" s="1263">
        <v>0</v>
      </c>
      <c r="G182" s="1263">
        <v>0</v>
      </c>
      <c r="H182" s="1263">
        <v>0</v>
      </c>
    </row>
    <row r="183" spans="1:8" ht="13.8">
      <c r="A183" s="854" t="s">
        <v>4346</v>
      </c>
      <c r="B183" s="854"/>
      <c r="C183" s="1262">
        <v>0</v>
      </c>
      <c r="D183" s="1262">
        <v>0</v>
      </c>
      <c r="E183" s="1263">
        <v>374107000</v>
      </c>
      <c r="F183" s="1263">
        <v>374107000</v>
      </c>
      <c r="G183" s="1263">
        <v>0</v>
      </c>
      <c r="H183" s="1263">
        <v>0</v>
      </c>
    </row>
    <row r="184" spans="1:8" ht="13.8">
      <c r="A184" s="854" t="s">
        <v>4257</v>
      </c>
      <c r="B184" s="854" t="s">
        <v>4258</v>
      </c>
      <c r="C184" s="1262">
        <v>0</v>
      </c>
      <c r="D184" s="1262">
        <v>0</v>
      </c>
      <c r="E184" s="1263">
        <v>4550427916.2299995</v>
      </c>
      <c r="F184" s="1263">
        <v>4550427916.2299995</v>
      </c>
      <c r="G184" s="1263">
        <v>0</v>
      </c>
      <c r="H184" s="1263">
        <v>0</v>
      </c>
    </row>
    <row r="185" spans="1:8" s="988" customFormat="1" ht="13.8">
      <c r="A185" s="984" t="s">
        <v>186</v>
      </c>
      <c r="B185" s="984" t="s">
        <v>963</v>
      </c>
      <c r="C185" s="1264">
        <v>0</v>
      </c>
      <c r="D185" s="1264">
        <v>0</v>
      </c>
      <c r="E185" s="1265">
        <v>5641717650.4899998</v>
      </c>
      <c r="F185" s="1265">
        <v>5641708650.4899998</v>
      </c>
      <c r="G185" s="1265">
        <v>0</v>
      </c>
      <c r="H185" s="1265">
        <v>0</v>
      </c>
    </row>
    <row r="186" spans="1:8" s="988" customFormat="1" ht="13.8">
      <c r="A186" s="854" t="s">
        <v>664</v>
      </c>
      <c r="B186" s="854" t="s">
        <v>4205</v>
      </c>
      <c r="C186" s="1262">
        <v>0</v>
      </c>
      <c r="D186" s="1262">
        <v>0</v>
      </c>
      <c r="E186" s="1263">
        <v>178921025709</v>
      </c>
      <c r="F186" s="1263">
        <v>178921112811</v>
      </c>
      <c r="G186" s="1263">
        <v>0</v>
      </c>
      <c r="H186" s="1263">
        <v>87102</v>
      </c>
    </row>
    <row r="187" spans="1:8" ht="13.8">
      <c r="A187" s="854" t="s">
        <v>608</v>
      </c>
      <c r="B187" s="854" t="s">
        <v>4206</v>
      </c>
      <c r="C187" s="1262">
        <v>0</v>
      </c>
      <c r="D187" s="1262">
        <v>26049778.809999999</v>
      </c>
      <c r="E187" s="1263">
        <v>191569519</v>
      </c>
      <c r="F187" s="1263">
        <v>214493400</v>
      </c>
      <c r="G187" s="1263">
        <v>0</v>
      </c>
      <c r="H187" s="1263">
        <v>22923881</v>
      </c>
    </row>
    <row r="188" spans="1:8" ht="13.8">
      <c r="A188" s="854" t="s">
        <v>665</v>
      </c>
      <c r="B188" s="854" t="s">
        <v>4305</v>
      </c>
      <c r="C188" s="1262">
        <v>0</v>
      </c>
      <c r="D188" s="1262">
        <v>2400000</v>
      </c>
      <c r="E188" s="1263">
        <v>800000</v>
      </c>
      <c r="F188" s="1263">
        <v>1717550</v>
      </c>
      <c r="G188" s="1263">
        <v>0</v>
      </c>
      <c r="H188" s="1263">
        <v>917550</v>
      </c>
    </row>
    <row r="189" spans="1:8" ht="13.8">
      <c r="A189" s="854" t="s">
        <v>666</v>
      </c>
      <c r="B189" s="854" t="s">
        <v>4207</v>
      </c>
      <c r="C189" s="1262">
        <v>0</v>
      </c>
      <c r="D189" s="1262">
        <v>36221674.649999999</v>
      </c>
      <c r="E189" s="1263">
        <v>28968681897.650002</v>
      </c>
      <c r="F189" s="1263">
        <v>29085378827.009998</v>
      </c>
      <c r="G189" s="1263">
        <v>0</v>
      </c>
      <c r="H189" s="1263">
        <v>116736329.36</v>
      </c>
    </row>
    <row r="190" spans="1:8" ht="13.8">
      <c r="A190" s="854" t="s">
        <v>667</v>
      </c>
      <c r="B190" s="854" t="s">
        <v>4208</v>
      </c>
      <c r="C190" s="1262">
        <v>0</v>
      </c>
      <c r="D190" s="1262">
        <v>330285067.47000003</v>
      </c>
      <c r="E190" s="1263">
        <v>15171437159.219999</v>
      </c>
      <c r="F190" s="1263">
        <v>15376522491.690001</v>
      </c>
      <c r="G190" s="1263">
        <v>0</v>
      </c>
      <c r="H190" s="1263">
        <v>205085332.47</v>
      </c>
    </row>
    <row r="191" spans="1:8" s="988" customFormat="1" ht="13.8">
      <c r="A191" s="854" t="s">
        <v>4098</v>
      </c>
      <c r="B191" s="854" t="s">
        <v>4209</v>
      </c>
      <c r="C191" s="1262">
        <v>0</v>
      </c>
      <c r="D191" s="1262">
        <v>55130490</v>
      </c>
      <c r="E191" s="1263">
        <v>10809482438.58</v>
      </c>
      <c r="F191" s="1263">
        <v>10873759438.58</v>
      </c>
      <c r="G191" s="1263">
        <v>0</v>
      </c>
      <c r="H191" s="1263">
        <v>64277000</v>
      </c>
    </row>
    <row r="192" spans="1:8" ht="13.8">
      <c r="A192" s="984" t="s">
        <v>186</v>
      </c>
      <c r="B192" s="984" t="s">
        <v>964</v>
      </c>
      <c r="C192" s="1264">
        <v>0</v>
      </c>
      <c r="D192" s="1264">
        <v>450087010.93000001</v>
      </c>
      <c r="E192" s="1265">
        <v>234062996723.45001</v>
      </c>
      <c r="F192" s="1265">
        <v>234472984518.28</v>
      </c>
      <c r="G192" s="1265">
        <v>0</v>
      </c>
      <c r="H192" s="1265">
        <v>410027194.82999998</v>
      </c>
    </row>
    <row r="193" spans="1:8" ht="13.8">
      <c r="A193" s="854" t="s">
        <v>670</v>
      </c>
      <c r="B193" s="854" t="s">
        <v>671</v>
      </c>
      <c r="C193" s="1262">
        <v>0</v>
      </c>
      <c r="D193" s="1262">
        <v>217257706.56999999</v>
      </c>
      <c r="E193" s="1263">
        <v>39016888184.470001</v>
      </c>
      <c r="F193" s="1263">
        <v>39159585894.730003</v>
      </c>
      <c r="G193" s="1263">
        <v>0</v>
      </c>
      <c r="H193" s="1263">
        <v>144762623.33000001</v>
      </c>
    </row>
    <row r="194" spans="1:8" s="988" customFormat="1" ht="13.8">
      <c r="A194" s="854" t="s">
        <v>672</v>
      </c>
      <c r="B194" s="854" t="s">
        <v>4210</v>
      </c>
      <c r="C194" s="1262">
        <v>0</v>
      </c>
      <c r="D194" s="1262">
        <v>7684640.4000000004</v>
      </c>
      <c r="E194" s="1263">
        <v>7720525215.8800001</v>
      </c>
      <c r="F194" s="1263">
        <v>7731747342.8800001</v>
      </c>
      <c r="G194" s="1263">
        <v>0</v>
      </c>
      <c r="H194" s="1263">
        <v>11222127</v>
      </c>
    </row>
    <row r="195" spans="1:8" s="988" customFormat="1" ht="13.8">
      <c r="A195" s="854" t="s">
        <v>673</v>
      </c>
      <c r="B195" s="854" t="s">
        <v>4211</v>
      </c>
      <c r="C195" s="1262">
        <v>0</v>
      </c>
      <c r="D195" s="1262">
        <v>219404.6</v>
      </c>
      <c r="E195" s="1263">
        <v>7685479017.2999992</v>
      </c>
      <c r="F195" s="1263">
        <v>7685479017.2999992</v>
      </c>
      <c r="G195" s="1263">
        <v>0</v>
      </c>
      <c r="H195" s="1263">
        <v>0</v>
      </c>
    </row>
    <row r="196" spans="1:8" ht="13.8">
      <c r="A196" s="854" t="s">
        <v>674</v>
      </c>
      <c r="B196" s="854" t="s">
        <v>4281</v>
      </c>
      <c r="C196" s="1262">
        <v>0</v>
      </c>
      <c r="D196" s="1262">
        <v>0</v>
      </c>
      <c r="E196" s="1263">
        <v>0</v>
      </c>
      <c r="F196" s="1263">
        <v>0</v>
      </c>
      <c r="G196" s="1263">
        <v>0</v>
      </c>
      <c r="H196" s="1263">
        <v>0</v>
      </c>
    </row>
    <row r="197" spans="1:8" ht="13.8">
      <c r="A197" s="854" t="s">
        <v>4347</v>
      </c>
      <c r="B197" s="854" t="s">
        <v>4348</v>
      </c>
      <c r="C197" s="1262">
        <v>0</v>
      </c>
      <c r="D197" s="1262">
        <v>0</v>
      </c>
      <c r="E197" s="1263">
        <v>100250253</v>
      </c>
      <c r="F197" s="1263">
        <v>100250253</v>
      </c>
      <c r="G197" s="1263">
        <v>0</v>
      </c>
      <c r="H197" s="1263">
        <v>0</v>
      </c>
    </row>
    <row r="198" spans="1:8" ht="13.8">
      <c r="A198" s="854" t="s">
        <v>412</v>
      </c>
      <c r="B198" s="854" t="s">
        <v>4212</v>
      </c>
      <c r="C198" s="1262">
        <v>0</v>
      </c>
      <c r="D198" s="1262">
        <v>353423</v>
      </c>
      <c r="E198" s="1263">
        <v>95107469</v>
      </c>
      <c r="F198" s="1263">
        <v>96710595</v>
      </c>
      <c r="G198" s="1263">
        <v>0</v>
      </c>
      <c r="H198" s="1263">
        <v>1603126</v>
      </c>
    </row>
    <row r="199" spans="1:8" ht="13.8">
      <c r="A199" s="854" t="s">
        <v>677</v>
      </c>
      <c r="B199" s="854" t="s">
        <v>4213</v>
      </c>
      <c r="C199" s="1262">
        <v>0</v>
      </c>
      <c r="D199" s="1262">
        <v>49091249.670000002</v>
      </c>
      <c r="E199" s="1263">
        <v>76997189061.850006</v>
      </c>
      <c r="F199" s="1263">
        <v>77022810853.220001</v>
      </c>
      <c r="G199" s="1263">
        <v>0</v>
      </c>
      <c r="H199" s="1263">
        <v>25621791.370000001</v>
      </c>
    </row>
    <row r="200" spans="1:8" s="988" customFormat="1" ht="13.8">
      <c r="A200" s="854" t="s">
        <v>609</v>
      </c>
      <c r="B200" s="854" t="s">
        <v>4349</v>
      </c>
      <c r="C200" s="1262">
        <v>0</v>
      </c>
      <c r="D200" s="1262">
        <v>0</v>
      </c>
      <c r="E200" s="1263">
        <v>194847371.06999999</v>
      </c>
      <c r="F200" s="1263">
        <v>194678595.75</v>
      </c>
      <c r="G200" s="1263">
        <v>0</v>
      </c>
      <c r="H200" s="1263">
        <v>0</v>
      </c>
    </row>
    <row r="201" spans="1:8" ht="13.8">
      <c r="A201" s="854" t="s">
        <v>678</v>
      </c>
      <c r="B201" s="854" t="s">
        <v>4214</v>
      </c>
      <c r="C201" s="1262">
        <v>0</v>
      </c>
      <c r="D201" s="1262">
        <v>625253196.5</v>
      </c>
      <c r="E201" s="1263">
        <v>9636.2000000000007</v>
      </c>
      <c r="F201" s="1263">
        <v>631163613.94000006</v>
      </c>
      <c r="G201" s="1263">
        <v>0</v>
      </c>
      <c r="H201" s="1263">
        <v>633103851.69000006</v>
      </c>
    </row>
    <row r="202" spans="1:8" s="988" customFormat="1" ht="13.8">
      <c r="A202" s="854" t="s">
        <v>965</v>
      </c>
      <c r="B202" s="854" t="s">
        <v>4215</v>
      </c>
      <c r="C202" s="1262">
        <v>0</v>
      </c>
      <c r="D202" s="1262">
        <v>0</v>
      </c>
      <c r="E202" s="1263">
        <v>25880552595.48</v>
      </c>
      <c r="F202" s="1263">
        <v>25885781597.139999</v>
      </c>
      <c r="G202" s="1263">
        <v>0</v>
      </c>
      <c r="H202" s="1263">
        <v>5229001.66</v>
      </c>
    </row>
    <row r="203" spans="1:8" ht="13.8">
      <c r="A203" s="854" t="s">
        <v>4105</v>
      </c>
      <c r="B203" s="854" t="s">
        <v>4216</v>
      </c>
      <c r="C203" s="1262">
        <v>0</v>
      </c>
      <c r="D203" s="1262">
        <v>0</v>
      </c>
      <c r="E203" s="1263">
        <v>159833024518.45999</v>
      </c>
      <c r="F203" s="1263">
        <v>159833024518.45999</v>
      </c>
      <c r="G203" s="1263">
        <v>0</v>
      </c>
      <c r="H203" s="1263">
        <v>0</v>
      </c>
    </row>
    <row r="204" spans="1:8" ht="13.8">
      <c r="A204" s="854" t="s">
        <v>679</v>
      </c>
      <c r="B204" s="854" t="s">
        <v>680</v>
      </c>
      <c r="C204" s="1262">
        <v>0</v>
      </c>
      <c r="D204" s="1262">
        <v>453311468.13999999</v>
      </c>
      <c r="E204" s="1263">
        <v>21980786118.089996</v>
      </c>
      <c r="F204" s="1263">
        <v>22362705895.059998</v>
      </c>
      <c r="G204" s="1263">
        <v>0</v>
      </c>
      <c r="H204" s="1263">
        <v>381919776.97000003</v>
      </c>
    </row>
    <row r="205" spans="1:8" s="988" customFormat="1" ht="13.8">
      <c r="A205" s="984" t="s">
        <v>186</v>
      </c>
      <c r="B205" s="984" t="s">
        <v>966</v>
      </c>
      <c r="C205" s="1264">
        <v>0</v>
      </c>
      <c r="D205" s="1264">
        <v>1353171088.8800001</v>
      </c>
      <c r="E205" s="1265">
        <v>339504659440.79999</v>
      </c>
      <c r="F205" s="1265">
        <v>340703938176.48004</v>
      </c>
      <c r="G205" s="1265">
        <v>0</v>
      </c>
      <c r="H205" s="1265">
        <v>1203462298.02</v>
      </c>
    </row>
    <row r="206" spans="1:8" ht="13.8">
      <c r="A206" s="984" t="s">
        <v>186</v>
      </c>
      <c r="B206" s="984" t="s">
        <v>967</v>
      </c>
      <c r="C206" s="1264">
        <v>0</v>
      </c>
      <c r="D206" s="1264">
        <v>374586187723.21002</v>
      </c>
      <c r="E206" s="1265">
        <v>2830684328075.1304</v>
      </c>
      <c r="F206" s="1265">
        <v>3238581303065.1997</v>
      </c>
      <c r="G206" s="1265">
        <v>0</v>
      </c>
      <c r="H206" s="1265">
        <v>409812558721.31</v>
      </c>
    </row>
    <row r="207" spans="1:8" s="988" customFormat="1" ht="13.8">
      <c r="A207" s="985"/>
      <c r="B207" s="986"/>
      <c r="C207" s="1269"/>
      <c r="D207" s="1269"/>
      <c r="E207" s="1269"/>
      <c r="F207" s="1269"/>
      <c r="G207" s="1269"/>
      <c r="H207" s="1269"/>
    </row>
    <row r="208" spans="1:8" ht="13.8">
      <c r="A208" s="983" t="s">
        <v>968</v>
      </c>
      <c r="B208" s="983"/>
      <c r="C208" s="1269"/>
      <c r="D208" s="1269"/>
      <c r="E208" s="1269"/>
      <c r="F208" s="1269"/>
      <c r="G208" s="1269"/>
      <c r="H208" s="1269"/>
    </row>
    <row r="209" spans="1:8" s="988" customFormat="1" ht="13.8">
      <c r="A209" s="854" t="s">
        <v>684</v>
      </c>
      <c r="B209" s="854" t="s">
        <v>4108</v>
      </c>
      <c r="C209" s="1262">
        <v>0</v>
      </c>
      <c r="D209" s="1262">
        <v>39236634.710000001</v>
      </c>
      <c r="E209" s="1263">
        <v>0</v>
      </c>
      <c r="F209" s="1263">
        <v>39236634.710000001</v>
      </c>
      <c r="G209" s="1263">
        <v>0</v>
      </c>
      <c r="H209" s="1263">
        <v>39236634.710000001</v>
      </c>
    </row>
    <row r="210" spans="1:8" ht="13.8">
      <c r="A210" s="854" t="s">
        <v>686</v>
      </c>
      <c r="B210" s="854" t="s">
        <v>687</v>
      </c>
      <c r="C210" s="1262">
        <v>0</v>
      </c>
      <c r="D210" s="1262">
        <v>110657500</v>
      </c>
      <c r="E210" s="1263">
        <v>4638056.2</v>
      </c>
      <c r="F210" s="1263">
        <v>104835441.45</v>
      </c>
      <c r="G210" s="1263">
        <v>0</v>
      </c>
      <c r="H210" s="1263">
        <v>100197385.25</v>
      </c>
    </row>
    <row r="211" spans="1:8" s="988" customFormat="1" ht="13.8">
      <c r="A211" s="984" t="s">
        <v>186</v>
      </c>
      <c r="B211" s="984" t="s">
        <v>969</v>
      </c>
      <c r="C211" s="1264">
        <v>0</v>
      </c>
      <c r="D211" s="1264">
        <v>149894134.71000001</v>
      </c>
      <c r="E211" s="1265">
        <v>4638056.2</v>
      </c>
      <c r="F211" s="1265">
        <v>144072076.16</v>
      </c>
      <c r="G211" s="1265">
        <v>0</v>
      </c>
      <c r="H211" s="1265">
        <v>139434019.96000001</v>
      </c>
    </row>
    <row r="212" spans="1:8" ht="13.8">
      <c r="A212" s="854" t="s">
        <v>688</v>
      </c>
      <c r="B212" s="854" t="s">
        <v>689</v>
      </c>
      <c r="C212" s="1262">
        <v>32881510162.549999</v>
      </c>
      <c r="D212" s="1262">
        <v>3062129783.3800001</v>
      </c>
      <c r="E212" s="1263">
        <v>33056204723.77</v>
      </c>
      <c r="F212" s="1263">
        <v>9412059063.3800011</v>
      </c>
      <c r="G212" s="1263">
        <v>33051680036.010002</v>
      </c>
      <c r="H212" s="1263">
        <v>9407534375.6200008</v>
      </c>
    </row>
    <row r="213" spans="1:8" ht="13.8">
      <c r="A213" s="854" t="s">
        <v>690</v>
      </c>
      <c r="B213" s="854" t="s">
        <v>691</v>
      </c>
      <c r="C213" s="1262">
        <v>14615970784.030001</v>
      </c>
      <c r="D213" s="1262">
        <v>16365039999.549999</v>
      </c>
      <c r="E213" s="1263">
        <v>55987093211.989998</v>
      </c>
      <c r="F213" s="1263">
        <v>55987093211.989998</v>
      </c>
      <c r="G213" s="1263">
        <v>15742460330.84</v>
      </c>
      <c r="H213" s="1263">
        <v>15887074465.799999</v>
      </c>
    </row>
    <row r="214" spans="1:8" s="988" customFormat="1" ht="13.8">
      <c r="A214" s="984" t="s">
        <v>186</v>
      </c>
      <c r="B214" s="984" t="s">
        <v>970</v>
      </c>
      <c r="C214" s="1264">
        <v>47497480946.580002</v>
      </c>
      <c r="D214" s="1264">
        <v>19427169782.93</v>
      </c>
      <c r="E214" s="1265">
        <v>89043297935.76001</v>
      </c>
      <c r="F214" s="1265">
        <v>65399152275.370003</v>
      </c>
      <c r="G214" s="1265">
        <v>48794140366.849998</v>
      </c>
      <c r="H214" s="1265">
        <v>25294608841.419998</v>
      </c>
    </row>
    <row r="215" spans="1:8" ht="13.8">
      <c r="A215" s="984" t="s">
        <v>186</v>
      </c>
      <c r="B215" s="984" t="s">
        <v>971</v>
      </c>
      <c r="C215" s="1264">
        <v>47497480946.580002</v>
      </c>
      <c r="D215" s="1264">
        <v>19577063917.639999</v>
      </c>
      <c r="E215" s="1265">
        <v>89047935991.960007</v>
      </c>
      <c r="F215" s="1265">
        <v>65543224351.529999</v>
      </c>
      <c r="G215" s="1265">
        <v>48794140366.849998</v>
      </c>
      <c r="H215" s="1265">
        <v>25434042861.380001</v>
      </c>
    </row>
    <row r="216" spans="1:8" s="988" customFormat="1" ht="13.8">
      <c r="A216" s="985"/>
      <c r="B216" s="986"/>
      <c r="C216" s="1269"/>
      <c r="D216" s="1269"/>
      <c r="E216" s="1269"/>
      <c r="F216" s="1269"/>
      <c r="G216" s="1269"/>
      <c r="H216" s="1269"/>
    </row>
    <row r="217" spans="1:8" ht="13.8">
      <c r="A217" s="983" t="s">
        <v>972</v>
      </c>
      <c r="B217" s="983"/>
      <c r="C217" s="1269"/>
      <c r="D217" s="1269"/>
      <c r="E217" s="1269"/>
      <c r="F217" s="1269"/>
      <c r="G217" s="1269"/>
      <c r="H217" s="1269"/>
    </row>
    <row r="218" spans="1:8" ht="13.8">
      <c r="A218" s="854" t="s">
        <v>2859</v>
      </c>
      <c r="B218" s="854" t="s">
        <v>2860</v>
      </c>
      <c r="C218" s="1262">
        <v>0</v>
      </c>
      <c r="D218" s="1262">
        <v>7473667.3399999999</v>
      </c>
      <c r="E218" s="1263">
        <v>205461496.21000001</v>
      </c>
      <c r="F218" s="1263">
        <v>230052028.29999998</v>
      </c>
      <c r="G218" s="1263">
        <v>0</v>
      </c>
      <c r="H218" s="1263">
        <v>24590532.09</v>
      </c>
    </row>
    <row r="219" spans="1:8" ht="13.8">
      <c r="A219" s="854" t="s">
        <v>692</v>
      </c>
      <c r="B219" s="854" t="s">
        <v>693</v>
      </c>
      <c r="C219" s="1262">
        <v>0</v>
      </c>
      <c r="D219" s="1262">
        <v>646766719.87</v>
      </c>
      <c r="E219" s="1263">
        <v>1399954772.49</v>
      </c>
      <c r="F219" s="1263">
        <v>1878521443.8799999</v>
      </c>
      <c r="G219" s="1263">
        <v>0</v>
      </c>
      <c r="H219" s="1263">
        <v>478566671.38999999</v>
      </c>
    </row>
    <row r="220" spans="1:8" ht="13.8">
      <c r="A220" s="984" t="s">
        <v>186</v>
      </c>
      <c r="B220" s="984" t="s">
        <v>973</v>
      </c>
      <c r="C220" s="1264">
        <v>0</v>
      </c>
      <c r="D220" s="1264">
        <v>654240387.21000004</v>
      </c>
      <c r="E220" s="1265">
        <v>1605416268.7</v>
      </c>
      <c r="F220" s="1265">
        <v>2108573472.1800001</v>
      </c>
      <c r="G220" s="1265">
        <v>0</v>
      </c>
      <c r="H220" s="1265">
        <v>503157203.48000002</v>
      </c>
    </row>
    <row r="221" spans="1:8" ht="13.8">
      <c r="A221" s="854" t="s">
        <v>470</v>
      </c>
      <c r="B221" s="854" t="s">
        <v>471</v>
      </c>
      <c r="C221" s="1262">
        <v>0</v>
      </c>
      <c r="D221" s="1262">
        <v>4887899.92</v>
      </c>
      <c r="E221" s="1263">
        <v>18825162.460000001</v>
      </c>
      <c r="F221" s="1263">
        <v>21729613.109999999</v>
      </c>
      <c r="G221" s="1263">
        <v>0</v>
      </c>
      <c r="H221" s="1263">
        <v>2904450.65</v>
      </c>
    </row>
    <row r="222" spans="1:8" ht="13.8">
      <c r="A222" s="984" t="s">
        <v>186</v>
      </c>
      <c r="B222" s="984" t="s">
        <v>974</v>
      </c>
      <c r="C222" s="1264">
        <v>0</v>
      </c>
      <c r="D222" s="1264">
        <v>4887899.92</v>
      </c>
      <c r="E222" s="1265">
        <v>18825162.460000001</v>
      </c>
      <c r="F222" s="1265">
        <v>21729613.109999999</v>
      </c>
      <c r="G222" s="1265">
        <v>0</v>
      </c>
      <c r="H222" s="1265">
        <v>2904450.65</v>
      </c>
    </row>
    <row r="223" spans="1:8" s="988" customFormat="1" ht="13.8">
      <c r="A223" s="854" t="s">
        <v>4350</v>
      </c>
      <c r="B223" s="854" t="s">
        <v>4351</v>
      </c>
      <c r="C223" s="1262">
        <v>0</v>
      </c>
      <c r="D223" s="1262">
        <v>380956.07</v>
      </c>
      <c r="E223" s="1263">
        <v>380956.07</v>
      </c>
      <c r="F223" s="1263">
        <v>380956.07</v>
      </c>
      <c r="G223" s="1263">
        <v>0</v>
      </c>
      <c r="H223" s="1263">
        <v>0</v>
      </c>
    </row>
    <row r="224" spans="1:8" ht="13.8">
      <c r="A224" s="984" t="s">
        <v>186</v>
      </c>
      <c r="B224" s="984" t="s">
        <v>4352</v>
      </c>
      <c r="C224" s="1264">
        <v>0</v>
      </c>
      <c r="D224" s="1264">
        <v>380956.07</v>
      </c>
      <c r="E224" s="1265">
        <v>380956.07</v>
      </c>
      <c r="F224" s="1265">
        <v>380956.07</v>
      </c>
      <c r="G224" s="1265">
        <v>0</v>
      </c>
      <c r="H224" s="1265">
        <v>0</v>
      </c>
    </row>
    <row r="225" spans="1:8" ht="13.8">
      <c r="A225" s="854" t="s">
        <v>696</v>
      </c>
      <c r="B225" s="854" t="s">
        <v>1104</v>
      </c>
      <c r="C225" s="1262">
        <v>0</v>
      </c>
      <c r="D225" s="1262">
        <v>110539812.31999999</v>
      </c>
      <c r="E225" s="1263">
        <v>177464169.75</v>
      </c>
      <c r="F225" s="1263">
        <v>177464169.75</v>
      </c>
      <c r="G225" s="1263">
        <v>0</v>
      </c>
      <c r="H225" s="1263">
        <v>0</v>
      </c>
    </row>
    <row r="226" spans="1:8" s="988" customFormat="1" ht="13.8">
      <c r="A226" s="854" t="s">
        <v>697</v>
      </c>
      <c r="B226" s="854" t="s">
        <v>1105</v>
      </c>
      <c r="C226" s="1262">
        <v>0</v>
      </c>
      <c r="D226" s="1262">
        <v>2481098849.9000001</v>
      </c>
      <c r="E226" s="1263">
        <v>3249625534.8899999</v>
      </c>
      <c r="F226" s="1263">
        <v>3634571762.75</v>
      </c>
      <c r="G226" s="1263">
        <v>0</v>
      </c>
      <c r="H226" s="1263">
        <v>384946227.86000001</v>
      </c>
    </row>
    <row r="227" spans="1:8" ht="13.8">
      <c r="A227" s="984" t="s">
        <v>186</v>
      </c>
      <c r="B227" s="984" t="s">
        <v>975</v>
      </c>
      <c r="C227" s="1264">
        <v>0</v>
      </c>
      <c r="D227" s="1264">
        <v>2591638662.2199998</v>
      </c>
      <c r="E227" s="1265">
        <v>3427089704.6399999</v>
      </c>
      <c r="F227" s="1265">
        <v>3812035932.5</v>
      </c>
      <c r="G227" s="1265">
        <v>0</v>
      </c>
      <c r="H227" s="1265">
        <v>384946227.86000001</v>
      </c>
    </row>
    <row r="228" spans="1:8" ht="13.8">
      <c r="A228" s="854" t="s">
        <v>698</v>
      </c>
      <c r="B228" s="854" t="s">
        <v>699</v>
      </c>
      <c r="C228" s="1262">
        <v>0</v>
      </c>
      <c r="D228" s="1262">
        <v>42903027.140000001</v>
      </c>
      <c r="E228" s="1263">
        <v>213016848.61000001</v>
      </c>
      <c r="F228" s="1263">
        <v>261260048.76000002</v>
      </c>
      <c r="G228" s="1263">
        <v>0</v>
      </c>
      <c r="H228" s="1263">
        <v>48243200.149999999</v>
      </c>
    </row>
    <row r="229" spans="1:8" ht="13.8">
      <c r="A229" s="984" t="s">
        <v>186</v>
      </c>
      <c r="B229" s="984" t="s">
        <v>976</v>
      </c>
      <c r="C229" s="1264">
        <v>0</v>
      </c>
      <c r="D229" s="1264">
        <v>42903027.140000001</v>
      </c>
      <c r="E229" s="1265">
        <v>213016848.61000001</v>
      </c>
      <c r="F229" s="1265">
        <v>261260048.76000002</v>
      </c>
      <c r="G229" s="1265">
        <v>0</v>
      </c>
      <c r="H229" s="1265">
        <v>48243200.149999999</v>
      </c>
    </row>
    <row r="230" spans="1:8" s="988" customFormat="1" ht="13.8">
      <c r="A230" s="854" t="s">
        <v>700</v>
      </c>
      <c r="B230" s="854" t="s">
        <v>701</v>
      </c>
      <c r="C230" s="1262">
        <v>0</v>
      </c>
      <c r="D230" s="1262">
        <v>2905997426.8600001</v>
      </c>
      <c r="E230" s="1263">
        <v>17216493594.700001</v>
      </c>
      <c r="F230" s="1263">
        <v>22879405582.360001</v>
      </c>
      <c r="G230" s="1263">
        <v>0</v>
      </c>
      <c r="H230" s="1263">
        <v>5662911987.6599998</v>
      </c>
    </row>
    <row r="231" spans="1:8" s="988" customFormat="1" ht="13.8">
      <c r="A231" s="984" t="s">
        <v>186</v>
      </c>
      <c r="B231" s="984" t="s">
        <v>977</v>
      </c>
      <c r="C231" s="1264">
        <v>0</v>
      </c>
      <c r="D231" s="1264">
        <v>2905997426.8600001</v>
      </c>
      <c r="E231" s="1265">
        <v>17216493594.700001</v>
      </c>
      <c r="F231" s="1265">
        <v>22879405582.360001</v>
      </c>
      <c r="G231" s="1265">
        <v>0</v>
      </c>
      <c r="H231" s="1265">
        <v>5662911987.6599998</v>
      </c>
    </row>
    <row r="232" spans="1:8" ht="13.8">
      <c r="A232" s="854" t="s">
        <v>4282</v>
      </c>
      <c r="B232" s="854" t="s">
        <v>4353</v>
      </c>
      <c r="C232" s="1262">
        <v>0</v>
      </c>
      <c r="D232" s="1262">
        <v>31061774.25</v>
      </c>
      <c r="E232" s="1263">
        <v>31061774.25</v>
      </c>
      <c r="F232" s="1263">
        <v>31061774.25</v>
      </c>
      <c r="G232" s="1263">
        <v>0</v>
      </c>
      <c r="H232" s="1263">
        <v>0</v>
      </c>
    </row>
    <row r="233" spans="1:8" ht="13.8">
      <c r="A233" s="984" t="s">
        <v>186</v>
      </c>
      <c r="B233" s="984" t="s">
        <v>4283</v>
      </c>
      <c r="C233" s="1264">
        <v>0</v>
      </c>
      <c r="D233" s="1264">
        <v>31061774.25</v>
      </c>
      <c r="E233" s="1265">
        <v>31061774.25</v>
      </c>
      <c r="F233" s="1265">
        <v>31061774.25</v>
      </c>
      <c r="G233" s="1265">
        <v>0</v>
      </c>
      <c r="H233" s="1265">
        <v>0</v>
      </c>
    </row>
    <row r="234" spans="1:8" ht="13.8">
      <c r="A234" s="854" t="s">
        <v>703</v>
      </c>
      <c r="B234" s="854" t="s">
        <v>1106</v>
      </c>
      <c r="C234" s="1262">
        <v>0</v>
      </c>
      <c r="D234" s="1262">
        <v>1714842924.27</v>
      </c>
      <c r="E234" s="1263">
        <v>6192865063.4899998</v>
      </c>
      <c r="F234" s="1263">
        <v>7550985997.2799997</v>
      </c>
      <c r="G234" s="1263">
        <v>0</v>
      </c>
      <c r="H234" s="1263">
        <v>1358120933.7900002</v>
      </c>
    </row>
    <row r="235" spans="1:8" s="988" customFormat="1" ht="13.8">
      <c r="A235" s="854" t="s">
        <v>2</v>
      </c>
      <c r="B235" s="854" t="s">
        <v>4284</v>
      </c>
      <c r="C235" s="1262">
        <v>0</v>
      </c>
      <c r="D235" s="1262">
        <v>331227500.44</v>
      </c>
      <c r="E235" s="1263">
        <v>5761665805.21</v>
      </c>
      <c r="F235" s="1263">
        <v>7470463744.79</v>
      </c>
      <c r="G235" s="1263">
        <v>0</v>
      </c>
      <c r="H235" s="1263">
        <v>1708797939.5799999</v>
      </c>
    </row>
    <row r="236" spans="1:8" ht="13.8">
      <c r="A236" s="984" t="s">
        <v>186</v>
      </c>
      <c r="B236" s="984" t="s">
        <v>978</v>
      </c>
      <c r="C236" s="1264">
        <v>0</v>
      </c>
      <c r="D236" s="1264">
        <v>2046070424.71</v>
      </c>
      <c r="E236" s="1265">
        <v>11954530868.700001</v>
      </c>
      <c r="F236" s="1265">
        <v>15021449742.07</v>
      </c>
      <c r="G236" s="1265">
        <v>0</v>
      </c>
      <c r="H236" s="1265">
        <v>3066918873.3699999</v>
      </c>
    </row>
    <row r="237" spans="1:8" s="988" customFormat="1" ht="13.8">
      <c r="A237" s="854" t="s">
        <v>413</v>
      </c>
      <c r="B237" s="854" t="s">
        <v>4248</v>
      </c>
      <c r="C237" s="1262">
        <v>0</v>
      </c>
      <c r="D237" s="1262">
        <v>13682452.609999999</v>
      </c>
      <c r="E237" s="1263">
        <v>20950455.100000001</v>
      </c>
      <c r="F237" s="1263">
        <v>22822845.300000001</v>
      </c>
      <c r="G237" s="1263">
        <v>0</v>
      </c>
      <c r="H237" s="1263">
        <v>1872390.2</v>
      </c>
    </row>
    <row r="238" spans="1:8" ht="13.8">
      <c r="A238" s="984" t="s">
        <v>186</v>
      </c>
      <c r="B238" s="984" t="s">
        <v>4249</v>
      </c>
      <c r="C238" s="1264">
        <v>0</v>
      </c>
      <c r="D238" s="1264">
        <v>13682452.609999999</v>
      </c>
      <c r="E238" s="1265">
        <v>20950455.100000001</v>
      </c>
      <c r="F238" s="1265">
        <v>22822845.300000001</v>
      </c>
      <c r="G238" s="1265">
        <v>0</v>
      </c>
      <c r="H238" s="1265">
        <v>1872390.2</v>
      </c>
    </row>
    <row r="239" spans="1:8" ht="13.8">
      <c r="A239" s="854" t="s">
        <v>704</v>
      </c>
      <c r="B239" s="854" t="s">
        <v>4354</v>
      </c>
      <c r="C239" s="1262">
        <v>0</v>
      </c>
      <c r="D239" s="1262">
        <v>67397260.269999996</v>
      </c>
      <c r="E239" s="1263">
        <v>2579506849.3099999</v>
      </c>
      <c r="F239" s="1263">
        <v>2659643835.6100001</v>
      </c>
      <c r="G239" s="1263">
        <v>0</v>
      </c>
      <c r="H239" s="1263">
        <v>80136986.299999997</v>
      </c>
    </row>
    <row r="240" spans="1:8" ht="13.8">
      <c r="A240" s="984" t="s">
        <v>186</v>
      </c>
      <c r="B240" s="984" t="s">
        <v>4355</v>
      </c>
      <c r="C240" s="1264">
        <v>0</v>
      </c>
      <c r="D240" s="1264">
        <v>67397260.269999996</v>
      </c>
      <c r="E240" s="1265">
        <v>2579506849.3099999</v>
      </c>
      <c r="F240" s="1265">
        <v>2659643835.6100001</v>
      </c>
      <c r="G240" s="1265">
        <v>0</v>
      </c>
      <c r="H240" s="1265">
        <v>80136986.299999997</v>
      </c>
    </row>
    <row r="241" spans="1:8" s="988" customFormat="1" ht="13.8">
      <c r="A241" s="854" t="s">
        <v>4356</v>
      </c>
      <c r="B241" s="854" t="s">
        <v>4357</v>
      </c>
      <c r="C241" s="1262">
        <v>0</v>
      </c>
      <c r="D241" s="1262">
        <v>0</v>
      </c>
      <c r="E241" s="1263">
        <v>0</v>
      </c>
      <c r="F241" s="1263">
        <v>2610.4</v>
      </c>
      <c r="G241" s="1263">
        <v>0</v>
      </c>
      <c r="H241" s="1263">
        <v>2610.4</v>
      </c>
    </row>
    <row r="242" spans="1:8" ht="13.8">
      <c r="A242" s="854" t="s">
        <v>979</v>
      </c>
      <c r="B242" s="854" t="s">
        <v>980</v>
      </c>
      <c r="C242" s="1262">
        <v>0</v>
      </c>
      <c r="D242" s="1262">
        <v>100492671.64</v>
      </c>
      <c r="E242" s="1263">
        <v>100504614.36</v>
      </c>
      <c r="F242" s="1263">
        <v>100504614.36</v>
      </c>
      <c r="G242" s="1263">
        <v>0</v>
      </c>
      <c r="H242" s="1263">
        <v>0</v>
      </c>
    </row>
    <row r="243" spans="1:8" s="988" customFormat="1" ht="13.8">
      <c r="A243" s="854" t="s">
        <v>706</v>
      </c>
      <c r="B243" s="854" t="s">
        <v>4217</v>
      </c>
      <c r="C243" s="1262">
        <v>0</v>
      </c>
      <c r="D243" s="1262">
        <v>517719492.86000001</v>
      </c>
      <c r="E243" s="1263">
        <v>2715722941</v>
      </c>
      <c r="F243" s="1263">
        <v>3415619981.0899997</v>
      </c>
      <c r="G243" s="1263">
        <v>0</v>
      </c>
      <c r="H243" s="1263">
        <v>699897040.09000003</v>
      </c>
    </row>
    <row r="244" spans="1:8" ht="13.8">
      <c r="A244" s="854" t="s">
        <v>707</v>
      </c>
      <c r="B244" s="854" t="s">
        <v>4218</v>
      </c>
      <c r="C244" s="1262">
        <v>0</v>
      </c>
      <c r="D244" s="1262">
        <v>42499955.799999997</v>
      </c>
      <c r="E244" s="1263">
        <v>252424954.95000002</v>
      </c>
      <c r="F244" s="1263">
        <v>312688884.19</v>
      </c>
      <c r="G244" s="1263">
        <v>0</v>
      </c>
      <c r="H244" s="1263">
        <v>60263929.239999995</v>
      </c>
    </row>
    <row r="245" spans="1:8" s="988" customFormat="1" ht="13.8">
      <c r="A245" s="854" t="s">
        <v>4244</v>
      </c>
      <c r="B245" s="854" t="s">
        <v>4245</v>
      </c>
      <c r="C245" s="1262">
        <v>0</v>
      </c>
      <c r="D245" s="1262">
        <v>0</v>
      </c>
      <c r="E245" s="1263">
        <v>255745877.11000001</v>
      </c>
      <c r="F245" s="1263">
        <v>1041085244.52</v>
      </c>
      <c r="G245" s="1263">
        <v>0</v>
      </c>
      <c r="H245" s="1263">
        <v>785339367.40999997</v>
      </c>
    </row>
    <row r="246" spans="1:8" ht="13.8">
      <c r="A246" s="854" t="s">
        <v>8</v>
      </c>
      <c r="B246" s="854" t="s">
        <v>9</v>
      </c>
      <c r="C246" s="1262">
        <v>0</v>
      </c>
      <c r="D246" s="1262">
        <v>477305935.44</v>
      </c>
      <c r="E246" s="1263">
        <v>2085401429.25</v>
      </c>
      <c r="F246" s="1263">
        <v>2904608332.8900003</v>
      </c>
      <c r="G246" s="1263">
        <v>0</v>
      </c>
      <c r="H246" s="1263">
        <v>819206903.63999999</v>
      </c>
    </row>
    <row r="247" spans="1:8" ht="13.8">
      <c r="A247" s="984" t="s">
        <v>186</v>
      </c>
      <c r="B247" s="984" t="s">
        <v>981</v>
      </c>
      <c r="C247" s="1264">
        <v>0</v>
      </c>
      <c r="D247" s="1264">
        <v>1138018055.74</v>
      </c>
      <c r="E247" s="1265">
        <v>5409799816.6700001</v>
      </c>
      <c r="F247" s="1265">
        <v>7774509667.4499998</v>
      </c>
      <c r="G247" s="1265">
        <v>0</v>
      </c>
      <c r="H247" s="1265">
        <v>2364709850.7800002</v>
      </c>
    </row>
    <row r="248" spans="1:8" s="988" customFormat="1" ht="13.8">
      <c r="A248" s="854" t="s">
        <v>10</v>
      </c>
      <c r="B248" s="854" t="s">
        <v>982</v>
      </c>
      <c r="C248" s="1262">
        <v>0</v>
      </c>
      <c r="D248" s="1262">
        <v>391177722.94</v>
      </c>
      <c r="E248" s="1263">
        <v>2104676391.3199999</v>
      </c>
      <c r="F248" s="1263">
        <v>2471401524.71</v>
      </c>
      <c r="G248" s="1263">
        <v>0</v>
      </c>
      <c r="H248" s="1263">
        <v>366725133.38999999</v>
      </c>
    </row>
    <row r="249" spans="1:8" ht="13.8">
      <c r="A249" s="854" t="s">
        <v>4118</v>
      </c>
      <c r="B249" s="854" t="s">
        <v>4219</v>
      </c>
      <c r="C249" s="1262">
        <v>0</v>
      </c>
      <c r="D249" s="1262">
        <v>1047859.43</v>
      </c>
      <c r="E249" s="1263">
        <v>683236371.27999997</v>
      </c>
      <c r="F249" s="1263">
        <v>1389014206.5400002</v>
      </c>
      <c r="G249" s="1263">
        <v>0</v>
      </c>
      <c r="H249" s="1263">
        <v>705777835.25999999</v>
      </c>
    </row>
    <row r="250" spans="1:8" ht="13.8">
      <c r="A250" s="984" t="s">
        <v>186</v>
      </c>
      <c r="B250" s="984" t="s">
        <v>983</v>
      </c>
      <c r="C250" s="1264">
        <v>0</v>
      </c>
      <c r="D250" s="1264">
        <v>392225582.37</v>
      </c>
      <c r="E250" s="1265">
        <v>2787912762.5999999</v>
      </c>
      <c r="F250" s="1265">
        <v>3860415731.25</v>
      </c>
      <c r="G250" s="1265">
        <v>0</v>
      </c>
      <c r="H250" s="1265">
        <v>1072502968.6500001</v>
      </c>
    </row>
    <row r="251" spans="1:8" s="988" customFormat="1" ht="13.8">
      <c r="A251" s="854" t="s">
        <v>4285</v>
      </c>
      <c r="B251" s="854" t="s">
        <v>4286</v>
      </c>
      <c r="C251" s="1262">
        <v>0</v>
      </c>
      <c r="D251" s="1262">
        <v>0</v>
      </c>
      <c r="E251" s="1263">
        <v>251391202.46000001</v>
      </c>
      <c r="F251" s="1263">
        <v>339818002.45999998</v>
      </c>
      <c r="G251" s="1263">
        <v>0</v>
      </c>
      <c r="H251" s="1263">
        <v>88426800</v>
      </c>
    </row>
    <row r="252" spans="1:8" ht="13.8">
      <c r="A252" s="854" t="s">
        <v>4358</v>
      </c>
      <c r="B252" s="854" t="s">
        <v>4359</v>
      </c>
      <c r="C252" s="1262">
        <v>0</v>
      </c>
      <c r="D252" s="1262">
        <v>0</v>
      </c>
      <c r="E252" s="1263">
        <v>332061343.10000002</v>
      </c>
      <c r="F252" s="1263">
        <v>332061343.10000002</v>
      </c>
      <c r="G252" s="1263">
        <v>0</v>
      </c>
      <c r="H252" s="1263">
        <v>0</v>
      </c>
    </row>
    <row r="253" spans="1:8" s="988" customFormat="1" ht="13.8">
      <c r="A253" s="854" t="s">
        <v>2680</v>
      </c>
      <c r="B253" s="854" t="s">
        <v>2681</v>
      </c>
      <c r="C253" s="1262">
        <v>0</v>
      </c>
      <c r="D253" s="1262">
        <v>6285532239.3500004</v>
      </c>
      <c r="E253" s="1263">
        <v>9441463274.5700016</v>
      </c>
      <c r="F253" s="1263">
        <v>11764019365.559999</v>
      </c>
      <c r="G253" s="1263">
        <v>0</v>
      </c>
      <c r="H253" s="1263">
        <v>2322556090.9900002</v>
      </c>
    </row>
    <row r="254" spans="1:8" ht="13.8">
      <c r="A254" s="854" t="s">
        <v>12</v>
      </c>
      <c r="B254" s="854" t="s">
        <v>13</v>
      </c>
      <c r="C254" s="1262">
        <v>0</v>
      </c>
      <c r="D254" s="1262">
        <v>191003850.83000001</v>
      </c>
      <c r="E254" s="1263">
        <v>894401383.08000004</v>
      </c>
      <c r="F254" s="1263">
        <v>1182188818.79</v>
      </c>
      <c r="G254" s="1263">
        <v>0</v>
      </c>
      <c r="H254" s="1263">
        <v>287787435.71000004</v>
      </c>
    </row>
    <row r="255" spans="1:8" ht="13.8">
      <c r="A255" s="984" t="s">
        <v>186</v>
      </c>
      <c r="B255" s="984" t="s">
        <v>984</v>
      </c>
      <c r="C255" s="1264">
        <v>0</v>
      </c>
      <c r="D255" s="1264">
        <v>6476536090.1800003</v>
      </c>
      <c r="E255" s="1265">
        <v>10919317203.210001</v>
      </c>
      <c r="F255" s="1265">
        <v>13618087529.91</v>
      </c>
      <c r="G255" s="1265">
        <v>0</v>
      </c>
      <c r="H255" s="1265">
        <v>2698770326.7000003</v>
      </c>
    </row>
    <row r="256" spans="1:8" ht="13.8">
      <c r="A256" s="984" t="s">
        <v>186</v>
      </c>
      <c r="B256" s="984" t="s">
        <v>985</v>
      </c>
      <c r="C256" s="1264">
        <v>0</v>
      </c>
      <c r="D256" s="1264">
        <v>16365039999.549999</v>
      </c>
      <c r="E256" s="1265">
        <v>56184302265.020004</v>
      </c>
      <c r="F256" s="1265">
        <v>72071376730.820007</v>
      </c>
      <c r="G256" s="1265">
        <v>0</v>
      </c>
      <c r="H256" s="1265">
        <v>15887074465.799999</v>
      </c>
    </row>
    <row r="257" spans="1:8" ht="13.8">
      <c r="A257" s="985"/>
      <c r="B257" s="986"/>
      <c r="C257" s="1269"/>
      <c r="D257" s="1269"/>
      <c r="E257" s="1269"/>
      <c r="F257" s="1269"/>
      <c r="G257" s="1269"/>
      <c r="H257" s="1269"/>
    </row>
    <row r="258" spans="1:8" ht="13.8">
      <c r="A258" s="983" t="s">
        <v>986</v>
      </c>
      <c r="B258" s="983"/>
      <c r="C258" s="1269"/>
      <c r="D258" s="1269"/>
      <c r="E258" s="1269"/>
      <c r="F258" s="1269"/>
      <c r="G258" s="1269"/>
      <c r="H258" s="1269"/>
    </row>
    <row r="259" spans="1:8" ht="13.8">
      <c r="A259" s="854" t="s">
        <v>16</v>
      </c>
      <c r="B259" s="854" t="s">
        <v>17</v>
      </c>
      <c r="C259" s="1262">
        <v>503195540.52999997</v>
      </c>
      <c r="D259" s="1262">
        <v>0</v>
      </c>
      <c r="E259" s="1263">
        <v>2379903286.5500002</v>
      </c>
      <c r="F259" s="1263">
        <v>1949330303.24</v>
      </c>
      <c r="G259" s="1263">
        <v>430572983.31</v>
      </c>
      <c r="H259" s="1263">
        <v>0</v>
      </c>
    </row>
    <row r="260" spans="1:8" s="988" customFormat="1" ht="13.8">
      <c r="A260" s="984" t="s">
        <v>186</v>
      </c>
      <c r="B260" s="984" t="s">
        <v>987</v>
      </c>
      <c r="C260" s="1264">
        <v>503195540.52999997</v>
      </c>
      <c r="D260" s="1264">
        <v>0</v>
      </c>
      <c r="E260" s="1265">
        <v>2379903286.5500002</v>
      </c>
      <c r="F260" s="1265">
        <v>1949330303.24</v>
      </c>
      <c r="G260" s="1265">
        <v>430572983.31</v>
      </c>
      <c r="H260" s="1265">
        <v>0</v>
      </c>
    </row>
    <row r="261" spans="1:8" ht="13.8">
      <c r="A261" s="854" t="s">
        <v>4360</v>
      </c>
      <c r="B261" s="854" t="s">
        <v>4361</v>
      </c>
      <c r="C261" s="1262">
        <v>0</v>
      </c>
      <c r="D261" s="1262">
        <v>0</v>
      </c>
      <c r="E261" s="1263">
        <v>1064434336.4</v>
      </c>
      <c r="F261" s="1263">
        <v>375967123.30000001</v>
      </c>
      <c r="G261" s="1263">
        <v>688467213.10000002</v>
      </c>
      <c r="H261" s="1263">
        <v>0</v>
      </c>
    </row>
    <row r="262" spans="1:8" ht="13.8">
      <c r="A262" s="854" t="s">
        <v>4362</v>
      </c>
      <c r="B262" s="854" t="s">
        <v>4363</v>
      </c>
      <c r="C262" s="1262">
        <v>0</v>
      </c>
      <c r="D262" s="1262">
        <v>0</v>
      </c>
      <c r="E262" s="1263">
        <v>1034985717.48</v>
      </c>
      <c r="F262" s="1263">
        <v>1034985717.48</v>
      </c>
      <c r="G262" s="1263">
        <v>0</v>
      </c>
      <c r="H262" s="1263">
        <v>0</v>
      </c>
    </row>
    <row r="263" spans="1:8" ht="13.8">
      <c r="A263" s="854" t="s">
        <v>18</v>
      </c>
      <c r="B263" s="854" t="s">
        <v>19</v>
      </c>
      <c r="C263" s="1262">
        <v>822525382.03999996</v>
      </c>
      <c r="D263" s="1262">
        <v>0</v>
      </c>
      <c r="E263" s="1263">
        <v>3921302215.54</v>
      </c>
      <c r="F263" s="1263">
        <v>3230370827</v>
      </c>
      <c r="G263" s="1263">
        <v>690931388.53999996</v>
      </c>
      <c r="H263" s="1263">
        <v>0</v>
      </c>
    </row>
    <row r="264" spans="1:8" ht="13.8">
      <c r="A264" s="854" t="s">
        <v>4364</v>
      </c>
      <c r="B264" s="854" t="s">
        <v>4365</v>
      </c>
      <c r="C264" s="1262">
        <v>115623288.14</v>
      </c>
      <c r="D264" s="1262">
        <v>0</v>
      </c>
      <c r="E264" s="1263">
        <v>292572271.54000002</v>
      </c>
      <c r="F264" s="1263">
        <v>257701369.91</v>
      </c>
      <c r="G264" s="1263">
        <v>34870901.630000003</v>
      </c>
      <c r="H264" s="1263">
        <v>0</v>
      </c>
    </row>
    <row r="265" spans="1:8" s="988" customFormat="1" ht="13.8">
      <c r="A265" s="854" t="s">
        <v>4366</v>
      </c>
      <c r="B265" s="854" t="s">
        <v>4367</v>
      </c>
      <c r="C265" s="1262">
        <v>709537987.39999998</v>
      </c>
      <c r="D265" s="1262">
        <v>0</v>
      </c>
      <c r="E265" s="1263">
        <v>1632064007.3099999</v>
      </c>
      <c r="F265" s="1263">
        <v>1414245794.8699999</v>
      </c>
      <c r="G265" s="1263">
        <v>217818212.44</v>
      </c>
      <c r="H265" s="1263">
        <v>0</v>
      </c>
    </row>
    <row r="266" spans="1:8" ht="13.8">
      <c r="A266" s="854" t="s">
        <v>4287</v>
      </c>
      <c r="B266" s="854" t="s">
        <v>4288</v>
      </c>
      <c r="C266" s="1262">
        <v>39452054.799999997</v>
      </c>
      <c r="D266" s="1262">
        <v>0</v>
      </c>
      <c r="E266" s="1263">
        <v>53479452.049999997</v>
      </c>
      <c r="F266" s="1263">
        <v>53479452.049999997</v>
      </c>
      <c r="G266" s="1263">
        <v>0</v>
      </c>
      <c r="H266" s="1263">
        <v>0</v>
      </c>
    </row>
    <row r="267" spans="1:8" ht="13.8">
      <c r="A267" s="984" t="s">
        <v>186</v>
      </c>
      <c r="B267" s="984" t="s">
        <v>988</v>
      </c>
      <c r="C267" s="1264">
        <v>1687138712.3800001</v>
      </c>
      <c r="D267" s="1264">
        <v>0</v>
      </c>
      <c r="E267" s="1265">
        <v>7998838000.3199997</v>
      </c>
      <c r="F267" s="1265">
        <v>6366750284.6099997</v>
      </c>
      <c r="G267" s="1265">
        <v>1632087715.71</v>
      </c>
      <c r="H267" s="1265">
        <v>0</v>
      </c>
    </row>
    <row r="268" spans="1:8" ht="13.8">
      <c r="A268" s="854" t="s">
        <v>414</v>
      </c>
      <c r="B268" s="854" t="s">
        <v>4289</v>
      </c>
      <c r="C268" s="1262">
        <v>477392.47</v>
      </c>
      <c r="D268" s="1262">
        <v>0</v>
      </c>
      <c r="E268" s="1263">
        <v>7021703.3700000001</v>
      </c>
      <c r="F268" s="1263">
        <v>687618.14</v>
      </c>
      <c r="G268" s="1263">
        <v>6334085.2300000004</v>
      </c>
      <c r="H268" s="1263">
        <v>0</v>
      </c>
    </row>
    <row r="269" spans="1:8" ht="13.8">
      <c r="A269" s="984" t="s">
        <v>186</v>
      </c>
      <c r="B269" s="984" t="s">
        <v>4290</v>
      </c>
      <c r="C269" s="1264">
        <v>477392.47</v>
      </c>
      <c r="D269" s="1264">
        <v>0</v>
      </c>
      <c r="E269" s="1265">
        <v>7021703.3700000001</v>
      </c>
      <c r="F269" s="1265">
        <v>687618.14</v>
      </c>
      <c r="G269" s="1265">
        <v>6334085.2300000004</v>
      </c>
      <c r="H269" s="1265">
        <v>0</v>
      </c>
    </row>
    <row r="270" spans="1:8" s="988" customFormat="1" ht="13.8">
      <c r="A270" s="854" t="s">
        <v>77</v>
      </c>
      <c r="B270" s="854" t="s">
        <v>4220</v>
      </c>
      <c r="C270" s="1262">
        <v>3056148751.3699999</v>
      </c>
      <c r="D270" s="1262">
        <v>0</v>
      </c>
      <c r="E270" s="1263">
        <v>18407282504.509998</v>
      </c>
      <c r="F270" s="1263">
        <v>14549271430.969999</v>
      </c>
      <c r="G270" s="1263">
        <v>3858011073.54</v>
      </c>
      <c r="H270" s="1263">
        <v>0</v>
      </c>
    </row>
    <row r="271" spans="1:8" ht="13.8">
      <c r="A271" s="984" t="s">
        <v>186</v>
      </c>
      <c r="B271" s="984" t="s">
        <v>989</v>
      </c>
      <c r="C271" s="1264">
        <v>3056148751.3699999</v>
      </c>
      <c r="D271" s="1264">
        <v>0</v>
      </c>
      <c r="E271" s="1265">
        <v>18407282504.509998</v>
      </c>
      <c r="F271" s="1265">
        <v>14549271430.969999</v>
      </c>
      <c r="G271" s="1265">
        <v>3858011073.54</v>
      </c>
      <c r="H271" s="1265">
        <v>0</v>
      </c>
    </row>
    <row r="272" spans="1:8" ht="13.8">
      <c r="A272" s="854" t="s">
        <v>4368</v>
      </c>
      <c r="B272" s="854" t="s">
        <v>4369</v>
      </c>
      <c r="C272" s="1262">
        <v>0</v>
      </c>
      <c r="D272" s="1262">
        <v>0</v>
      </c>
      <c r="E272" s="1263">
        <v>0</v>
      </c>
      <c r="F272" s="1263">
        <v>0</v>
      </c>
      <c r="G272" s="1263">
        <v>0</v>
      </c>
      <c r="H272" s="1263">
        <v>0</v>
      </c>
    </row>
    <row r="273" spans="1:8" ht="13.8">
      <c r="A273" s="854" t="s">
        <v>25</v>
      </c>
      <c r="B273" s="854" t="s">
        <v>26</v>
      </c>
      <c r="C273" s="1262">
        <v>1564913.14</v>
      </c>
      <c r="D273" s="1262">
        <v>0</v>
      </c>
      <c r="E273" s="1263">
        <v>6078097.9299999997</v>
      </c>
      <c r="F273" s="1263">
        <v>4785985.53</v>
      </c>
      <c r="G273" s="1263">
        <v>1292112.3999999999</v>
      </c>
      <c r="H273" s="1263">
        <v>0</v>
      </c>
    </row>
    <row r="274" spans="1:8" ht="13.8">
      <c r="A274" s="854" t="s">
        <v>27</v>
      </c>
      <c r="B274" s="854" t="s">
        <v>28</v>
      </c>
      <c r="C274" s="1262">
        <v>54608539.539999999</v>
      </c>
      <c r="D274" s="1262">
        <v>0</v>
      </c>
      <c r="E274" s="1263">
        <v>725538981.02999997</v>
      </c>
      <c r="F274" s="1263">
        <v>462255719.74000001</v>
      </c>
      <c r="G274" s="1263">
        <v>263283261.28999999</v>
      </c>
      <c r="H274" s="1263">
        <v>0</v>
      </c>
    </row>
    <row r="275" spans="1:8" ht="13.8">
      <c r="A275" s="984" t="s">
        <v>186</v>
      </c>
      <c r="B275" s="984" t="s">
        <v>990</v>
      </c>
      <c r="C275" s="1264">
        <v>56173452.68</v>
      </c>
      <c r="D275" s="1264">
        <v>0</v>
      </c>
      <c r="E275" s="1265">
        <v>731617078.96000004</v>
      </c>
      <c r="F275" s="1265">
        <v>467041705.26999998</v>
      </c>
      <c r="G275" s="1265">
        <v>264575373.69</v>
      </c>
      <c r="H275" s="1265">
        <v>0</v>
      </c>
    </row>
    <row r="276" spans="1:8" s="988" customFormat="1" ht="13.8">
      <c r="A276" s="854" t="s">
        <v>29</v>
      </c>
      <c r="B276" s="854" t="s">
        <v>1107</v>
      </c>
      <c r="C276" s="1262">
        <v>11564882.6</v>
      </c>
      <c r="D276" s="1262">
        <v>0</v>
      </c>
      <c r="E276" s="1263">
        <v>20677496.370000001</v>
      </c>
      <c r="F276" s="1263">
        <v>20677496.370000001</v>
      </c>
      <c r="G276" s="1263">
        <v>0</v>
      </c>
      <c r="H276" s="1263">
        <v>0</v>
      </c>
    </row>
    <row r="277" spans="1:8" ht="13.8">
      <c r="A277" s="854" t="s">
        <v>4119</v>
      </c>
      <c r="B277" s="854" t="s">
        <v>4221</v>
      </c>
      <c r="C277" s="1262">
        <v>5366534.9000000004</v>
      </c>
      <c r="D277" s="1262">
        <v>0</v>
      </c>
      <c r="E277" s="1263">
        <v>1600001195.25</v>
      </c>
      <c r="F277" s="1263">
        <v>1105913769.6600001</v>
      </c>
      <c r="G277" s="1263">
        <v>494087425.59000003</v>
      </c>
      <c r="H277" s="1263">
        <v>0</v>
      </c>
    </row>
    <row r="278" spans="1:8" s="988" customFormat="1" ht="13.8">
      <c r="A278" s="984" t="s">
        <v>186</v>
      </c>
      <c r="B278" s="984" t="s">
        <v>1108</v>
      </c>
      <c r="C278" s="1264">
        <v>16931417.5</v>
      </c>
      <c r="D278" s="1264">
        <v>0</v>
      </c>
      <c r="E278" s="1265">
        <v>1620678691.6200001</v>
      </c>
      <c r="F278" s="1265">
        <v>1126591266.03</v>
      </c>
      <c r="G278" s="1265">
        <v>494087425.59000003</v>
      </c>
      <c r="H278" s="1265">
        <v>0</v>
      </c>
    </row>
    <row r="279" spans="1:8" ht="13.8">
      <c r="A279" s="854" t="s">
        <v>2755</v>
      </c>
      <c r="B279" s="854" t="s">
        <v>2756</v>
      </c>
      <c r="C279" s="1262">
        <v>2660126.25</v>
      </c>
      <c r="D279" s="1262">
        <v>0</v>
      </c>
      <c r="E279" s="1263">
        <v>181172655.37</v>
      </c>
      <c r="F279" s="1263">
        <v>159546455.37</v>
      </c>
      <c r="G279" s="1263">
        <v>21626200</v>
      </c>
      <c r="H279" s="1263">
        <v>0</v>
      </c>
    </row>
    <row r="280" spans="1:8" ht="13.8">
      <c r="A280" s="984" t="s">
        <v>186</v>
      </c>
      <c r="B280" s="984" t="s">
        <v>2757</v>
      </c>
      <c r="C280" s="1264">
        <v>2660126.25</v>
      </c>
      <c r="D280" s="1264">
        <v>0</v>
      </c>
      <c r="E280" s="1265">
        <v>181172655.37</v>
      </c>
      <c r="F280" s="1265">
        <v>159546455.37</v>
      </c>
      <c r="G280" s="1265">
        <v>21626200</v>
      </c>
      <c r="H280" s="1265">
        <v>0</v>
      </c>
    </row>
    <row r="281" spans="1:8" ht="13.8">
      <c r="A281" s="854" t="s">
        <v>30</v>
      </c>
      <c r="B281" s="854" t="s">
        <v>31</v>
      </c>
      <c r="C281" s="1262">
        <v>1648121490.73</v>
      </c>
      <c r="D281" s="1262">
        <v>0</v>
      </c>
      <c r="E281" s="1263">
        <v>12683854893.82</v>
      </c>
      <c r="F281" s="1263">
        <v>9338210230.7600002</v>
      </c>
      <c r="G281" s="1263">
        <v>3345644663.0599999</v>
      </c>
      <c r="H281" s="1263">
        <v>0</v>
      </c>
    </row>
    <row r="282" spans="1:8" ht="13.8">
      <c r="A282" s="854" t="s">
        <v>32</v>
      </c>
      <c r="B282" s="854" t="s">
        <v>33</v>
      </c>
      <c r="C282" s="1262">
        <v>393166167.61000001</v>
      </c>
      <c r="D282" s="1262">
        <v>0</v>
      </c>
      <c r="E282" s="1263">
        <v>2083198980.05</v>
      </c>
      <c r="F282" s="1263">
        <v>1440692544.4300001</v>
      </c>
      <c r="G282" s="1263">
        <v>642506435.62</v>
      </c>
      <c r="H282" s="1263">
        <v>0</v>
      </c>
    </row>
    <row r="283" spans="1:8" s="988" customFormat="1" ht="13.8">
      <c r="A283" s="854" t="s">
        <v>35</v>
      </c>
      <c r="B283" s="854" t="s">
        <v>36</v>
      </c>
      <c r="C283" s="1262">
        <v>260731709.16999999</v>
      </c>
      <c r="D283" s="1262">
        <v>0</v>
      </c>
      <c r="E283" s="1263">
        <v>1945762868.5799999</v>
      </c>
      <c r="F283" s="1263">
        <v>1426687907.6600001</v>
      </c>
      <c r="G283" s="1263">
        <v>519074960.92000002</v>
      </c>
      <c r="H283" s="1263">
        <v>0</v>
      </c>
    </row>
    <row r="284" spans="1:8" ht="13.8">
      <c r="A284" s="854" t="s">
        <v>37</v>
      </c>
      <c r="B284" s="854" t="s">
        <v>4222</v>
      </c>
      <c r="C284" s="1262">
        <v>149611585.19999999</v>
      </c>
      <c r="D284" s="1262">
        <v>0</v>
      </c>
      <c r="E284" s="1263">
        <v>902890420.05000007</v>
      </c>
      <c r="F284" s="1263">
        <v>779434687.75999999</v>
      </c>
      <c r="G284" s="1263">
        <v>123455732.29000001</v>
      </c>
      <c r="H284" s="1263">
        <v>0</v>
      </c>
    </row>
    <row r="285" spans="1:8" ht="13.8">
      <c r="A285" s="854" t="s">
        <v>4101</v>
      </c>
      <c r="B285" s="854" t="s">
        <v>4223</v>
      </c>
      <c r="C285" s="1262">
        <v>0</v>
      </c>
      <c r="D285" s="1262">
        <v>0</v>
      </c>
      <c r="E285" s="1263">
        <v>5787537.3300000001</v>
      </c>
      <c r="F285" s="1263">
        <v>5787537.3300000001</v>
      </c>
      <c r="G285" s="1263">
        <v>0</v>
      </c>
      <c r="H285" s="1263">
        <v>0</v>
      </c>
    </row>
    <row r="286" spans="1:8" ht="13.8">
      <c r="A286" s="854" t="s">
        <v>38</v>
      </c>
      <c r="B286" s="854" t="s">
        <v>728</v>
      </c>
      <c r="C286" s="1262">
        <v>66831867.100000001</v>
      </c>
      <c r="D286" s="1262">
        <v>0</v>
      </c>
      <c r="E286" s="1263">
        <v>713427702.57999992</v>
      </c>
      <c r="F286" s="1263">
        <v>411388139.54000002</v>
      </c>
      <c r="G286" s="1263">
        <v>302039563.03999996</v>
      </c>
      <c r="H286" s="1263">
        <v>0</v>
      </c>
    </row>
    <row r="287" spans="1:8" s="988" customFormat="1" ht="13.8">
      <c r="A287" s="984" t="s">
        <v>186</v>
      </c>
      <c r="B287" s="984" t="s">
        <v>991</v>
      </c>
      <c r="C287" s="1264">
        <v>2518462819.8099999</v>
      </c>
      <c r="D287" s="1264">
        <v>0</v>
      </c>
      <c r="E287" s="1265">
        <v>18334922402.41</v>
      </c>
      <c r="F287" s="1265">
        <v>13402201047.48</v>
      </c>
      <c r="G287" s="1265">
        <v>4932721354.9300003</v>
      </c>
      <c r="H287" s="1265">
        <v>0</v>
      </c>
    </row>
    <row r="288" spans="1:8" ht="13.8">
      <c r="A288" s="854" t="s">
        <v>4370</v>
      </c>
      <c r="B288" s="854" t="s">
        <v>2861</v>
      </c>
      <c r="C288" s="1262">
        <v>28140379.5</v>
      </c>
      <c r="D288" s="1262">
        <v>0</v>
      </c>
      <c r="E288" s="1263">
        <v>210061518</v>
      </c>
      <c r="F288" s="1263">
        <v>164631391.5</v>
      </c>
      <c r="G288" s="1263">
        <v>45430126.5</v>
      </c>
      <c r="H288" s="1263">
        <v>0</v>
      </c>
    </row>
    <row r="289" spans="1:8" ht="13.8">
      <c r="A289" s="854" t="s">
        <v>4306</v>
      </c>
      <c r="B289" s="854" t="s">
        <v>4307</v>
      </c>
      <c r="C289" s="1262">
        <v>0</v>
      </c>
      <c r="D289" s="1262">
        <v>0</v>
      </c>
      <c r="E289" s="1263">
        <v>7227112</v>
      </c>
      <c r="F289" s="1263">
        <v>4130312</v>
      </c>
      <c r="G289" s="1263">
        <v>3096800</v>
      </c>
      <c r="H289" s="1263">
        <v>0</v>
      </c>
    </row>
    <row r="290" spans="1:8" ht="13.8">
      <c r="A290" s="854" t="s">
        <v>39</v>
      </c>
      <c r="B290" s="854" t="s">
        <v>4224</v>
      </c>
      <c r="C290" s="1262">
        <v>26877358.859999999</v>
      </c>
      <c r="D290" s="1262">
        <v>0</v>
      </c>
      <c r="E290" s="1263">
        <v>156769434.71000001</v>
      </c>
      <c r="F290" s="1263">
        <v>82332000.829999998</v>
      </c>
      <c r="G290" s="1263">
        <v>74437433.879999995</v>
      </c>
      <c r="H290" s="1263">
        <v>0</v>
      </c>
    </row>
    <row r="291" spans="1:8" s="988" customFormat="1" ht="13.8">
      <c r="A291" s="854" t="s">
        <v>40</v>
      </c>
      <c r="B291" s="854" t="s">
        <v>4225</v>
      </c>
      <c r="C291" s="1262">
        <v>106610181.75</v>
      </c>
      <c r="D291" s="1262">
        <v>0</v>
      </c>
      <c r="E291" s="1263">
        <v>1290475548.5999999</v>
      </c>
      <c r="F291" s="1263">
        <v>606474328.01999998</v>
      </c>
      <c r="G291" s="1263">
        <v>684001220.58000004</v>
      </c>
      <c r="H291" s="1263">
        <v>0</v>
      </c>
    </row>
    <row r="292" spans="1:8" s="988" customFormat="1" ht="13.8">
      <c r="A292" s="854" t="s">
        <v>41</v>
      </c>
      <c r="B292" s="854" t="s">
        <v>4226</v>
      </c>
      <c r="C292" s="1262">
        <v>258862833.19999999</v>
      </c>
      <c r="D292" s="1262">
        <v>0</v>
      </c>
      <c r="E292" s="1263">
        <v>1598724880.8599999</v>
      </c>
      <c r="F292" s="1263">
        <v>1155805941.8599999</v>
      </c>
      <c r="G292" s="1263">
        <v>442918939</v>
      </c>
      <c r="H292" s="1263">
        <v>0</v>
      </c>
    </row>
    <row r="293" spans="1:8" ht="13.8">
      <c r="A293" s="984" t="s">
        <v>186</v>
      </c>
      <c r="B293" s="984" t="s">
        <v>992</v>
      </c>
      <c r="C293" s="1264">
        <v>420490753.31</v>
      </c>
      <c r="D293" s="1264">
        <v>0</v>
      </c>
      <c r="E293" s="1265">
        <v>3263258494.1700001</v>
      </c>
      <c r="F293" s="1265">
        <v>2013373974.21</v>
      </c>
      <c r="G293" s="1265">
        <v>1249884519.96</v>
      </c>
      <c r="H293" s="1265">
        <v>0</v>
      </c>
    </row>
    <row r="294" spans="1:8" ht="13.8">
      <c r="A294" s="854" t="s">
        <v>42</v>
      </c>
      <c r="B294" s="854" t="s">
        <v>4120</v>
      </c>
      <c r="C294" s="1262">
        <v>6493480</v>
      </c>
      <c r="D294" s="1262">
        <v>0</v>
      </c>
      <c r="E294" s="1263">
        <v>48766377</v>
      </c>
      <c r="F294" s="1263">
        <v>35872419</v>
      </c>
      <c r="G294" s="1263">
        <v>12893958</v>
      </c>
      <c r="H294" s="1263">
        <v>0</v>
      </c>
    </row>
    <row r="295" spans="1:8" ht="13.8">
      <c r="A295" s="854" t="s">
        <v>4109</v>
      </c>
      <c r="B295" s="854" t="s">
        <v>4227</v>
      </c>
      <c r="C295" s="1262">
        <v>20380000</v>
      </c>
      <c r="D295" s="1262">
        <v>0</v>
      </c>
      <c r="E295" s="1263">
        <v>307495660</v>
      </c>
      <c r="F295" s="1263">
        <v>228483660</v>
      </c>
      <c r="G295" s="1263">
        <v>79012000</v>
      </c>
      <c r="H295" s="1263">
        <v>0</v>
      </c>
    </row>
    <row r="296" spans="1:8" ht="13.8">
      <c r="A296" s="854" t="s">
        <v>4121</v>
      </c>
      <c r="B296" s="854" t="s">
        <v>4228</v>
      </c>
      <c r="C296" s="1262">
        <v>2700000</v>
      </c>
      <c r="D296" s="1262">
        <v>0</v>
      </c>
      <c r="E296" s="1263">
        <v>8099000</v>
      </c>
      <c r="F296" s="1263">
        <v>2700000</v>
      </c>
      <c r="G296" s="1263">
        <v>5399000</v>
      </c>
      <c r="H296" s="1263">
        <v>0</v>
      </c>
    </row>
    <row r="297" spans="1:8" ht="13.8">
      <c r="A297" s="854" t="s">
        <v>43</v>
      </c>
      <c r="B297" s="854" t="s">
        <v>4229</v>
      </c>
      <c r="C297" s="1262">
        <v>38210000</v>
      </c>
      <c r="D297" s="1262">
        <v>0</v>
      </c>
      <c r="E297" s="1263">
        <v>195212000</v>
      </c>
      <c r="F297" s="1263">
        <v>136960000</v>
      </c>
      <c r="G297" s="1263">
        <v>58252000</v>
      </c>
      <c r="H297" s="1263">
        <v>0</v>
      </c>
    </row>
    <row r="298" spans="1:8" ht="13.8">
      <c r="A298" s="984" t="s">
        <v>186</v>
      </c>
      <c r="B298" s="984" t="s">
        <v>993</v>
      </c>
      <c r="C298" s="1264">
        <v>67783480</v>
      </c>
      <c r="D298" s="1264">
        <v>0</v>
      </c>
      <c r="E298" s="1265">
        <v>559573037</v>
      </c>
      <c r="F298" s="1265">
        <v>404016079</v>
      </c>
      <c r="G298" s="1265">
        <v>155556958</v>
      </c>
      <c r="H298" s="1265">
        <v>0</v>
      </c>
    </row>
    <row r="299" spans="1:8" ht="13.8">
      <c r="A299" s="854" t="s">
        <v>44</v>
      </c>
      <c r="B299" s="854" t="s">
        <v>4308</v>
      </c>
      <c r="C299" s="1262">
        <v>2122500</v>
      </c>
      <c r="D299" s="1262">
        <v>0</v>
      </c>
      <c r="E299" s="1263">
        <v>77694018</v>
      </c>
      <c r="F299" s="1263">
        <v>44408498</v>
      </c>
      <c r="G299" s="1263">
        <v>33285520</v>
      </c>
      <c r="H299" s="1263">
        <v>0</v>
      </c>
    </row>
    <row r="300" spans="1:8" s="988" customFormat="1" ht="13.8">
      <c r="A300" s="854" t="s">
        <v>45</v>
      </c>
      <c r="B300" s="854" t="s">
        <v>46</v>
      </c>
      <c r="C300" s="1262">
        <v>248058937.30000001</v>
      </c>
      <c r="D300" s="1262">
        <v>0</v>
      </c>
      <c r="E300" s="1263">
        <v>1055869091.86</v>
      </c>
      <c r="F300" s="1263">
        <v>969254675.39999998</v>
      </c>
      <c r="G300" s="1263">
        <v>86614416.459999993</v>
      </c>
      <c r="H300" s="1263">
        <v>0</v>
      </c>
    </row>
    <row r="301" spans="1:8" ht="13.8">
      <c r="A301" s="854" t="s">
        <v>47</v>
      </c>
      <c r="B301" s="854" t="s">
        <v>4230</v>
      </c>
      <c r="C301" s="1262">
        <v>13157495.689999999</v>
      </c>
      <c r="D301" s="1262">
        <v>0</v>
      </c>
      <c r="E301" s="1263">
        <v>80123162.049999997</v>
      </c>
      <c r="F301" s="1263">
        <v>59711320.799999997</v>
      </c>
      <c r="G301" s="1263">
        <v>20411841.25</v>
      </c>
      <c r="H301" s="1263">
        <v>0</v>
      </c>
    </row>
    <row r="302" spans="1:8" ht="13.8">
      <c r="A302" s="854" t="s">
        <v>4246</v>
      </c>
      <c r="B302" s="854" t="s">
        <v>4247</v>
      </c>
      <c r="C302" s="1262">
        <v>5990000</v>
      </c>
      <c r="D302" s="1262">
        <v>0</v>
      </c>
      <c r="E302" s="1263">
        <v>24697850</v>
      </c>
      <c r="F302" s="1263">
        <v>24697850</v>
      </c>
      <c r="G302" s="1263">
        <v>0</v>
      </c>
      <c r="H302" s="1263">
        <v>0</v>
      </c>
    </row>
    <row r="303" spans="1:8" s="988" customFormat="1" ht="13.8">
      <c r="A303" s="854" t="s">
        <v>48</v>
      </c>
      <c r="B303" s="854" t="s">
        <v>49</v>
      </c>
      <c r="C303" s="1262">
        <v>4050990</v>
      </c>
      <c r="D303" s="1262">
        <v>0</v>
      </c>
      <c r="E303" s="1263">
        <v>20247094</v>
      </c>
      <c r="F303" s="1263">
        <v>20247094</v>
      </c>
      <c r="G303" s="1263">
        <v>0</v>
      </c>
      <c r="H303" s="1263">
        <v>0</v>
      </c>
    </row>
    <row r="304" spans="1:8" ht="13.8">
      <c r="A304" s="984" t="s">
        <v>186</v>
      </c>
      <c r="B304" s="984" t="s">
        <v>994</v>
      </c>
      <c r="C304" s="1264">
        <v>273379922.99000001</v>
      </c>
      <c r="D304" s="1264">
        <v>0</v>
      </c>
      <c r="E304" s="1265">
        <v>1258631215.9100001</v>
      </c>
      <c r="F304" s="1265">
        <v>1118319438.2</v>
      </c>
      <c r="G304" s="1265">
        <v>140311777.71000001</v>
      </c>
      <c r="H304" s="1265">
        <v>0</v>
      </c>
    </row>
    <row r="305" spans="1:8" ht="13.8">
      <c r="A305" s="854" t="s">
        <v>4371</v>
      </c>
      <c r="B305" s="854" t="s">
        <v>4372</v>
      </c>
      <c r="C305" s="1262">
        <v>0</v>
      </c>
      <c r="D305" s="1262">
        <v>0</v>
      </c>
      <c r="E305" s="1263">
        <v>19494000</v>
      </c>
      <c r="F305" s="1263">
        <v>19494000</v>
      </c>
      <c r="G305" s="1263">
        <v>0</v>
      </c>
      <c r="H305" s="1263">
        <v>0</v>
      </c>
    </row>
    <row r="306" spans="1:8" ht="13.8">
      <c r="A306" s="854" t="s">
        <v>50</v>
      </c>
      <c r="B306" s="854" t="s">
        <v>51</v>
      </c>
      <c r="C306" s="1262">
        <v>0</v>
      </c>
      <c r="D306" s="1262">
        <v>0</v>
      </c>
      <c r="E306" s="1263">
        <v>24065294.109999999</v>
      </c>
      <c r="F306" s="1263">
        <v>24065294.109999999</v>
      </c>
      <c r="G306" s="1263">
        <v>0</v>
      </c>
      <c r="H306" s="1263">
        <v>0</v>
      </c>
    </row>
    <row r="307" spans="1:8" ht="13.8">
      <c r="A307" s="984" t="s">
        <v>186</v>
      </c>
      <c r="B307" s="984" t="s">
        <v>995</v>
      </c>
      <c r="C307" s="1264">
        <v>0</v>
      </c>
      <c r="D307" s="1264">
        <v>0</v>
      </c>
      <c r="E307" s="1265">
        <v>43559294.109999999</v>
      </c>
      <c r="F307" s="1265">
        <v>43559294.109999999</v>
      </c>
      <c r="G307" s="1265">
        <v>0</v>
      </c>
      <c r="H307" s="1265">
        <v>0</v>
      </c>
    </row>
    <row r="308" spans="1:8" s="988" customFormat="1" ht="13.8">
      <c r="A308" s="854" t="s">
        <v>52</v>
      </c>
      <c r="B308" s="854" t="s">
        <v>4231</v>
      </c>
      <c r="C308" s="1262">
        <v>50210870.159999996</v>
      </c>
      <c r="D308" s="1262">
        <v>0</v>
      </c>
      <c r="E308" s="1263">
        <v>276082153.25999999</v>
      </c>
      <c r="F308" s="1263">
        <v>218996283.09</v>
      </c>
      <c r="G308" s="1263">
        <v>57085870.170000002</v>
      </c>
      <c r="H308" s="1263">
        <v>0</v>
      </c>
    </row>
    <row r="309" spans="1:8" ht="13.8">
      <c r="A309" s="854" t="s">
        <v>415</v>
      </c>
      <c r="B309" s="854" t="s">
        <v>4232</v>
      </c>
      <c r="C309" s="1262">
        <v>25530449.32</v>
      </c>
      <c r="D309" s="1262">
        <v>0</v>
      </c>
      <c r="E309" s="1263">
        <v>131119678.91</v>
      </c>
      <c r="F309" s="1263">
        <v>96559882.099999994</v>
      </c>
      <c r="G309" s="1263">
        <v>34559796.810000002</v>
      </c>
      <c r="H309" s="1263">
        <v>0</v>
      </c>
    </row>
    <row r="310" spans="1:8" s="988" customFormat="1" ht="13.8">
      <c r="A310" s="854" t="s">
        <v>53</v>
      </c>
      <c r="B310" s="854" t="s">
        <v>4233</v>
      </c>
      <c r="C310" s="1262">
        <v>191790418.08000001</v>
      </c>
      <c r="D310" s="1262">
        <v>0</v>
      </c>
      <c r="E310" s="1263">
        <v>920667527.98000002</v>
      </c>
      <c r="F310" s="1263">
        <v>750491691.30999994</v>
      </c>
      <c r="G310" s="1263">
        <v>170175836.67000002</v>
      </c>
      <c r="H310" s="1263">
        <v>0</v>
      </c>
    </row>
    <row r="311" spans="1:8" ht="13.8">
      <c r="A311" s="854" t="s">
        <v>54</v>
      </c>
      <c r="B311" s="854" t="s">
        <v>4234</v>
      </c>
      <c r="C311" s="1262">
        <v>114119073.29000001</v>
      </c>
      <c r="D311" s="1262">
        <v>0</v>
      </c>
      <c r="E311" s="1263">
        <v>819893176.14999998</v>
      </c>
      <c r="F311" s="1263">
        <v>488495902.05000001</v>
      </c>
      <c r="G311" s="1263">
        <v>331397274.10000002</v>
      </c>
      <c r="H311" s="1263">
        <v>0</v>
      </c>
    </row>
    <row r="312" spans="1:8" ht="13.8">
      <c r="A312" s="984" t="s">
        <v>186</v>
      </c>
      <c r="B312" s="984" t="s">
        <v>996</v>
      </c>
      <c r="C312" s="1264">
        <v>381650810.85000002</v>
      </c>
      <c r="D312" s="1264">
        <v>0</v>
      </c>
      <c r="E312" s="1265">
        <v>2147762536.3000002</v>
      </c>
      <c r="F312" s="1265">
        <v>1554543758.55</v>
      </c>
      <c r="G312" s="1265">
        <v>593218777.75</v>
      </c>
      <c r="H312" s="1265">
        <v>0</v>
      </c>
    </row>
    <row r="313" spans="1:8" s="988" customFormat="1" ht="13.8">
      <c r="A313" s="854" t="s">
        <v>4291</v>
      </c>
      <c r="B313" s="854" t="s">
        <v>4292</v>
      </c>
      <c r="C313" s="1262">
        <v>1350000</v>
      </c>
      <c r="D313" s="1262">
        <v>0</v>
      </c>
      <c r="E313" s="1263">
        <v>42206573</v>
      </c>
      <c r="F313" s="1263">
        <v>26121974</v>
      </c>
      <c r="G313" s="1263">
        <v>16084599</v>
      </c>
      <c r="H313" s="1263">
        <v>0</v>
      </c>
    </row>
    <row r="314" spans="1:8" ht="13.8">
      <c r="A314" s="854" t="s">
        <v>4373</v>
      </c>
      <c r="B314" s="854" t="s">
        <v>4374</v>
      </c>
      <c r="C314" s="1262">
        <v>720000</v>
      </c>
      <c r="D314" s="1262">
        <v>0</v>
      </c>
      <c r="E314" s="1263">
        <v>1128000</v>
      </c>
      <c r="F314" s="1263">
        <v>1008000</v>
      </c>
      <c r="G314" s="1263">
        <v>120000</v>
      </c>
      <c r="H314" s="1263">
        <v>0</v>
      </c>
    </row>
    <row r="315" spans="1:8" s="988" customFormat="1" ht="13.8">
      <c r="A315" s="854" t="s">
        <v>57</v>
      </c>
      <c r="B315" s="854" t="s">
        <v>58</v>
      </c>
      <c r="C315" s="1262">
        <v>15187883.65</v>
      </c>
      <c r="D315" s="1262">
        <v>0</v>
      </c>
      <c r="E315" s="1263">
        <v>395845394.60000002</v>
      </c>
      <c r="F315" s="1263">
        <v>311924067.35000002</v>
      </c>
      <c r="G315" s="1263">
        <v>83921327.25</v>
      </c>
      <c r="H315" s="1263">
        <v>0</v>
      </c>
    </row>
    <row r="316" spans="1:8" ht="13.8">
      <c r="A316" s="854" t="s">
        <v>59</v>
      </c>
      <c r="B316" s="854" t="s">
        <v>2174</v>
      </c>
      <c r="C316" s="1262">
        <v>4706445</v>
      </c>
      <c r="D316" s="1262">
        <v>0</v>
      </c>
      <c r="E316" s="1263">
        <v>160288608.30000001</v>
      </c>
      <c r="F316" s="1263">
        <v>147406445</v>
      </c>
      <c r="G316" s="1263">
        <v>12882163.300000001</v>
      </c>
      <c r="H316" s="1263">
        <v>0</v>
      </c>
    </row>
    <row r="317" spans="1:8" ht="13.8">
      <c r="A317" s="984" t="s">
        <v>186</v>
      </c>
      <c r="B317" s="984" t="s">
        <v>997</v>
      </c>
      <c r="C317" s="1264">
        <v>21964328.649999999</v>
      </c>
      <c r="D317" s="1264">
        <v>0</v>
      </c>
      <c r="E317" s="1265">
        <v>599468575.89999998</v>
      </c>
      <c r="F317" s="1265">
        <v>486460486.35000002</v>
      </c>
      <c r="G317" s="1265">
        <v>113008089.55</v>
      </c>
      <c r="H317" s="1265">
        <v>0</v>
      </c>
    </row>
    <row r="318" spans="1:8" s="988" customFormat="1" ht="13.8">
      <c r="A318" s="854" t="s">
        <v>60</v>
      </c>
      <c r="B318" s="854" t="s">
        <v>4235</v>
      </c>
      <c r="C318" s="1262">
        <v>4920425517.5500002</v>
      </c>
      <c r="D318" s="1262">
        <v>0</v>
      </c>
      <c r="E318" s="1263">
        <v>18005135511.370003</v>
      </c>
      <c r="F318" s="1263">
        <v>16420645902.59</v>
      </c>
      <c r="G318" s="1263">
        <v>1584489608.78</v>
      </c>
      <c r="H318" s="1263">
        <v>0</v>
      </c>
    </row>
    <row r="319" spans="1:8" ht="13.8">
      <c r="A319" s="854" t="s">
        <v>4122</v>
      </c>
      <c r="B319" s="854" t="s">
        <v>4236</v>
      </c>
      <c r="C319" s="1262">
        <v>689087757.69000006</v>
      </c>
      <c r="D319" s="1262">
        <v>0</v>
      </c>
      <c r="E319" s="1263">
        <v>1936116128.1799998</v>
      </c>
      <c r="F319" s="1263">
        <v>1670141741.0899999</v>
      </c>
      <c r="G319" s="1263">
        <v>265974387.09</v>
      </c>
      <c r="H319" s="1263">
        <v>0</v>
      </c>
    </row>
    <row r="320" spans="1:8" ht="13.8">
      <c r="A320" s="854" t="s">
        <v>4293</v>
      </c>
      <c r="B320" s="854" t="s">
        <v>4294</v>
      </c>
      <c r="C320" s="1262">
        <v>0</v>
      </c>
      <c r="D320" s="1262">
        <v>0</v>
      </c>
      <c r="E320" s="1263">
        <v>74318151.519999996</v>
      </c>
      <c r="F320" s="1263">
        <v>74318151.519999996</v>
      </c>
      <c r="G320" s="1263">
        <v>0</v>
      </c>
      <c r="H320" s="1263">
        <v>0</v>
      </c>
    </row>
    <row r="321" spans="1:8" ht="13.8">
      <c r="A321" s="984" t="s">
        <v>186</v>
      </c>
      <c r="B321" s="984" t="s">
        <v>998</v>
      </c>
      <c r="C321" s="1264">
        <v>5609513275.2399998</v>
      </c>
      <c r="D321" s="1264">
        <v>0</v>
      </c>
      <c r="E321" s="1265">
        <v>20015569791.07</v>
      </c>
      <c r="F321" s="1265">
        <v>18165105795.200001</v>
      </c>
      <c r="G321" s="1265">
        <v>1850463995.8700001</v>
      </c>
      <c r="H321" s="1265">
        <v>0</v>
      </c>
    </row>
    <row r="322" spans="1:8" s="988" customFormat="1" ht="13.8">
      <c r="A322" s="984" t="s">
        <v>186</v>
      </c>
      <c r="B322" s="984" t="s">
        <v>999</v>
      </c>
      <c r="C322" s="1264">
        <v>14615970784.030001</v>
      </c>
      <c r="D322" s="1264">
        <v>0</v>
      </c>
      <c r="E322" s="1265">
        <v>77549259267.570007</v>
      </c>
      <c r="F322" s="1265">
        <v>61806798936.729996</v>
      </c>
      <c r="G322" s="1265">
        <v>15742460330.84</v>
      </c>
      <c r="H322" s="1265">
        <v>0</v>
      </c>
    </row>
    <row r="323" spans="1:8" ht="13.8">
      <c r="A323" s="985"/>
      <c r="B323" s="986"/>
      <c r="C323" s="1269"/>
      <c r="D323" s="1269"/>
      <c r="E323" s="1269"/>
      <c r="F323" s="1269"/>
      <c r="G323" s="1269"/>
      <c r="H323" s="1269"/>
    </row>
    <row r="324" spans="1:8" ht="13.8">
      <c r="A324" s="983" t="s">
        <v>1000</v>
      </c>
      <c r="B324" s="983"/>
      <c r="C324" s="1269"/>
      <c r="D324" s="1269"/>
      <c r="E324" s="1269"/>
      <c r="F324" s="1269"/>
      <c r="G324" s="1269"/>
      <c r="H324" s="1269"/>
    </row>
    <row r="325" spans="1:8" ht="13.8">
      <c r="A325" s="854" t="s">
        <v>4375</v>
      </c>
      <c r="B325" s="854" t="s">
        <v>4376</v>
      </c>
      <c r="C325" s="1262">
        <v>6</v>
      </c>
      <c r="D325" s="1262">
        <v>0</v>
      </c>
      <c r="E325" s="1263">
        <v>6</v>
      </c>
      <c r="F325" s="1263">
        <v>0</v>
      </c>
      <c r="G325" s="1263">
        <v>6</v>
      </c>
      <c r="H325" s="1263">
        <v>0</v>
      </c>
    </row>
    <row r="326" spans="1:8" ht="13.8">
      <c r="A326" s="984" t="s">
        <v>186</v>
      </c>
      <c r="B326" s="984" t="s">
        <v>4377</v>
      </c>
      <c r="C326" s="1264">
        <v>6</v>
      </c>
      <c r="D326" s="1264">
        <v>0</v>
      </c>
      <c r="E326" s="1265">
        <v>6</v>
      </c>
      <c r="F326" s="1265">
        <v>0</v>
      </c>
      <c r="G326" s="1265">
        <v>6</v>
      </c>
      <c r="H326" s="1265">
        <v>0</v>
      </c>
    </row>
    <row r="327" spans="1:8" ht="13.8">
      <c r="A327" s="854" t="s">
        <v>61</v>
      </c>
      <c r="B327" s="854" t="s">
        <v>4378</v>
      </c>
      <c r="C327" s="1262">
        <v>2755346</v>
      </c>
      <c r="D327" s="1262">
        <v>0</v>
      </c>
      <c r="E327" s="1263">
        <v>0</v>
      </c>
      <c r="F327" s="1263">
        <v>0</v>
      </c>
      <c r="G327" s="1263">
        <v>0</v>
      </c>
      <c r="H327" s="1263">
        <v>0</v>
      </c>
    </row>
    <row r="328" spans="1:8" ht="13.8">
      <c r="A328" s="984" t="s">
        <v>186</v>
      </c>
      <c r="B328" s="984" t="s">
        <v>4379</v>
      </c>
      <c r="C328" s="1264">
        <v>2755346</v>
      </c>
      <c r="D328" s="1264">
        <v>0</v>
      </c>
      <c r="E328" s="1265">
        <v>0</v>
      </c>
      <c r="F328" s="1265">
        <v>0</v>
      </c>
      <c r="G328" s="1265">
        <v>0</v>
      </c>
      <c r="H328" s="1265">
        <v>0</v>
      </c>
    </row>
    <row r="329" spans="1:8" ht="13.8">
      <c r="A329" s="854" t="s">
        <v>62</v>
      </c>
      <c r="B329" s="854" t="s">
        <v>4237</v>
      </c>
      <c r="C329" s="1262">
        <v>99544</v>
      </c>
      <c r="D329" s="1262">
        <v>0</v>
      </c>
      <c r="E329" s="1263">
        <v>125152</v>
      </c>
      <c r="F329" s="1263">
        <v>7296</v>
      </c>
      <c r="G329" s="1263">
        <v>117856</v>
      </c>
      <c r="H329" s="1263">
        <v>0</v>
      </c>
    </row>
    <row r="330" spans="1:8" ht="13.8">
      <c r="A330" s="854" t="s">
        <v>63</v>
      </c>
      <c r="B330" s="854" t="s">
        <v>4238</v>
      </c>
      <c r="C330" s="1262">
        <v>235</v>
      </c>
      <c r="D330" s="1262">
        <v>0</v>
      </c>
      <c r="E330" s="1263">
        <v>235</v>
      </c>
      <c r="F330" s="1263">
        <v>0</v>
      </c>
      <c r="G330" s="1263">
        <v>235</v>
      </c>
      <c r="H330" s="1263">
        <v>0</v>
      </c>
    </row>
    <row r="331" spans="1:8" ht="13.8">
      <c r="A331" s="854" t="s">
        <v>2175</v>
      </c>
      <c r="B331" s="854" t="s">
        <v>4239</v>
      </c>
      <c r="C331" s="1262">
        <v>184</v>
      </c>
      <c r="D331" s="1262">
        <v>0</v>
      </c>
      <c r="E331" s="1263">
        <v>184</v>
      </c>
      <c r="F331" s="1263">
        <v>0</v>
      </c>
      <c r="G331" s="1263">
        <v>184</v>
      </c>
      <c r="H331" s="1263">
        <v>0</v>
      </c>
    </row>
    <row r="332" spans="1:8" ht="13.8">
      <c r="A332" s="854" t="s">
        <v>64</v>
      </c>
      <c r="B332" s="854" t="s">
        <v>65</v>
      </c>
      <c r="C332" s="1262">
        <v>199</v>
      </c>
      <c r="D332" s="1262">
        <v>0</v>
      </c>
      <c r="E332" s="1263">
        <v>317</v>
      </c>
      <c r="F332" s="1263">
        <v>19</v>
      </c>
      <c r="G332" s="1263">
        <v>298</v>
      </c>
      <c r="H332" s="1263">
        <v>0</v>
      </c>
    </row>
    <row r="333" spans="1:8" ht="13.8">
      <c r="A333" s="854" t="s">
        <v>417</v>
      </c>
      <c r="B333" s="854" t="s">
        <v>4078</v>
      </c>
      <c r="C333" s="1262">
        <v>27</v>
      </c>
      <c r="D333" s="1262">
        <v>0</v>
      </c>
      <c r="E333" s="1263">
        <v>27</v>
      </c>
      <c r="F333" s="1263">
        <v>0</v>
      </c>
      <c r="G333" s="1263">
        <v>27</v>
      </c>
      <c r="H333" s="1263">
        <v>0</v>
      </c>
    </row>
    <row r="334" spans="1:8" s="988" customFormat="1" ht="13.8">
      <c r="A334" s="984" t="s">
        <v>186</v>
      </c>
      <c r="B334" s="984" t="s">
        <v>1001</v>
      </c>
      <c r="C334" s="1264">
        <v>100189</v>
      </c>
      <c r="D334" s="1264">
        <v>0</v>
      </c>
      <c r="E334" s="1265">
        <v>125915</v>
      </c>
      <c r="F334" s="1265">
        <v>7315</v>
      </c>
      <c r="G334" s="1265">
        <v>118600</v>
      </c>
      <c r="H334" s="1265">
        <v>0</v>
      </c>
    </row>
    <row r="335" spans="1:8" s="988" customFormat="1" ht="13.8">
      <c r="A335" s="854" t="s">
        <v>4082</v>
      </c>
      <c r="B335" s="854" t="s">
        <v>4083</v>
      </c>
      <c r="C335" s="1262">
        <v>0</v>
      </c>
      <c r="D335" s="1262">
        <v>0</v>
      </c>
      <c r="E335" s="1263">
        <v>111159067.48999999</v>
      </c>
      <c r="F335" s="1263">
        <v>110796288.22</v>
      </c>
      <c r="G335" s="1263">
        <v>362779.27</v>
      </c>
      <c r="H335" s="1263">
        <v>0</v>
      </c>
    </row>
    <row r="336" spans="1:8" ht="13.8">
      <c r="A336" s="854" t="s">
        <v>66</v>
      </c>
      <c r="B336" s="854" t="s">
        <v>67</v>
      </c>
      <c r="C336" s="1262">
        <v>27822146675.23</v>
      </c>
      <c r="D336" s="1262">
        <v>0</v>
      </c>
      <c r="E336" s="1263">
        <v>58683530809.149994</v>
      </c>
      <c r="F336" s="1263">
        <v>19339249900.130001</v>
      </c>
      <c r="G336" s="1263">
        <v>39351412017.049995</v>
      </c>
      <c r="H336" s="1263">
        <v>0</v>
      </c>
    </row>
    <row r="337" spans="1:8" s="988" customFormat="1" ht="13.8">
      <c r="A337" s="984" t="s">
        <v>186</v>
      </c>
      <c r="B337" s="984" t="s">
        <v>1002</v>
      </c>
      <c r="C337" s="1264">
        <v>27822146675.23</v>
      </c>
      <c r="D337" s="1264">
        <v>0</v>
      </c>
      <c r="E337" s="1265">
        <v>58794689876.639999</v>
      </c>
      <c r="F337" s="1265">
        <v>19450046188.350002</v>
      </c>
      <c r="G337" s="1265">
        <v>39351774796.32</v>
      </c>
      <c r="H337" s="1265">
        <v>0</v>
      </c>
    </row>
    <row r="338" spans="1:8" ht="13.8">
      <c r="A338" s="854" t="s">
        <v>69</v>
      </c>
      <c r="B338" s="854" t="s">
        <v>716</v>
      </c>
      <c r="C338" s="1262">
        <v>14399613057.57</v>
      </c>
      <c r="D338" s="1262">
        <v>0</v>
      </c>
      <c r="E338" s="1263">
        <v>17696966762.480003</v>
      </c>
      <c r="F338" s="1263">
        <v>340681150.38999999</v>
      </c>
      <c r="G338" s="1263">
        <v>17366290588.110001</v>
      </c>
      <c r="H338" s="1263">
        <v>0</v>
      </c>
    </row>
    <row r="339" spans="1:8" ht="13.8">
      <c r="A339" s="854" t="s">
        <v>4123</v>
      </c>
      <c r="B339" s="854" t="s">
        <v>4124</v>
      </c>
      <c r="C339" s="1262">
        <v>555368161.80999994</v>
      </c>
      <c r="D339" s="1262">
        <v>0</v>
      </c>
      <c r="E339" s="1263">
        <v>531653414.50999999</v>
      </c>
      <c r="F339" s="1263">
        <v>33560231.460000001</v>
      </c>
      <c r="G339" s="1263">
        <v>498093183.05000001</v>
      </c>
      <c r="H339" s="1263">
        <v>0</v>
      </c>
    </row>
    <row r="340" spans="1:8" ht="13.8">
      <c r="A340" s="854" t="s">
        <v>4295</v>
      </c>
      <c r="B340" s="854"/>
      <c r="C340" s="1262">
        <v>23939468.609999999</v>
      </c>
      <c r="D340" s="1262">
        <v>0</v>
      </c>
      <c r="E340" s="1263">
        <v>23939468.609999999</v>
      </c>
      <c r="F340" s="1263">
        <v>20739468.609999999</v>
      </c>
      <c r="G340" s="1263">
        <v>3200000</v>
      </c>
      <c r="H340" s="1263">
        <v>0</v>
      </c>
    </row>
    <row r="341" spans="1:8" ht="13.8">
      <c r="A341" s="854" t="s">
        <v>4296</v>
      </c>
      <c r="B341" s="854"/>
      <c r="C341" s="1262">
        <v>0</v>
      </c>
      <c r="D341" s="1262">
        <v>0</v>
      </c>
      <c r="E341" s="1263">
        <v>19889468.609999999</v>
      </c>
      <c r="F341" s="1263">
        <v>0</v>
      </c>
      <c r="G341" s="1263">
        <v>19889468.609999999</v>
      </c>
      <c r="H341" s="1263">
        <v>0</v>
      </c>
    </row>
    <row r="342" spans="1:8" ht="13.8">
      <c r="A342" s="984" t="s">
        <v>186</v>
      </c>
      <c r="B342" s="984" t="s">
        <v>1003</v>
      </c>
      <c r="C342" s="1264">
        <v>14978920687.99</v>
      </c>
      <c r="D342" s="1264">
        <v>0</v>
      </c>
      <c r="E342" s="1265">
        <v>18272449114.210003</v>
      </c>
      <c r="F342" s="1265">
        <v>394980850.45999998</v>
      </c>
      <c r="G342" s="1265">
        <v>17887473239.77</v>
      </c>
      <c r="H342" s="1265">
        <v>0</v>
      </c>
    </row>
    <row r="343" spans="1:8" ht="13.8">
      <c r="A343" s="854" t="s">
        <v>614</v>
      </c>
      <c r="B343" s="854" t="s">
        <v>2862</v>
      </c>
      <c r="C343" s="1262">
        <v>6865156086.3100004</v>
      </c>
      <c r="D343" s="1262">
        <v>0</v>
      </c>
      <c r="E343" s="1263">
        <v>55652173841.510002</v>
      </c>
      <c r="F343" s="1263">
        <v>41035939358.559998</v>
      </c>
      <c r="G343" s="1263">
        <v>14630643368.610001</v>
      </c>
      <c r="H343" s="1263">
        <v>0</v>
      </c>
    </row>
    <row r="344" spans="1:8" ht="13.8">
      <c r="A344" s="984" t="s">
        <v>186</v>
      </c>
      <c r="B344" s="984" t="s">
        <v>2863</v>
      </c>
      <c r="C344" s="1264">
        <v>6865156086.3100004</v>
      </c>
      <c r="D344" s="1264">
        <v>0</v>
      </c>
      <c r="E344" s="1265">
        <v>55652173841.510002</v>
      </c>
      <c r="F344" s="1265">
        <v>41035939358.559998</v>
      </c>
      <c r="G344" s="1265">
        <v>14630643368.610001</v>
      </c>
      <c r="H344" s="1265">
        <v>0</v>
      </c>
    </row>
    <row r="345" spans="1:8" ht="13.8">
      <c r="A345" s="854" t="s">
        <v>70</v>
      </c>
      <c r="B345" s="854" t="s">
        <v>71</v>
      </c>
      <c r="C345" s="1262">
        <v>5427066780.6899996</v>
      </c>
      <c r="D345" s="1262">
        <v>0</v>
      </c>
      <c r="E345" s="1263">
        <v>5319258796.9799995</v>
      </c>
      <c r="F345" s="1263">
        <v>1645332351.9099998</v>
      </c>
      <c r="G345" s="1263">
        <v>3673926445.0699997</v>
      </c>
      <c r="H345" s="1263">
        <v>0</v>
      </c>
    </row>
    <row r="346" spans="1:8" ht="13.8">
      <c r="A346" s="854" t="s">
        <v>72</v>
      </c>
      <c r="B346" s="854" t="s">
        <v>73</v>
      </c>
      <c r="C346" s="1262">
        <v>193932875708.04999</v>
      </c>
      <c r="D346" s="1262">
        <v>0</v>
      </c>
      <c r="E346" s="1263">
        <v>276149624530.96002</v>
      </c>
      <c r="F346" s="1263">
        <v>19333356710.52</v>
      </c>
      <c r="G346" s="1263">
        <v>258548496650.86002</v>
      </c>
      <c r="H346" s="1263">
        <v>0</v>
      </c>
    </row>
    <row r="347" spans="1:8" ht="13.8">
      <c r="A347" s="984" t="s">
        <v>186</v>
      </c>
      <c r="B347" s="984" t="s">
        <v>1004</v>
      </c>
      <c r="C347" s="1264">
        <v>199359942488.73999</v>
      </c>
      <c r="D347" s="1264">
        <v>0</v>
      </c>
      <c r="E347" s="1265">
        <v>281468883327.94</v>
      </c>
      <c r="F347" s="1265">
        <v>20978689062.43</v>
      </c>
      <c r="G347" s="1265">
        <v>262222423095.92999</v>
      </c>
      <c r="H347" s="1265">
        <v>0</v>
      </c>
    </row>
    <row r="348" spans="1:8" ht="13.8">
      <c r="A348" s="854" t="s">
        <v>74</v>
      </c>
      <c r="B348" s="854" t="s">
        <v>4259</v>
      </c>
      <c r="C348" s="1262">
        <v>3183247</v>
      </c>
      <c r="D348" s="1262">
        <v>0</v>
      </c>
      <c r="E348" s="1263">
        <v>9978080</v>
      </c>
      <c r="F348" s="1263">
        <v>6651777</v>
      </c>
      <c r="G348" s="1263">
        <v>3326303</v>
      </c>
      <c r="H348" s="1263">
        <v>0</v>
      </c>
    </row>
    <row r="349" spans="1:8" ht="13.8">
      <c r="A349" s="854" t="s">
        <v>4380</v>
      </c>
      <c r="B349" s="854" t="s">
        <v>4381</v>
      </c>
      <c r="C349" s="1262">
        <v>141.69999999999999</v>
      </c>
      <c r="D349" s="1262">
        <v>0</v>
      </c>
      <c r="E349" s="1263">
        <v>141.69999999999999</v>
      </c>
      <c r="F349" s="1263">
        <v>0</v>
      </c>
      <c r="G349" s="1263">
        <v>141.69999999999999</v>
      </c>
      <c r="H349" s="1263">
        <v>0</v>
      </c>
    </row>
    <row r="350" spans="1:8" ht="13.8">
      <c r="A350" s="984" t="s">
        <v>186</v>
      </c>
      <c r="B350" s="984" t="s">
        <v>1005</v>
      </c>
      <c r="C350" s="1264">
        <v>3183388.7</v>
      </c>
      <c r="D350" s="1264">
        <v>0</v>
      </c>
      <c r="E350" s="1265">
        <v>9978221.6999999993</v>
      </c>
      <c r="F350" s="1265">
        <v>6651777</v>
      </c>
      <c r="G350" s="1265">
        <v>3326444.7</v>
      </c>
      <c r="H350" s="1265">
        <v>0</v>
      </c>
    </row>
    <row r="351" spans="1:8" ht="13.8">
      <c r="A351" s="854" t="s">
        <v>78</v>
      </c>
      <c r="B351" s="854" t="s">
        <v>79</v>
      </c>
      <c r="C351" s="1262">
        <v>232693729221.51001</v>
      </c>
      <c r="D351" s="1262">
        <v>0</v>
      </c>
      <c r="E351" s="1263">
        <v>263472581193.26001</v>
      </c>
      <c r="F351" s="1263">
        <v>8433828476.25</v>
      </c>
      <c r="G351" s="1263">
        <v>255038752717.01001</v>
      </c>
      <c r="H351" s="1263">
        <v>0</v>
      </c>
    </row>
    <row r="352" spans="1:8" ht="13.8">
      <c r="A352" s="854" t="s">
        <v>80</v>
      </c>
      <c r="B352" s="854" t="s">
        <v>81</v>
      </c>
      <c r="C352" s="1262">
        <v>170921570468.38</v>
      </c>
      <c r="D352" s="1262">
        <v>0</v>
      </c>
      <c r="E352" s="1263">
        <v>244306538195.42999</v>
      </c>
      <c r="F352" s="1263">
        <v>9972339933.25</v>
      </c>
      <c r="G352" s="1263">
        <v>234334198262.18002</v>
      </c>
      <c r="H352" s="1263">
        <v>0</v>
      </c>
    </row>
    <row r="353" spans="1:8" ht="13.8">
      <c r="A353" s="984" t="s">
        <v>186</v>
      </c>
      <c r="B353" s="984" t="s">
        <v>1006</v>
      </c>
      <c r="C353" s="1264">
        <v>403615299689.89001</v>
      </c>
      <c r="D353" s="1264">
        <v>0</v>
      </c>
      <c r="E353" s="1265">
        <v>507779119388.69</v>
      </c>
      <c r="F353" s="1265">
        <v>18406168409.5</v>
      </c>
      <c r="G353" s="1265">
        <v>489372950979.19</v>
      </c>
      <c r="H353" s="1265">
        <v>0</v>
      </c>
    </row>
    <row r="354" spans="1:8" ht="13.8">
      <c r="A354" s="854" t="s">
        <v>4102</v>
      </c>
      <c r="B354" s="854" t="s">
        <v>4382</v>
      </c>
      <c r="C354" s="1262">
        <v>17535025855.459999</v>
      </c>
      <c r="D354" s="1262">
        <v>0</v>
      </c>
      <c r="E354" s="1263">
        <v>16072037202.530001</v>
      </c>
      <c r="F354" s="1263">
        <v>3322614220.29</v>
      </c>
      <c r="G354" s="1263">
        <v>14064668839.299999</v>
      </c>
      <c r="H354" s="1263">
        <v>0</v>
      </c>
    </row>
    <row r="355" spans="1:8" ht="13.8">
      <c r="A355" s="854" t="s">
        <v>4297</v>
      </c>
      <c r="B355" s="854" t="s">
        <v>4298</v>
      </c>
      <c r="C355" s="1262">
        <v>0</v>
      </c>
      <c r="D355" s="1262">
        <v>0</v>
      </c>
      <c r="E355" s="1263">
        <v>1258330.19</v>
      </c>
      <c r="F355" s="1263">
        <v>0</v>
      </c>
      <c r="G355" s="1263">
        <v>1258330.19</v>
      </c>
      <c r="H355" s="1263">
        <v>0</v>
      </c>
    </row>
    <row r="356" spans="1:8" ht="13.8">
      <c r="A356" s="854" t="s">
        <v>82</v>
      </c>
      <c r="B356" s="854" t="s">
        <v>83</v>
      </c>
      <c r="C356" s="1262">
        <v>4291411581.21</v>
      </c>
      <c r="D356" s="1262">
        <v>0</v>
      </c>
      <c r="E356" s="1263">
        <v>753233845327.63</v>
      </c>
      <c r="F356" s="1263">
        <v>748942414957.42004</v>
      </c>
      <c r="G356" s="1263">
        <v>4291430370.21</v>
      </c>
      <c r="H356" s="1263">
        <v>0</v>
      </c>
    </row>
    <row r="357" spans="1:8" ht="13.8">
      <c r="A357" s="984" t="s">
        <v>186</v>
      </c>
      <c r="B357" s="984" t="s">
        <v>1007</v>
      </c>
      <c r="C357" s="1264">
        <v>21826437436.669998</v>
      </c>
      <c r="D357" s="1264">
        <v>0</v>
      </c>
      <c r="E357" s="1265">
        <v>769307140860.34998</v>
      </c>
      <c r="F357" s="1265">
        <v>752265029177.70996</v>
      </c>
      <c r="G357" s="1265">
        <v>18357357539.700001</v>
      </c>
      <c r="H357" s="1265">
        <v>0</v>
      </c>
    </row>
    <row r="358" spans="1:8" ht="13.8">
      <c r="A358" s="854" t="s">
        <v>4383</v>
      </c>
      <c r="B358" s="854" t="s">
        <v>4384</v>
      </c>
      <c r="C358" s="1262">
        <v>0</v>
      </c>
      <c r="D358" s="1262">
        <v>6</v>
      </c>
      <c r="E358" s="1263">
        <v>0</v>
      </c>
      <c r="F358" s="1263">
        <v>6</v>
      </c>
      <c r="G358" s="1263">
        <v>0</v>
      </c>
      <c r="H358" s="1263">
        <v>6</v>
      </c>
    </row>
    <row r="359" spans="1:8" ht="13.8">
      <c r="A359" s="854" t="s">
        <v>84</v>
      </c>
      <c r="B359" s="854" t="s">
        <v>4240</v>
      </c>
      <c r="C359" s="1262">
        <v>0</v>
      </c>
      <c r="D359" s="1262">
        <v>99963</v>
      </c>
      <c r="E359" s="1263">
        <v>7296</v>
      </c>
      <c r="F359" s="1263">
        <v>125571</v>
      </c>
      <c r="G359" s="1263">
        <v>0</v>
      </c>
      <c r="H359" s="1263">
        <v>118275</v>
      </c>
    </row>
    <row r="360" spans="1:8" ht="13.8">
      <c r="A360" s="854" t="s">
        <v>85</v>
      </c>
      <c r="B360" s="854" t="s">
        <v>4110</v>
      </c>
      <c r="C360" s="1262">
        <v>0</v>
      </c>
      <c r="D360" s="1262">
        <v>226</v>
      </c>
      <c r="E360" s="1263">
        <v>19</v>
      </c>
      <c r="F360" s="1263">
        <v>344</v>
      </c>
      <c r="G360" s="1263">
        <v>0</v>
      </c>
      <c r="H360" s="1263">
        <v>325</v>
      </c>
    </row>
    <row r="361" spans="1:8" ht="13.8">
      <c r="A361" s="854" t="s">
        <v>86</v>
      </c>
      <c r="B361" s="854" t="s">
        <v>4385</v>
      </c>
      <c r="C361" s="1262">
        <v>0</v>
      </c>
      <c r="D361" s="1262">
        <v>2755346</v>
      </c>
      <c r="E361" s="1263">
        <v>0</v>
      </c>
      <c r="F361" s="1263">
        <v>0</v>
      </c>
      <c r="G361" s="1263">
        <v>0</v>
      </c>
      <c r="H361" s="1263">
        <v>0</v>
      </c>
    </row>
    <row r="362" spans="1:8" ht="13.8">
      <c r="A362" s="854" t="s">
        <v>4084</v>
      </c>
      <c r="B362" s="854" t="s">
        <v>4111</v>
      </c>
      <c r="C362" s="1262">
        <v>0</v>
      </c>
      <c r="D362" s="1262">
        <v>0</v>
      </c>
      <c r="E362" s="1263">
        <v>110796288.22</v>
      </c>
      <c r="F362" s="1263">
        <v>111159067.48999999</v>
      </c>
      <c r="G362" s="1263">
        <v>0</v>
      </c>
      <c r="H362" s="1263">
        <v>362779.27</v>
      </c>
    </row>
    <row r="363" spans="1:8" ht="13.8">
      <c r="A363" s="854" t="s">
        <v>87</v>
      </c>
      <c r="B363" s="854" t="s">
        <v>4112</v>
      </c>
      <c r="C363" s="1262">
        <v>0</v>
      </c>
      <c r="D363" s="1262">
        <v>27822146675.23</v>
      </c>
      <c r="E363" s="1263">
        <v>19339249900.130001</v>
      </c>
      <c r="F363" s="1263">
        <v>58683530809.149994</v>
      </c>
      <c r="G363" s="1263">
        <v>0</v>
      </c>
      <c r="H363" s="1263">
        <v>39351412017.049995</v>
      </c>
    </row>
    <row r="364" spans="1:8" ht="13.8">
      <c r="A364" s="854" t="s">
        <v>89</v>
      </c>
      <c r="B364" s="854" t="s">
        <v>4113</v>
      </c>
      <c r="C364" s="1262">
        <v>0</v>
      </c>
      <c r="D364" s="1262">
        <v>14978920687.99</v>
      </c>
      <c r="E364" s="1263">
        <v>373821532.94</v>
      </c>
      <c r="F364" s="1263">
        <v>18229450663.240002</v>
      </c>
      <c r="G364" s="1263">
        <v>0</v>
      </c>
      <c r="H364" s="1263">
        <v>17865306772.41</v>
      </c>
    </row>
    <row r="365" spans="1:8" ht="13.8">
      <c r="A365" s="854" t="s">
        <v>90</v>
      </c>
      <c r="B365" s="854" t="s">
        <v>4114</v>
      </c>
      <c r="C365" s="1262">
        <v>0</v>
      </c>
      <c r="D365" s="1262">
        <v>5427066780.6899996</v>
      </c>
      <c r="E365" s="1263">
        <v>1645332351.9099998</v>
      </c>
      <c r="F365" s="1263">
        <v>5319258796.9799995</v>
      </c>
      <c r="G365" s="1263">
        <v>0</v>
      </c>
      <c r="H365" s="1263">
        <v>3673926445.0699997</v>
      </c>
    </row>
    <row r="366" spans="1:8" ht="13.8">
      <c r="A366" s="854" t="s">
        <v>91</v>
      </c>
      <c r="B366" s="854" t="s">
        <v>4115</v>
      </c>
      <c r="C366" s="1262">
        <v>0</v>
      </c>
      <c r="D366" s="1262">
        <v>193932875708.04999</v>
      </c>
      <c r="E366" s="1263">
        <v>19333356710.52</v>
      </c>
      <c r="F366" s="1263">
        <v>276149624530.96002</v>
      </c>
      <c r="G366" s="1263">
        <v>0</v>
      </c>
      <c r="H366" s="1263">
        <v>258548496650.86002</v>
      </c>
    </row>
    <row r="367" spans="1:8" ht="13.8">
      <c r="A367" s="854" t="s">
        <v>618</v>
      </c>
      <c r="B367" s="854" t="s">
        <v>2864</v>
      </c>
      <c r="C367" s="1262">
        <v>0</v>
      </c>
      <c r="D367" s="1262">
        <v>6865156086.3100004</v>
      </c>
      <c r="E367" s="1263">
        <v>41035939358.559998</v>
      </c>
      <c r="F367" s="1263">
        <v>55652173841.510002</v>
      </c>
      <c r="G367" s="1263">
        <v>0</v>
      </c>
      <c r="H367" s="1263">
        <v>14630643368.609999</v>
      </c>
    </row>
    <row r="368" spans="1:8" ht="13.8">
      <c r="A368" s="854" t="s">
        <v>92</v>
      </c>
      <c r="B368" s="854" t="s">
        <v>4116</v>
      </c>
      <c r="C368" s="1262">
        <v>0</v>
      </c>
      <c r="D368" s="1262">
        <v>3183388.7</v>
      </c>
      <c r="E368" s="1263">
        <v>6651777</v>
      </c>
      <c r="F368" s="1263">
        <v>9978221.6999999993</v>
      </c>
      <c r="G368" s="1263">
        <v>0</v>
      </c>
      <c r="H368" s="1263">
        <v>3326444.7</v>
      </c>
    </row>
    <row r="369" spans="1:8" ht="13.8">
      <c r="A369" s="854" t="s">
        <v>93</v>
      </c>
      <c r="B369" s="854" t="s">
        <v>94</v>
      </c>
      <c r="C369" s="1262">
        <v>0</v>
      </c>
      <c r="D369" s="1262">
        <v>403615299689.89001</v>
      </c>
      <c r="E369" s="1263">
        <v>18406168409.5</v>
      </c>
      <c r="F369" s="1263">
        <v>507779119388.69</v>
      </c>
      <c r="G369" s="1263">
        <v>0</v>
      </c>
      <c r="H369" s="1263">
        <v>489372950979.19</v>
      </c>
    </row>
    <row r="370" spans="1:8" ht="13.8">
      <c r="A370" s="854" t="s">
        <v>95</v>
      </c>
      <c r="B370" s="854" t="s">
        <v>4241</v>
      </c>
      <c r="C370" s="1262">
        <v>0</v>
      </c>
      <c r="D370" s="1262">
        <v>21826437436.669998</v>
      </c>
      <c r="E370" s="1263">
        <v>752216874167.68994</v>
      </c>
      <c r="F370" s="1263">
        <v>769320704624.30005</v>
      </c>
      <c r="G370" s="1263">
        <v>0</v>
      </c>
      <c r="H370" s="1263">
        <v>17172451163.93</v>
      </c>
    </row>
    <row r="371" spans="1:8" ht="13.8">
      <c r="A371" s="984" t="s">
        <v>186</v>
      </c>
      <c r="B371" s="984" t="s">
        <v>1008</v>
      </c>
      <c r="C371" s="1264">
        <v>0</v>
      </c>
      <c r="D371" s="1264">
        <v>674473941994.53003</v>
      </c>
      <c r="E371" s="1265">
        <v>852468197811.46997</v>
      </c>
      <c r="F371" s="1265">
        <v>1691255125865.02</v>
      </c>
      <c r="G371" s="1265">
        <v>0</v>
      </c>
      <c r="H371" s="1265">
        <v>840618995227.09009</v>
      </c>
    </row>
    <row r="372" spans="1:8" ht="13.8">
      <c r="A372" s="984" t="s">
        <v>186</v>
      </c>
      <c r="B372" s="984" t="s">
        <v>1009</v>
      </c>
      <c r="C372" s="1264">
        <v>674473941994.53003</v>
      </c>
      <c r="D372" s="1264">
        <v>674473941994.53003</v>
      </c>
      <c r="E372" s="1265">
        <v>2543752758363.5103</v>
      </c>
      <c r="F372" s="1265">
        <v>2543792638004.0303</v>
      </c>
      <c r="G372" s="1265">
        <v>841826068070.21997</v>
      </c>
      <c r="H372" s="1265">
        <v>840618995227.09009</v>
      </c>
    </row>
    <row r="373" spans="1:8" ht="13.8">
      <c r="A373" s="985"/>
      <c r="B373" s="986"/>
      <c r="C373" s="1269"/>
      <c r="D373" s="1269"/>
      <c r="E373" s="1269"/>
      <c r="F373" s="1269"/>
      <c r="G373" s="1269"/>
      <c r="H373" s="1269"/>
    </row>
    <row r="374" spans="1:8" ht="13.8">
      <c r="A374" s="984" t="s">
        <v>186</v>
      </c>
      <c r="B374" s="982"/>
      <c r="C374" s="1264">
        <v>1100928677646.95</v>
      </c>
      <c r="D374" s="1264">
        <v>1102677746862.47</v>
      </c>
      <c r="E374" s="1265">
        <v>9287977269578.1797</v>
      </c>
      <c r="F374" s="1265">
        <v>9227026911033.4297</v>
      </c>
      <c r="G374" s="1265">
        <v>1379507721150.54</v>
      </c>
      <c r="H374" s="1265">
        <v>1316727607997.1101</v>
      </c>
    </row>
    <row r="375" spans="1:8" ht="13.8">
      <c r="A375" s="909"/>
      <c r="B375" s="981"/>
      <c r="C375" s="1248"/>
      <c r="D375" s="1248"/>
      <c r="E375" s="1248"/>
      <c r="F375" s="1248"/>
      <c r="G375" s="1248"/>
      <c r="H375" s="1248"/>
    </row>
    <row r="376" spans="1:8" ht="13.8">
      <c r="A376" s="910" t="s">
        <v>2678</v>
      </c>
      <c r="B376" s="698"/>
      <c r="C376" s="1248"/>
      <c r="D376" s="1248"/>
      <c r="E376" s="1248"/>
      <c r="F376" s="1248"/>
      <c r="G376" s="1248"/>
      <c r="H376" s="1248"/>
    </row>
    <row r="377" spans="1:8" ht="13.8">
      <c r="A377" s="909"/>
      <c r="B377" s="981"/>
      <c r="C377" s="1248"/>
      <c r="D377" s="1248"/>
      <c r="E377" s="1248"/>
      <c r="F377" s="1248"/>
      <c r="G377" s="1248"/>
      <c r="H377" s="1248"/>
    </row>
    <row r="378" spans="1:8" ht="13.8">
      <c r="A378" s="911" t="s">
        <v>2679</v>
      </c>
      <c r="B378" s="912"/>
      <c r="C378" s="1248"/>
      <c r="D378" s="1248"/>
      <c r="E378" s="1248"/>
      <c r="F378" s="1248"/>
      <c r="G378" s="1248"/>
      <c r="H378" s="1248"/>
    </row>
  </sheetData>
  <autoFilter ref="A10:H322" xr:uid="{00000000-0009-0000-0000-000001000000}"/>
  <phoneticPr fontId="0" type="noConversion"/>
  <printOptions horizontalCentered="1"/>
  <pageMargins left="0.23622047244094491" right="0.23622047244094491" top="0.74803149606299213" bottom="0.74803149606299213" header="0.31496062992125984" footer="0.31496062992125984"/>
  <pageSetup paperSize="9" scale="63" fitToHeight="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4">
    <tabColor indexed="17"/>
    <pageSetUpPr fitToPage="1"/>
  </sheetPr>
  <dimension ref="A1:M43"/>
  <sheetViews>
    <sheetView zoomScale="110" zoomScaleNormal="110" zoomScaleSheetLayoutView="100" workbookViewId="0">
      <pane xSplit="2" ySplit="6" topLeftCell="C14" activePane="bottomRight" state="frozen"/>
      <selection pane="topRight" activeCell="C1" sqref="C1"/>
      <selection pane="bottomLeft" activeCell="A7" sqref="A7"/>
      <selection pane="bottomRight" activeCell="E20" sqref="E20"/>
    </sheetView>
  </sheetViews>
  <sheetFormatPr defaultColWidth="9.109375" defaultRowHeight="13.8"/>
  <cols>
    <col min="1" max="1" width="4.33203125" style="1" customWidth="1"/>
    <col min="2" max="2" width="47.33203125" style="1" customWidth="1"/>
    <col min="3" max="3" width="15.33203125" style="1" bestFit="1" customWidth="1"/>
    <col min="4" max="4" width="11.109375" style="1" customWidth="1"/>
    <col min="5" max="5" width="16" style="1" customWidth="1"/>
    <col min="6" max="6" width="12.33203125" style="1" customWidth="1"/>
    <col min="7" max="7" width="14.5546875" style="1" customWidth="1"/>
    <col min="8" max="8" width="15.6640625" style="1" bestFit="1" customWidth="1"/>
    <col min="9" max="9" width="11.44140625" style="1" customWidth="1"/>
    <col min="10" max="10" width="11.33203125" style="1" bestFit="1" customWidth="1"/>
    <col min="11" max="11" width="11.44140625" style="1" customWidth="1"/>
    <col min="12" max="16384" width="9.109375" style="1"/>
  </cols>
  <sheetData>
    <row r="1" spans="1:13">
      <c r="C1" s="5"/>
      <c r="G1" s="245" t="s">
        <v>175</v>
      </c>
    </row>
    <row r="2" spans="1:13" ht="32.25" customHeight="1">
      <c r="A2" s="989" t="str">
        <f>""&amp;(Шаблон!B1)&amp;"нинг "&amp;(Шаблон!B2)&amp;" "&amp;(Шаблон!B3)&amp;" бўйича "&amp;(Шаблон!B15)&amp;" ҳолатига активлар                                                                 ТАҲЛИЛИ"</f>
        <v>АТ "Халқ банк"нинг Фаргона вилояти Бешариқ филиали бўйича 2024 йил 1 январ ҳолатига активлар                                                                 ТАҲЛИЛИ</v>
      </c>
      <c r="B2" s="989"/>
      <c r="C2" s="989"/>
      <c r="D2" s="989"/>
      <c r="E2" s="989"/>
      <c r="F2" s="989"/>
      <c r="G2" s="989"/>
    </row>
    <row r="3" spans="1:13" ht="14.4" thickBot="1">
      <c r="G3" s="246" t="s">
        <v>248</v>
      </c>
    </row>
    <row r="4" spans="1:13" ht="33.75" customHeight="1">
      <c r="A4" s="990" t="s">
        <v>176</v>
      </c>
      <c r="B4" s="992" t="s">
        <v>177</v>
      </c>
      <c r="C4" s="996" t="str">
        <f>""&amp;(Шаблон!B16)&amp;" ҳолатига"</f>
        <v>2023 йил 1 январ ҳолатига</v>
      </c>
      <c r="D4" s="997"/>
      <c r="E4" s="996" t="str">
        <f>""&amp;(Шаблон!B15)&amp;" ҳолатига"</f>
        <v>2024 йил 1 январ ҳолатига</v>
      </c>
      <c r="F4" s="997"/>
      <c r="G4" s="994" t="s">
        <v>308</v>
      </c>
    </row>
    <row r="5" spans="1:13" ht="14.4" thickBot="1">
      <c r="A5" s="991"/>
      <c r="B5" s="993"/>
      <c r="C5" s="60" t="s">
        <v>178</v>
      </c>
      <c r="D5" s="61" t="s">
        <v>211</v>
      </c>
      <c r="E5" s="60" t="s">
        <v>178</v>
      </c>
      <c r="F5" s="61" t="s">
        <v>211</v>
      </c>
      <c r="G5" s="995"/>
    </row>
    <row r="6" spans="1:13" ht="22.5" customHeight="1">
      <c r="A6" s="62" t="s">
        <v>180</v>
      </c>
      <c r="B6" s="63" t="s">
        <v>181</v>
      </c>
      <c r="C6" s="64">
        <f>C7+C8+C10+C9+C12+C13+C14+C11</f>
        <v>311727421.32460999</v>
      </c>
      <c r="D6" s="64">
        <f>+(C6+C32)*100/C30</f>
        <v>6.0557820699465621</v>
      </c>
      <c r="E6" s="64">
        <f>E7+E8+E10+E9+E12+E13+E14+E11</f>
        <v>389127395.84951997</v>
      </c>
      <c r="F6" s="64">
        <f>+E6*100/E30</f>
        <v>82.242727444782545</v>
      </c>
      <c r="G6" s="64">
        <f>G7+G8+G10+G9+G12+G13+G14+G11</f>
        <v>77399974.524909943</v>
      </c>
      <c r="H6" s="919">
        <f>+(E6+E32)-(C6+C32)</f>
        <v>-24680320.449090123</v>
      </c>
      <c r="I6" s="12"/>
    </row>
    <row r="7" spans="1:13">
      <c r="A7" s="252" t="s">
        <v>253</v>
      </c>
      <c r="B7" s="13" t="s">
        <v>204</v>
      </c>
      <c r="C7" s="14">
        <f>SUM(SUMIF(Баланс!$B:$B,11100,Баланс!$C:$C)/1000,0)</f>
        <v>0</v>
      </c>
      <c r="D7" s="14">
        <f>C7/C6*100</f>
        <v>0</v>
      </c>
      <c r="E7" s="14">
        <f>SUM(SUMIF(Баланс!$B:$B,11100,Баланс!$G:$G)/1000,0)</f>
        <v>0</v>
      </c>
      <c r="F7" s="14">
        <f>E7/E6*100</f>
        <v>0</v>
      </c>
      <c r="G7" s="66">
        <f t="shared" ref="G7:G30" si="0">SUM(E7-C7)</f>
        <v>0</v>
      </c>
    </row>
    <row r="8" spans="1:13">
      <c r="A8" s="252" t="s">
        <v>254</v>
      </c>
      <c r="B8" s="13" t="s">
        <v>2763</v>
      </c>
      <c r="C8" s="14">
        <f>SUM(SUMIF(Баланс!$B:$B,12600,Баланс!$C:$C)/1000+SUMIF(Баланс!$B:$B,12100,Баланс!$C:$C)/1000+SUMIF(Баланс!$B:$B,12300,Баланс!$C:$C)/1000+SUMIF(Баланс!$B:$B,12400,Баланс!$C:$C)/1000+SUMIF(Баланс!$B:$B,12500,Баланс!$C:$C)/1000+SUMIF(Баланс!$B:$B,12700,Баланс!$C:$C)/1000+SUMIF(Баланс!$B:$B,12900,Баланс!$C:$C)/1000+SUMIF(Баланс!$B:$B,13000,Баланс!$C:$C)/1000+SUMIF(Баланс!$B:$B,13100,Баланс!$C:$C)/1000+SUMIF(Баланс!$B:$B,13200,Баланс!$C:$C)/1000+SUMIF(Баланс!$B:$B,13300,Баланс!$C:$C)/1000,0)</f>
        <v>4039899.1535500004</v>
      </c>
      <c r="D8" s="14">
        <f>C8/C6*100</f>
        <v>1.2959716974475424</v>
      </c>
      <c r="E8" s="14">
        <f>SUM(SUMIF(Баланс!$B:$B,12600,Баланс!$G:$G)/1000+SUMIF(Баланс!$B:$B,12100,Баланс!$G:$G)/1000+SUMIF(Баланс!$B:$B,12300,Баланс!$G:$G)/1000+SUMIF(Баланс!$B:$B,12400,Баланс!$G:$G)/1000+SUMIF(Баланс!$B:$B,12500,Баланс!$G:$G)/1000+SUMIF(Баланс!$B:$B,12700,Баланс!$G:$G)/1000+SUMIF(Баланс!$B:$B,12900,Баланс!$G:$G)/1000+SUMIF(Баланс!$B:$B,13000,Баланс!$G:$G)/1000+SUMIF(Баланс!$B:$B,13100,Баланс!$G:$G)/1000+SUMIF(Баланс!$B:$B,13200,Баланс!$G:$G)/1000+SUMIF(Баланс!$B:$B,13300,Баланс!$G:$G)/1000,0)</f>
        <v>14360500.676139999</v>
      </c>
      <c r="F8" s="14">
        <f>E8/E6*100</f>
        <v>3.6904368156318061</v>
      </c>
      <c r="G8" s="66">
        <f t="shared" si="0"/>
        <v>10320601.522589998</v>
      </c>
      <c r="I8" s="12"/>
      <c r="K8" s="12"/>
      <c r="M8" s="12"/>
    </row>
    <row r="9" spans="1:13">
      <c r="A9" s="252" t="s">
        <v>255</v>
      </c>
      <c r="B9" s="13" t="s">
        <v>309</v>
      </c>
      <c r="C9" s="915">
        <f>SUM(SUMIF(Баланс!$B:$B,14300,Баланс!$C:$C)/1000+SUMIF(Баланс!$B:$B,14500,Баланс!$C:$C)/1000+SUMIF(Баланс!$B:$B,14700,Баланс!$C:$C)/1000+SUMIF(Баланс!$B:$B,14900,Баланс!$C:$C)/1000+SUMIF(Баланс!$B:$B,15000,Баланс!$C:$C)/1000+SUMIF(Баланс!$B:$B,15100,Баланс!$C:$C)/1000+SUMIF(Баланс!$B:$B,15200,Баланс!$C:$C)/1000+SUMIF(Баланс!$B:$B,15300,Баланс!$C:$C)/1000+SUMIF(Баланс!$B:$B,15400,Баланс!$C:$C)/1000+SUMIF(Баланс!$B:$B,15500,Баланс!$C:$C)/1000,0)+SUMIF(Баланс!$B:$B,14800,Баланс!$C:$C)/1000</f>
        <v>191592405.95297</v>
      </c>
      <c r="D9" s="915">
        <f>(C9+C32)/C6*100</f>
        <v>-31.460594903637208</v>
      </c>
      <c r="E9" s="915">
        <f>SUM(SUMIF(Баланс!$B:$B,14300,Баланс!$G:$G)/1000+SUMIF(Баланс!$B:$B,14500,Баланс!$G:$G)/1000+SUMIF(Баланс!$B:$B,14700,Баланс!$G:$G)/1000+SUMIF(Баланс!$B:$B,14900,Баланс!$G:$G)/1000+SUMIF(Баланс!$B:$B,15000,Баланс!$G:$G)/1000+SUMIF(Баланс!$B:$B,15100,Баланс!$G:$G)/1000+SUMIF(Баланс!$B:$B,15200,Баланс!$G:$G)/1000+SUMIF(Баланс!$B:$B,15300,Баланс!$G:$G)/1000+SUMIF(Баланс!$B:$B,15400,Баланс!$G:$G)/1000+SUMIF(Баланс!$B:$B,15500,Баланс!$G:$G)/1000,0)+SUMIF(Баланс!$B:$B,14800,Баланс!$G:$G)/1000</f>
        <v>244542430.33913994</v>
      </c>
      <c r="F9" s="915">
        <f>(E9)/E6*100</f>
        <v>62.843796902366464</v>
      </c>
      <c r="G9" s="916">
        <f t="shared" si="0"/>
        <v>52950024.38616994</v>
      </c>
      <c r="H9" s="919">
        <f>+(E9+E32)-(C9+C32)</f>
        <v>-49130270.587830156</v>
      </c>
      <c r="I9" s="12"/>
      <c r="K9" s="12"/>
      <c r="M9" s="12"/>
    </row>
    <row r="10" spans="1:13">
      <c r="A10" s="252" t="s">
        <v>256</v>
      </c>
      <c r="B10" s="13" t="s">
        <v>311</v>
      </c>
      <c r="C10" s="14">
        <v>0</v>
      </c>
      <c r="D10" s="14">
        <f>C10/C6*100</f>
        <v>0</v>
      </c>
      <c r="E10" s="14">
        <v>0</v>
      </c>
      <c r="F10" s="14">
        <f>E10/E6*100</f>
        <v>0</v>
      </c>
      <c r="G10" s="66">
        <f>SUM(E10-C10)</f>
        <v>0</v>
      </c>
      <c r="I10" s="12"/>
      <c r="K10" s="12"/>
      <c r="M10" s="12"/>
    </row>
    <row r="11" spans="1:13">
      <c r="A11" s="252" t="s">
        <v>257</v>
      </c>
      <c r="B11" s="635" t="s">
        <v>1010</v>
      </c>
      <c r="C11" s="14">
        <f>SUM(SUMIF(Баланс!$B:$B,15700,Баланс!$C:$C)/1000)</f>
        <v>59138.511930000001</v>
      </c>
      <c r="D11" s="14">
        <f>+C11/C6*100</f>
        <v>1.8971225463164341E-2</v>
      </c>
      <c r="E11" s="14">
        <f>SUM(SUMIF(Баланс!$B:$B,15700,Баланс!$G:$G)/1000)</f>
        <v>32804.977579999999</v>
      </c>
      <c r="F11" s="898">
        <f>+E11/E6*100</f>
        <v>8.4303952715490786E-3</v>
      </c>
      <c r="G11" s="66">
        <f>SUM(E11-C11)</f>
        <v>-26333.534350000002</v>
      </c>
      <c r="I11" s="12"/>
      <c r="K11" s="12"/>
      <c r="M11" s="12"/>
    </row>
    <row r="12" spans="1:13" ht="27.6">
      <c r="A12" s="252" t="s">
        <v>258</v>
      </c>
      <c r="B12" s="15" t="s">
        <v>543</v>
      </c>
      <c r="C12" s="14">
        <f>SUM(SUMIF(Баланс!$B:$B,15900,Баланс!$C:$C)/1000,0)</f>
        <v>0</v>
      </c>
      <c r="D12" s="14">
        <f>C12/C6*100</f>
        <v>0</v>
      </c>
      <c r="E12" s="14">
        <f>SUM(SUMIF(Баланс!$B:$B,15900,Баланс!$G:$G)/1000,0)</f>
        <v>0</v>
      </c>
      <c r="F12" s="14">
        <f>E12/E6*100</f>
        <v>0</v>
      </c>
      <c r="G12" s="66">
        <f>SUM(E12-C12)</f>
        <v>0</v>
      </c>
      <c r="I12" s="12"/>
      <c r="K12" s="12"/>
      <c r="M12" s="12"/>
    </row>
    <row r="13" spans="1:13">
      <c r="A13" s="253" t="s">
        <v>260</v>
      </c>
      <c r="B13" s="13" t="s">
        <v>310</v>
      </c>
      <c r="C13" s="14">
        <f>SUM(SUMIF(Баланс!$B:$B,15800,Баланс!$C:$C)/1000,0)</f>
        <v>0</v>
      </c>
      <c r="D13" s="14">
        <f>C13/C6*100</f>
        <v>0</v>
      </c>
      <c r="E13" s="14">
        <f>SUM(SUMIF(Баланс!$B:$B,15800,Баланс!$G:$G)/1000,0)</f>
        <v>0</v>
      </c>
      <c r="F13" s="14">
        <f>E13/E6*100</f>
        <v>0</v>
      </c>
      <c r="G13" s="66">
        <f t="shared" si="0"/>
        <v>0</v>
      </c>
      <c r="I13" s="12"/>
      <c r="K13" s="12"/>
      <c r="M13" s="12"/>
    </row>
    <row r="14" spans="1:13" ht="28.2" thickBot="1">
      <c r="A14" s="253" t="s">
        <v>259</v>
      </c>
      <c r="B14" s="15" t="s">
        <v>199</v>
      </c>
      <c r="C14" s="16">
        <f>SUM(SUMIF(Баланс!$A:$A,16101,Баланс!$C:$C)/1000+SUMIF(Баланс!$A:$A,16102,Баланс!$C:$C)/1000,0)</f>
        <v>116035977.70616001</v>
      </c>
      <c r="D14" s="16">
        <f>C14/C6*100</f>
        <v>37.223538825392161</v>
      </c>
      <c r="E14" s="16">
        <f>SUM(SUMIF(Баланс!$A:$A,16101,Баланс!$G:$G)/1000+SUMIF(Баланс!$A:$A,16102,Баланс!$G:$G)/1000,0)</f>
        <v>130191659.85666001</v>
      </c>
      <c r="F14" s="16">
        <f>E14/E6*100</f>
        <v>33.457335886730171</v>
      </c>
      <c r="G14" s="67">
        <f t="shared" si="0"/>
        <v>14155682.1505</v>
      </c>
      <c r="H14" s="12">
        <f>+E8+E9</f>
        <v>258902931.01527995</v>
      </c>
      <c r="I14" s="12"/>
      <c r="K14" s="12"/>
      <c r="M14" s="12"/>
    </row>
    <row r="15" spans="1:13" ht="21.75" customHeight="1">
      <c r="A15" s="62" t="s">
        <v>182</v>
      </c>
      <c r="B15" s="69" t="s">
        <v>200</v>
      </c>
      <c r="C15" s="64">
        <f>SUM(C16:C23)</f>
        <v>52613862.597199991</v>
      </c>
      <c r="D15" s="64">
        <f>C15/C30*100</f>
        <v>14.440818243504699</v>
      </c>
      <c r="E15" s="64">
        <f>SUM(E16:E23)</f>
        <v>84017656.533109993</v>
      </c>
      <c r="F15" s="64">
        <f>E15/E30*100</f>
        <v>17.757272555217451</v>
      </c>
      <c r="G15" s="65">
        <f>SUM(E15-C15)</f>
        <v>31403793.935910001</v>
      </c>
      <c r="H15" s="12">
        <f>+H14/E14*100</f>
        <v>198.86291587366657</v>
      </c>
      <c r="I15" s="12"/>
      <c r="K15" s="12"/>
      <c r="M15" s="12"/>
    </row>
    <row r="16" spans="1:13" ht="27.6">
      <c r="A16" s="252" t="s">
        <v>253</v>
      </c>
      <c r="B16" s="17" t="s">
        <v>312</v>
      </c>
      <c r="C16" s="14">
        <f>SUM(SUMIF(Баланс!$A:$A,16104,Баланс!$C:$C)/1000+SUMIF(Баланс!$A:$A,16105,Баланс!$C:$C)/1000+SUMIF(Баланс!$A:$A,16107,Баланс!$C:$C)/1000+SUMIF(Баланс!$A:$A,16109,Баланс!$C:$C)/1000,0)</f>
        <v>0</v>
      </c>
      <c r="D16" s="14">
        <f>C16/C15*100</f>
        <v>0</v>
      </c>
      <c r="E16" s="14">
        <f>SUM(SUMIF(Баланс!$A:$A,16104,Баланс!$G:$G)/1000+SUMIF(Баланс!$A:$A,16105,Баланс!$G:$G)/1000+SUMIF(Баланс!$A:$A,16107,Баланс!$G:$G)/1000+SUMIF(Баланс!$A:$A,16109,Баланс!$G:$G)/1000,0)</f>
        <v>0</v>
      </c>
      <c r="F16" s="14">
        <f>E16/E15*100</f>
        <v>0</v>
      </c>
      <c r="G16" s="66">
        <f t="shared" si="0"/>
        <v>0</v>
      </c>
      <c r="I16" s="12"/>
      <c r="K16" s="12"/>
      <c r="M16" s="12"/>
    </row>
    <row r="17" spans="1:13">
      <c r="A17" s="252" t="s">
        <v>254</v>
      </c>
      <c r="B17" s="17" t="s">
        <v>313</v>
      </c>
      <c r="C17" s="14">
        <f>SUM(SUMIF(Баланс!$B:$B,16300,Баланс!$C:$C)/1000+SUMIF(Баланс!$B:$B,16400,Баланс!$C:$C)/1000,0)</f>
        <v>12488980.950100001</v>
      </c>
      <c r="D17" s="14">
        <f>C17/C15*100</f>
        <v>23.737053950425302</v>
      </c>
      <c r="E17" s="14">
        <f>SUM(SUMIF(Баланс!$B:$B,16300,Баланс!$G:$G)/1000+SUMIF(Баланс!$B:$B,16400,Баланс!$G:$G)/1000,0)</f>
        <v>21636699.657420002</v>
      </c>
      <c r="F17" s="14">
        <f>E17/E15*100</f>
        <v>25.752562675791047</v>
      </c>
      <c r="G17" s="66">
        <f t="shared" si="0"/>
        <v>9147718.707320001</v>
      </c>
      <c r="H17" s="1" t="s">
        <v>222</v>
      </c>
      <c r="I17" s="12"/>
      <c r="K17" s="12"/>
      <c r="M17" s="12"/>
    </row>
    <row r="18" spans="1:13">
      <c r="A18" s="252" t="s">
        <v>255</v>
      </c>
      <c r="B18" s="13" t="s">
        <v>183</v>
      </c>
      <c r="C18" s="14">
        <f>SUM(SUMIF(Баланс!$B:$B,16500,Баланс!$C:$C)/1000+SUMIF(Баланс!$B:$B,16600,Баланс!$C:$C)/1000+SUMIF(Баланс!$B:$B,16700,Баланс!$C:$C)/1000,0)</f>
        <v>12169965.68406</v>
      </c>
      <c r="D18" s="14">
        <f>C18/C15*100</f>
        <v>23.130720846767222</v>
      </c>
      <c r="E18" s="14">
        <f>SUM(SUMIF(Баланс!$B:$B,16500,Баланс!$G:$G)/1000+SUMIF(Баланс!$B:$B,16600,Баланс!$G:$G)/1000+SUMIF(Баланс!$B:$B,16700,Баланс!$G:$G)/1000,0)</f>
        <v>21895680.158819996</v>
      </c>
      <c r="F18" s="14">
        <f>E18/E15*100</f>
        <v>26.060808004316645</v>
      </c>
      <c r="G18" s="66">
        <f t="shared" si="0"/>
        <v>9725714.4747599959</v>
      </c>
      <c r="H18" s="1" t="s">
        <v>222</v>
      </c>
      <c r="I18" s="12"/>
      <c r="K18" s="12"/>
      <c r="M18" s="12"/>
    </row>
    <row r="19" spans="1:13">
      <c r="A19" s="252" t="s">
        <v>256</v>
      </c>
      <c r="B19" s="3" t="s">
        <v>314</v>
      </c>
      <c r="C19" s="14">
        <f>SUM(SUMIF(Баланс!$B:$B,17100,Баланс!$C:$C)/1000,0)</f>
        <v>2172323.9898200002</v>
      </c>
      <c r="D19" s="14">
        <f>C19/C15*100</f>
        <v>4.1288053805340788</v>
      </c>
      <c r="E19" s="14">
        <f>SUM(SUMIF(Баланс!$B:$B,17100,Баланс!$G:$G)/1000,0)</f>
        <v>4997355.3592299996</v>
      </c>
      <c r="F19" s="14">
        <f>E19/E15*100</f>
        <v>5.9479823235257978</v>
      </c>
      <c r="G19" s="66">
        <f t="shared" si="0"/>
        <v>2825031.3694099993</v>
      </c>
      <c r="I19" s="12"/>
      <c r="K19" s="12"/>
      <c r="M19" s="12"/>
    </row>
    <row r="20" spans="1:13">
      <c r="A20" s="252" t="s">
        <v>257</v>
      </c>
      <c r="B20" s="3" t="s">
        <v>315</v>
      </c>
      <c r="C20" s="14">
        <f>SUM(SUMIF(Баланс!$B:$B,17300,Баланс!$C:$C)/1000,0)+SUM(SUMIF(Баланс!$B:$B,17400,Баланс!$C:$C)/1000,0)</f>
        <v>605010.44209999999</v>
      </c>
      <c r="D20" s="14">
        <f>C20/C15*100</f>
        <v>1.1499069109063997</v>
      </c>
      <c r="E20" s="14">
        <f>SUM(SUMIF(Баланс!$B:$B,17300,Баланс!$G:$G)/1000,0)+SUM(SUMIF(Баланс!$B:$B,17400,Баланс!$G:$G)/1000,0)</f>
        <v>494345.42114999995</v>
      </c>
      <c r="F20" s="14">
        <f>E20/E15*100</f>
        <v>0.58838277755960311</v>
      </c>
      <c r="G20" s="66">
        <f t="shared" si="0"/>
        <v>-110665.02095000003</v>
      </c>
      <c r="I20" s="12"/>
      <c r="J20" s="12"/>
      <c r="K20" s="12"/>
      <c r="M20" s="12"/>
    </row>
    <row r="21" spans="1:13">
      <c r="A21" s="252" t="s">
        <v>258</v>
      </c>
      <c r="B21" s="3" t="s">
        <v>316</v>
      </c>
      <c r="C21" s="14">
        <f>SUM(SUMIF(Баланс!$B:$B,17500,Баланс!$C:$C)/1000,0)+SUM(SUMIF(Баланс!$B:$B,10700,Баланс!$C:$C)/1000,0)+SUM(SUMIF(Баланс!$B:$B,10800,Баланс!$C:$C)/1000,0)</f>
        <v>0</v>
      </c>
      <c r="D21" s="14">
        <f>C21/C15*100</f>
        <v>0</v>
      </c>
      <c r="E21" s="14">
        <f>SUM(SUMIF(Баланс!$B:$B,17500,Баланс!$G:$G)/1000,0)+SUM(SUMIF(Баланс!$B:$B,10700,Баланс!$G:$G)/1000,0)+SUM(SUMIF(Баланс!$B:$B,10800,Баланс!$G:$G)/1000,0)</f>
        <v>0</v>
      </c>
      <c r="F21" s="14">
        <f>E21/E15*100</f>
        <v>0</v>
      </c>
      <c r="G21" s="66">
        <f t="shared" si="0"/>
        <v>0</v>
      </c>
      <c r="I21" s="12"/>
      <c r="K21" s="12"/>
      <c r="M21" s="12"/>
    </row>
    <row r="22" spans="1:13" ht="18" customHeight="1">
      <c r="A22" s="252" t="s">
        <v>259</v>
      </c>
      <c r="B22" s="13" t="s">
        <v>317</v>
      </c>
      <c r="C22" s="14">
        <f>SUM(SUMIF(Баланс!$B:$B,19900,Баланс!$C:$C)/1000,0)</f>
        <v>952064.29556</v>
      </c>
      <c r="D22" s="14">
        <f>C22/C15*100</f>
        <v>1.8095312690664667</v>
      </c>
      <c r="E22" s="14">
        <f>SUM(SUMIF(Баланс!$B:$B,19900,Баланс!$G:$G)/1000,0)</f>
        <v>1019650.2958600001</v>
      </c>
      <c r="F22" s="14">
        <f>E22/E15*100</f>
        <v>1.2136143019630312</v>
      </c>
      <c r="G22" s="66">
        <f t="shared" si="0"/>
        <v>67586.000300000072</v>
      </c>
      <c r="H22" s="1" t="s">
        <v>222</v>
      </c>
      <c r="I22" s="12"/>
      <c r="K22" s="12"/>
      <c r="M22" s="12"/>
    </row>
    <row r="23" spans="1:13" ht="21" customHeight="1" thickBot="1">
      <c r="A23" s="254" t="s">
        <v>260</v>
      </c>
      <c r="B23" s="250" t="s">
        <v>102</v>
      </c>
      <c r="C23" s="251">
        <f>SUM(C25:C29)</f>
        <v>24225517.235559996</v>
      </c>
      <c r="D23" s="251">
        <f>C23/C15*100</f>
        <v>46.043981642300544</v>
      </c>
      <c r="E23" s="251">
        <f>SUM(E25:E29)</f>
        <v>33973925.640629999</v>
      </c>
      <c r="F23" s="251">
        <f>E23/E15*100</f>
        <v>40.436649916843884</v>
      </c>
      <c r="G23" s="831">
        <f>SUM(G25:G28)</f>
        <v>6425757.685220005</v>
      </c>
      <c r="H23" s="1" t="s">
        <v>222</v>
      </c>
      <c r="I23" s="12"/>
      <c r="K23" s="12"/>
      <c r="M23" s="12"/>
    </row>
    <row r="24" spans="1:13" ht="21" customHeight="1">
      <c r="A24" s="247"/>
      <c r="B24" s="367" t="s">
        <v>103</v>
      </c>
      <c r="C24" s="248"/>
      <c r="D24" s="248"/>
      <c r="E24" s="248"/>
      <c r="F24" s="248"/>
      <c r="G24" s="249"/>
      <c r="I24" s="12"/>
      <c r="K24" s="12"/>
      <c r="M24" s="12"/>
    </row>
    <row r="25" spans="1:13" ht="33" customHeight="1">
      <c r="A25" s="70"/>
      <c r="B25" s="3" t="s">
        <v>318</v>
      </c>
      <c r="C25" s="14">
        <f>SUM(SUMIF(Баланс!$B:$B,10100,Баланс!$C:$C)/1000,0)-SUMIF(Баланс!$A:$A,10109,Баланс!$C:$C)/1000</f>
        <v>8367017.6542600002</v>
      </c>
      <c r="D25" s="14">
        <f>C25/C23*100</f>
        <v>34.538035134202531</v>
      </c>
      <c r="E25" s="14">
        <f>SUM(SUMIF(Баланс!$B:$B,10100,Баланс!$G:$G)/1000,0)-SUMIF(Баланс!$A:$A,10109,Баланс!$G:$G)/1000</f>
        <v>29391284.768290002</v>
      </c>
      <c r="F25" s="14">
        <f>E25/E23*100</f>
        <v>86.511300104632184</v>
      </c>
      <c r="G25" s="66">
        <f t="shared" si="0"/>
        <v>21024267.114030004</v>
      </c>
      <c r="I25" s="12"/>
      <c r="K25" s="12"/>
      <c r="M25" s="12"/>
    </row>
    <row r="26" spans="1:13" ht="33" customHeight="1">
      <c r="A26" s="70"/>
      <c r="B26" s="3" t="s">
        <v>320</v>
      </c>
      <c r="C26" s="14">
        <f>SUM(SUMIF(Баланс!$B:$B,10300,Баланс!$C:$C)/1000+SUMIF(Баланс!$B:$B,10500,Баланс!$C:$C)/1000+SUMIF(Баланс!$A:$A,10109,Баланс!$C:$C)/1000-SUMIF(Баланс!$A:$A,10309,Баланс!$C:$C)/1000,0)</f>
        <v>1303744.98789</v>
      </c>
      <c r="D26" s="14">
        <f>C26/C23*100</f>
        <v>5.3817013490893277</v>
      </c>
      <c r="E26" s="14">
        <f>SUM(SUMIF(Баланс!$B:$B,10300,Баланс!$G:$G)/1000+SUMIF(Баланс!$B:$B,10500,Баланс!$G:$G)/1000,0)+SUMIF(Баланс!$A:$A,10109,Баланс!$G:$G)/1000-SUMIF(Баланс!$A:$A,10309,Баланс!$G:$G)/1000</f>
        <v>1235746.6033800002</v>
      </c>
      <c r="F26" s="14">
        <f>E26/E23*100</f>
        <v>3.6373382824566778</v>
      </c>
      <c r="G26" s="66">
        <f t="shared" si="0"/>
        <v>-67998.384509999771</v>
      </c>
      <c r="I26" s="12"/>
      <c r="K26" s="12"/>
      <c r="M26" s="12"/>
    </row>
    <row r="27" spans="1:13" ht="33" customHeight="1">
      <c r="A27" s="70"/>
      <c r="B27" s="3" t="s">
        <v>319</v>
      </c>
      <c r="C27" s="14">
        <f>SUM(SUMIF(Баланс!$A:$A,10309,Баланс!$C:$C)/1000,0)</f>
        <v>0</v>
      </c>
      <c r="D27" s="14">
        <f>C27/C23*100</f>
        <v>0</v>
      </c>
      <c r="E27" s="14">
        <f>SUM(SUMIF(Баланс!$A:$A,10309,Баланс!$G:$G)/1000,0)</f>
        <v>0</v>
      </c>
      <c r="F27" s="14">
        <f>E27/E23*100</f>
        <v>0</v>
      </c>
      <c r="G27" s="66">
        <f t="shared" si="0"/>
        <v>0</v>
      </c>
      <c r="I27" s="12"/>
      <c r="K27" s="12"/>
      <c r="M27" s="12"/>
    </row>
    <row r="28" spans="1:13" ht="32.25" customHeight="1">
      <c r="A28" s="639"/>
      <c r="B28" s="640" t="s">
        <v>321</v>
      </c>
      <c r="C28" s="14">
        <f>SUM(SUMIF(Баланс!$A:$A,16103,Баланс!$C:$C)/1000,0)</f>
        <v>14530511.044299999</v>
      </c>
      <c r="D28" s="14">
        <f>C28/C23*100</f>
        <v>59.980189083315203</v>
      </c>
      <c r="E28" s="14">
        <f>SUM(SUMIF(Баланс!$A:$A,16103,Баланс!$G:$G)/1000,0)</f>
        <v>0</v>
      </c>
      <c r="F28" s="14">
        <f>E28/E23*100</f>
        <v>0</v>
      </c>
      <c r="G28" s="66">
        <f t="shared" si="0"/>
        <v>-14530511.044299999</v>
      </c>
      <c r="I28" s="12"/>
      <c r="K28" s="12"/>
      <c r="M28" s="12"/>
    </row>
    <row r="29" spans="1:13" ht="32.25" customHeight="1" thickBot="1">
      <c r="A29" s="636"/>
      <c r="B29" s="637" t="s">
        <v>1011</v>
      </c>
      <c r="C29" s="14">
        <f>SUM(SUMIF(Баланс!$A:$A,16113,Баланс!$C:$C)/1000,0)+SUM(SUMIF(Баланс!$A:$A,16111,Баланс!$C:$C)/1000,0)</f>
        <v>24243.54911</v>
      </c>
      <c r="D29" s="14">
        <f>+C29/C23*100</f>
        <v>0.1000744333929578</v>
      </c>
      <c r="E29" s="14">
        <f>SUM(SUMIF(Баланс!$A:$A,16113,Баланс!$G:$G)/1000,0)+SUM(SUMIF(Баланс!$A:$A,16111,Баланс!$G:$G)/1000,0)</f>
        <v>3346894.26896</v>
      </c>
      <c r="F29" s="14">
        <f>+E29/E23*100</f>
        <v>9.851361612911143</v>
      </c>
      <c r="G29" s="638"/>
      <c r="I29" s="12"/>
      <c r="K29" s="12"/>
      <c r="M29" s="12"/>
    </row>
    <row r="30" spans="1:13" ht="19.5" customHeight="1" thickBot="1">
      <c r="A30" s="68"/>
      <c r="B30" s="71" t="s">
        <v>184</v>
      </c>
      <c r="C30" s="59">
        <f>C15+C6</f>
        <v>364341283.92180997</v>
      </c>
      <c r="D30" s="72">
        <f>D15+D6</f>
        <v>20.49660031345126</v>
      </c>
      <c r="E30" s="73">
        <f>E15+E6</f>
        <v>473145052.38262999</v>
      </c>
      <c r="F30" s="59">
        <f>F15+F6</f>
        <v>100</v>
      </c>
      <c r="G30" s="73">
        <f t="shared" si="0"/>
        <v>108803768.46082002</v>
      </c>
      <c r="I30" s="12"/>
      <c r="K30" s="12"/>
      <c r="M30" s="12"/>
    </row>
    <row r="31" spans="1:13" s="917" customFormat="1" ht="14.4" thickBot="1">
      <c r="C31" s="979">
        <f>74677576742.35/1000</f>
        <v>74677576.742350012</v>
      </c>
      <c r="E31" s="979">
        <f>81401050229.17/1000</f>
        <v>81401050.229169995</v>
      </c>
      <c r="G31" s="73"/>
    </row>
    <row r="32" spans="1:13" s="917" customFormat="1" ht="13.2">
      <c r="C32" s="979">
        <f>+C31-C30</f>
        <v>-289663707.17945993</v>
      </c>
      <c r="D32" s="918"/>
      <c r="E32" s="979">
        <f>+E31-E30</f>
        <v>-391744002.15346003</v>
      </c>
    </row>
    <row r="33" spans="1:11">
      <c r="C33" s="642"/>
      <c r="D33" s="643"/>
      <c r="E33" s="12"/>
      <c r="G33" s="6"/>
    </row>
    <row r="34" spans="1:11">
      <c r="B34" s="6" t="str">
        <f>""&amp;(Шаблон!B1)&amp;"нинг Ички аудит"</f>
        <v>АТ "Халқ банк"нинг Ички аудит</v>
      </c>
      <c r="E34" s="919"/>
      <c r="F34" s="6"/>
      <c r="I34" s="6"/>
    </row>
    <row r="35" spans="1:11">
      <c r="B35" s="6" t="s">
        <v>4081</v>
      </c>
      <c r="F35" s="6" t="str">
        <f>Шаблон!B13</f>
        <v>А.Ҳазратқулов</v>
      </c>
      <c r="I35" s="6"/>
    </row>
    <row r="36" spans="1:11">
      <c r="B36" s="6"/>
      <c r="F36" s="6"/>
      <c r="I36" s="6"/>
    </row>
    <row r="37" spans="1:11">
      <c r="A37" s="6"/>
      <c r="B37" s="6" t="str">
        <f>""&amp;(Шаблон!B1)&amp;" "&amp;(Шаблон!B2)&amp;""</f>
        <v>АТ "Халқ банк" Фаргона вилояти</v>
      </c>
      <c r="I37" s="6"/>
    </row>
    <row r="38" spans="1:11">
      <c r="A38" s="6"/>
      <c r="B38" s="6" t="str">
        <f>""&amp;(Шаблон!B3)&amp;" бошқарувчиси:"</f>
        <v>Бешариқ филиали бошқарувчиси:</v>
      </c>
      <c r="F38" s="6" t="str">
        <f>Шаблон!B5</f>
        <v>_____________</v>
      </c>
    </row>
    <row r="39" spans="1:11">
      <c r="B39" s="6"/>
    </row>
    <row r="40" spans="1:11">
      <c r="B40" s="105" t="s">
        <v>323</v>
      </c>
      <c r="F40" s="6" t="str">
        <f>Шаблон!B8</f>
        <v>_____________</v>
      </c>
      <c r="I40" s="6"/>
    </row>
    <row r="41" spans="1:11">
      <c r="B41" s="6"/>
    </row>
    <row r="42" spans="1:11">
      <c r="B42" s="6"/>
      <c r="K42" s="6"/>
    </row>
    <row r="43" spans="1:11">
      <c r="B43" s="6"/>
      <c r="D43" s="7"/>
      <c r="I43" s="6"/>
    </row>
  </sheetData>
  <mergeCells count="6">
    <mergeCell ref="A2:G2"/>
    <mergeCell ref="A4:A5"/>
    <mergeCell ref="B4:B5"/>
    <mergeCell ref="G4:G5"/>
    <mergeCell ref="C4:D4"/>
    <mergeCell ref="E4:F4"/>
  </mergeCells>
  <phoneticPr fontId="0" type="noConversion"/>
  <printOptions horizontalCentered="1" verticalCentered="1"/>
  <pageMargins left="0.98" right="0.19685039370078741" top="0.59055118110236227" bottom="1.19" header="0.51181102362204722" footer="0.51181102362204722"/>
  <pageSetup paperSize="9" scale="77" orientation="portrait" r:id="rId1"/>
  <headerFooter alignWithMargins="0"/>
  <ignoredErrors>
    <ignoredError sqref="E9:E13 D15:F15 D23 E16:E19 E7:E8 E22:E29"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5">
    <tabColor indexed="11"/>
    <pageSetUpPr fitToPage="1"/>
  </sheetPr>
  <dimension ref="A1:O40"/>
  <sheetViews>
    <sheetView zoomScale="91" zoomScaleNormal="91" workbookViewId="0">
      <selection activeCell="H31" sqref="H31"/>
    </sheetView>
  </sheetViews>
  <sheetFormatPr defaultColWidth="9.109375" defaultRowHeight="13.8"/>
  <cols>
    <col min="1" max="1" width="6.33203125" style="1" customWidth="1"/>
    <col min="2" max="2" width="35.33203125" style="1" customWidth="1"/>
    <col min="3" max="3" width="11" style="1" customWidth="1"/>
    <col min="4" max="4" width="13" style="1" customWidth="1"/>
    <col min="5" max="5" width="15" style="1" customWidth="1"/>
    <col min="6" max="6" width="12.88671875" style="1" customWidth="1"/>
    <col min="7" max="7" width="14.33203125" style="1" customWidth="1"/>
    <col min="8" max="8" width="13" style="1" customWidth="1"/>
    <col min="9" max="11" width="14.88671875" style="1" customWidth="1"/>
    <col min="12" max="12" width="11.44140625" style="1" customWidth="1"/>
    <col min="13" max="13" width="10.5546875" style="1" bestFit="1" customWidth="1"/>
    <col min="14" max="15" width="9.109375" style="1"/>
    <col min="16" max="18" width="12.33203125" style="1" bestFit="1" customWidth="1"/>
    <col min="19" max="16384" width="9.109375" style="1"/>
  </cols>
  <sheetData>
    <row r="1" spans="1:12">
      <c r="L1" s="245" t="s">
        <v>117</v>
      </c>
    </row>
    <row r="2" spans="1:12" ht="33.75" customHeight="1">
      <c r="A2" s="989" t="str">
        <f>""&amp;(Шаблон!B1)&amp;"нинг "&amp;(Шаблон!B2)&amp;" вилоят "&amp;(Шаблон!B3)&amp;" филиали бўйича "&amp;(Шаблон!B15)&amp;" ҳолатига асосий воситалар                                                                                                                                                                                                             ТАҲЛИЛИ"</f>
        <v>АТ "Халқ банк"нинг Фаргона вилояти вилоят Бешариқ филиали филиали бўйича 2024 йил 1 январ ҳолатига асосий воситалар                                                                                                                                                                                                             ТАҲЛИЛИ</v>
      </c>
      <c r="B2" s="989"/>
      <c r="C2" s="989"/>
      <c r="D2" s="989"/>
      <c r="E2" s="989"/>
      <c r="F2" s="989"/>
      <c r="G2" s="989"/>
      <c r="H2" s="989"/>
      <c r="I2" s="989"/>
      <c r="J2" s="989"/>
      <c r="K2" s="989"/>
      <c r="L2" s="989"/>
    </row>
    <row r="3" spans="1:12" ht="14.4" thickBot="1">
      <c r="G3" s="6"/>
      <c r="H3" s="6"/>
      <c r="I3" s="6"/>
      <c r="J3" s="6"/>
      <c r="K3" s="6"/>
      <c r="L3" s="245" t="s">
        <v>248</v>
      </c>
    </row>
    <row r="4" spans="1:12" s="145" customFormat="1" ht="53.4" thickBot="1">
      <c r="A4" s="144" t="s">
        <v>330</v>
      </c>
      <c r="B4" s="144" t="s">
        <v>329</v>
      </c>
      <c r="C4" s="708" t="s">
        <v>1013</v>
      </c>
      <c r="D4" s="709" t="s">
        <v>171</v>
      </c>
      <c r="E4" s="144" t="s">
        <v>202</v>
      </c>
      <c r="F4" s="709" t="s">
        <v>172</v>
      </c>
      <c r="G4" s="700" t="s">
        <v>331</v>
      </c>
      <c r="H4" s="144" t="s">
        <v>173</v>
      </c>
      <c r="I4" s="700" t="s">
        <v>1029</v>
      </c>
      <c r="J4" s="700" t="s">
        <v>196</v>
      </c>
      <c r="K4" s="700" t="s">
        <v>101</v>
      </c>
      <c r="L4" s="144" t="s">
        <v>186</v>
      </c>
    </row>
    <row r="5" spans="1:12">
      <c r="A5" s="259" t="s">
        <v>263</v>
      </c>
      <c r="B5" s="260" t="s">
        <v>187</v>
      </c>
      <c r="C5" s="701"/>
      <c r="D5" s="451"/>
      <c r="E5" s="451"/>
      <c r="F5" s="451"/>
      <c r="G5" s="451"/>
      <c r="H5" s="451"/>
      <c r="I5" s="451"/>
      <c r="J5" s="451"/>
      <c r="K5" s="451"/>
      <c r="L5" s="452"/>
    </row>
    <row r="6" spans="1:12">
      <c r="A6" s="265" t="s">
        <v>265</v>
      </c>
      <c r="B6" s="258" t="str">
        <f>""&amp;(Шаблон!B16)&amp;" ҳолатига қолдиқ"</f>
        <v>2023 йил 1 январ ҳолатига қолдиқ</v>
      </c>
      <c r="C6" s="97">
        <f>SUM(SUMIF(Баланс!$A:$A,16505,Баланс!$C:$C)/1000,0)</f>
        <v>0</v>
      </c>
      <c r="D6" s="97">
        <f>SUM(SUMIF(Баланс!$A:$A,16509,Баланс!$C:$C)/1000,0)</f>
        <v>4016869.61332</v>
      </c>
      <c r="E6" s="97">
        <f>SUM(SUMIF(Баланс!$A:$A,16515,Баланс!$C:$C)/1000,0)</f>
        <v>0</v>
      </c>
      <c r="F6" s="97">
        <f>SUM(SUMIF(Баланс!$A:$A,16529,Баланс!$C:$C)/1000,0)</f>
        <v>810919.32626</v>
      </c>
      <c r="G6" s="97">
        <f>SUM(SUMIF(Баланс!$A:$A,16535,Баланс!$C:$C)/1000,0)</f>
        <v>2748798.5451199999</v>
      </c>
      <c r="H6" s="97">
        <f>SUM(SUMIF(Баланс!$A:$A,16601,Баланс!$C:$C)/1000,0)</f>
        <v>0</v>
      </c>
      <c r="I6" s="97">
        <f>SUM(SUMIF(Баланс!$A:$A,16541,Баланс!$C:$C)/1000,0)</f>
        <v>3208281.1521999999</v>
      </c>
      <c r="J6" s="97">
        <f>SUM(SUMIF(Баланс!$A:$A,16549,Баланс!$C:$C)/1000,0)</f>
        <v>0</v>
      </c>
      <c r="K6" s="97">
        <f>SUM(SUMIF(Баланс!$A:$A,16561,Баланс!$C:$C)/1000,0)</f>
        <v>64039.594020000004</v>
      </c>
      <c r="L6" s="98">
        <f>SUM(C6:K6)</f>
        <v>10848908.23092</v>
      </c>
    </row>
    <row r="7" spans="1:12">
      <c r="A7" s="263" t="s">
        <v>266</v>
      </c>
      <c r="B7" s="256" t="s">
        <v>326</v>
      </c>
      <c r="C7" s="18">
        <f>SUM(C8:C13)</f>
        <v>0</v>
      </c>
      <c r="D7" s="18">
        <f>SUM(D8:D13)</f>
        <v>0</v>
      </c>
      <c r="E7" s="18">
        <f t="shared" ref="E7:L7" si="0">SUM(E8:E13)</f>
        <v>0</v>
      </c>
      <c r="F7" s="18">
        <f t="shared" si="0"/>
        <v>4274.8999999999996</v>
      </c>
      <c r="G7" s="18">
        <f t="shared" si="0"/>
        <v>0</v>
      </c>
      <c r="H7" s="18">
        <f t="shared" si="0"/>
        <v>0</v>
      </c>
      <c r="I7" s="18">
        <f t="shared" si="0"/>
        <v>0</v>
      </c>
      <c r="J7" s="18">
        <f>SUM(J8:J13)</f>
        <v>0</v>
      </c>
      <c r="K7" s="18">
        <f t="shared" si="0"/>
        <v>99383.4</v>
      </c>
      <c r="L7" s="74">
        <f t="shared" si="0"/>
        <v>103658.29999999999</v>
      </c>
    </row>
    <row r="8" spans="1:12">
      <c r="A8" s="264"/>
      <c r="B8" s="257" t="s">
        <v>104</v>
      </c>
      <c r="C8" s="702"/>
      <c r="D8" s="18"/>
      <c r="E8" s="18"/>
      <c r="F8" s="18"/>
      <c r="G8" s="18"/>
      <c r="H8" s="18"/>
      <c r="I8" s="18"/>
      <c r="J8" s="18"/>
      <c r="K8" s="18"/>
      <c r="L8" s="74">
        <f>SUM(D8:K8)</f>
        <v>0</v>
      </c>
    </row>
    <row r="9" spans="1:12">
      <c r="A9" s="264"/>
      <c r="B9" s="257" t="s">
        <v>105</v>
      </c>
      <c r="C9" s="702"/>
      <c r="D9" s="18"/>
      <c r="E9" s="18"/>
      <c r="F9" s="18"/>
      <c r="G9" s="18"/>
      <c r="H9" s="18"/>
      <c r="I9" s="18"/>
      <c r="J9" s="18"/>
      <c r="K9" s="18"/>
      <c r="L9" s="74">
        <f t="shared" ref="L9:L18" si="1">SUM(D9:K9)</f>
        <v>0</v>
      </c>
    </row>
    <row r="10" spans="1:12">
      <c r="A10" s="264"/>
      <c r="B10" s="257" t="s">
        <v>106</v>
      </c>
      <c r="C10" s="702"/>
      <c r="D10" s="18"/>
      <c r="E10" s="18"/>
      <c r="F10" s="18">
        <v>4274.8999999999996</v>
      </c>
      <c r="G10" s="18"/>
      <c r="H10" s="18"/>
      <c r="I10" s="18"/>
      <c r="J10" s="18"/>
      <c r="K10" s="18"/>
      <c r="L10" s="74">
        <f t="shared" si="1"/>
        <v>4274.8999999999996</v>
      </c>
    </row>
    <row r="11" spans="1:12">
      <c r="A11" s="264"/>
      <c r="B11" s="257" t="s">
        <v>107</v>
      </c>
      <c r="C11" s="702"/>
      <c r="D11" s="18"/>
      <c r="E11" s="18"/>
      <c r="F11" s="18"/>
      <c r="G11" s="18"/>
      <c r="H11" s="18"/>
      <c r="I11" s="18"/>
      <c r="J11" s="18"/>
      <c r="K11" s="18"/>
      <c r="L11" s="74">
        <f t="shared" si="1"/>
        <v>0</v>
      </c>
    </row>
    <row r="12" spans="1:12">
      <c r="A12" s="264"/>
      <c r="B12" s="257" t="s">
        <v>110</v>
      </c>
      <c r="C12" s="702"/>
      <c r="D12" s="18"/>
      <c r="E12" s="18"/>
      <c r="F12" s="18"/>
      <c r="G12" s="18"/>
      <c r="H12" s="18"/>
      <c r="I12" s="18"/>
      <c r="J12" s="18"/>
      <c r="K12" s="18">
        <v>99383.4</v>
      </c>
      <c r="L12" s="74">
        <f t="shared" si="1"/>
        <v>99383.4</v>
      </c>
    </row>
    <row r="13" spans="1:12">
      <c r="A13" s="264"/>
      <c r="B13" s="257" t="s">
        <v>108</v>
      </c>
      <c r="C13" s="702"/>
      <c r="D13" s="18"/>
      <c r="E13" s="18"/>
      <c r="F13" s="18"/>
      <c r="G13" s="18"/>
      <c r="H13" s="18"/>
      <c r="I13" s="18"/>
      <c r="J13" s="18"/>
      <c r="K13" s="18"/>
      <c r="L13" s="74">
        <f t="shared" si="1"/>
        <v>0</v>
      </c>
    </row>
    <row r="14" spans="1:12">
      <c r="A14" s="263" t="s">
        <v>267</v>
      </c>
      <c r="B14" s="256" t="s">
        <v>327</v>
      </c>
      <c r="C14" s="18">
        <f>SUM(C15:C18)</f>
        <v>0</v>
      </c>
      <c r="D14" s="18"/>
      <c r="E14" s="18">
        <f t="shared" ref="E14:L14" si="2">SUM(E15:E18)</f>
        <v>0</v>
      </c>
      <c r="F14" s="18">
        <f t="shared" si="2"/>
        <v>0</v>
      </c>
      <c r="G14" s="18">
        <f t="shared" si="2"/>
        <v>7699.3</v>
      </c>
      <c r="H14" s="18">
        <f t="shared" si="2"/>
        <v>0</v>
      </c>
      <c r="I14" s="18">
        <f t="shared" si="2"/>
        <v>91684.1</v>
      </c>
      <c r="J14" s="18">
        <f>SUM(J15:J18)</f>
        <v>0</v>
      </c>
      <c r="K14" s="18">
        <f t="shared" si="2"/>
        <v>99383.4</v>
      </c>
      <c r="L14" s="74">
        <f t="shared" si="2"/>
        <v>198766.8</v>
      </c>
    </row>
    <row r="15" spans="1:12">
      <c r="A15" s="264"/>
      <c r="B15" s="257" t="s">
        <v>104</v>
      </c>
      <c r="C15" s="702"/>
      <c r="D15" s="18"/>
      <c r="E15" s="18"/>
      <c r="F15" s="18"/>
      <c r="G15" s="18"/>
      <c r="H15" s="18"/>
      <c r="I15" s="18"/>
      <c r="J15" s="18"/>
      <c r="K15" s="18"/>
      <c r="L15" s="74">
        <f t="shared" si="1"/>
        <v>0</v>
      </c>
    </row>
    <row r="16" spans="1:12">
      <c r="A16" s="264"/>
      <c r="B16" s="257" t="s">
        <v>109</v>
      </c>
      <c r="C16" s="702"/>
      <c r="D16" s="18"/>
      <c r="E16" s="18"/>
      <c r="F16" s="18"/>
      <c r="G16" s="18">
        <f>1118.4+3610.9+2970</f>
        <v>7699.3</v>
      </c>
      <c r="H16" s="18"/>
      <c r="I16" s="18">
        <v>91684.1</v>
      </c>
      <c r="J16" s="18"/>
      <c r="K16" s="18">
        <v>99383.4</v>
      </c>
      <c r="L16" s="74">
        <f t="shared" si="1"/>
        <v>198766.8</v>
      </c>
    </row>
    <row r="17" spans="1:15">
      <c r="A17" s="264"/>
      <c r="B17" s="257" t="s">
        <v>418</v>
      </c>
      <c r="C17" s="702"/>
      <c r="D17" s="18"/>
      <c r="E17" s="18"/>
      <c r="F17" s="18"/>
      <c r="G17" s="18"/>
      <c r="H17" s="18"/>
      <c r="I17" s="18"/>
      <c r="J17" s="18"/>
      <c r="K17" s="18"/>
      <c r="L17" s="74">
        <f t="shared" si="1"/>
        <v>0</v>
      </c>
    </row>
    <row r="18" spans="1:15">
      <c r="A18" s="264"/>
      <c r="B18" s="257" t="s">
        <v>108</v>
      </c>
      <c r="C18" s="702"/>
      <c r="D18" s="18"/>
      <c r="E18" s="18"/>
      <c r="F18" s="18"/>
      <c r="G18" s="18"/>
      <c r="H18" s="18"/>
      <c r="I18" s="18"/>
      <c r="J18" s="18"/>
      <c r="K18" s="18"/>
      <c r="L18" s="74">
        <f t="shared" si="1"/>
        <v>0</v>
      </c>
    </row>
    <row r="19" spans="1:15">
      <c r="A19" s="265" t="s">
        <v>268</v>
      </c>
      <c r="B19" s="258" t="str">
        <f>""&amp;(Шаблон!B15)&amp;" ҳолатига қолдиқ"</f>
        <v>2024 йил 1 январ ҳолатига қолдиқ</v>
      </c>
      <c r="C19" s="453">
        <f>SUM(C6+C14-C7)</f>
        <v>0</v>
      </c>
      <c r="D19" s="703">
        <f>SUM(D6+D14-D7)</f>
        <v>4016869.61332</v>
      </c>
      <c r="E19" s="453">
        <f t="shared" ref="E19:K19" si="3">SUM(E6+E14-E7)</f>
        <v>0</v>
      </c>
      <c r="F19" s="703">
        <f t="shared" si="3"/>
        <v>806644.42625999998</v>
      </c>
      <c r="G19" s="703">
        <f t="shared" si="3"/>
        <v>2756497.8451199997</v>
      </c>
      <c r="H19" s="453">
        <f t="shared" si="3"/>
        <v>0</v>
      </c>
      <c r="I19" s="703">
        <f t="shared" si="3"/>
        <v>3299965.2522</v>
      </c>
      <c r="J19" s="703">
        <f>SUM(J6+J14-J7)</f>
        <v>0</v>
      </c>
      <c r="K19" s="703">
        <f t="shared" si="3"/>
        <v>64039.59401999999</v>
      </c>
      <c r="L19" s="454">
        <f>SUM(C19:K19)</f>
        <v>10944016.73092</v>
      </c>
      <c r="M19" s="12"/>
      <c r="N19" s="12"/>
      <c r="O19" s="12"/>
    </row>
    <row r="20" spans="1:15">
      <c r="A20" s="263" t="s">
        <v>269</v>
      </c>
      <c r="B20" s="256" t="s">
        <v>325</v>
      </c>
      <c r="C20" s="18">
        <f t="shared" ref="C20:K20" si="4">C19-C6</f>
        <v>0</v>
      </c>
      <c r="D20" s="18">
        <f t="shared" si="4"/>
        <v>0</v>
      </c>
      <c r="E20" s="18">
        <f t="shared" si="4"/>
        <v>0</v>
      </c>
      <c r="F20" s="18">
        <f t="shared" si="4"/>
        <v>-4274.9000000000233</v>
      </c>
      <c r="G20" s="18">
        <f t="shared" si="4"/>
        <v>7699.2999999998137</v>
      </c>
      <c r="H20" s="18">
        <f t="shared" si="4"/>
        <v>0</v>
      </c>
      <c r="I20" s="18">
        <f t="shared" si="4"/>
        <v>91684.100000000093</v>
      </c>
      <c r="J20" s="18">
        <f t="shared" si="4"/>
        <v>0</v>
      </c>
      <c r="K20" s="18">
        <f t="shared" si="4"/>
        <v>0</v>
      </c>
      <c r="L20" s="74">
        <f>SUM(C20:K20)</f>
        <v>95108.499999999884</v>
      </c>
      <c r="M20" s="12"/>
    </row>
    <row r="21" spans="1:15">
      <c r="A21" s="261" t="s">
        <v>264</v>
      </c>
      <c r="B21" s="258" t="s">
        <v>324</v>
      </c>
      <c r="C21" s="704"/>
      <c r="D21" s="97"/>
      <c r="E21" s="97"/>
      <c r="F21" s="97"/>
      <c r="G21" s="97"/>
      <c r="H21" s="97"/>
      <c r="I21" s="97"/>
      <c r="J21" s="97"/>
      <c r="K21" s="97"/>
      <c r="L21" s="98"/>
    </row>
    <row r="22" spans="1:15">
      <c r="A22" s="263" t="s">
        <v>265</v>
      </c>
      <c r="B22" s="256" t="str">
        <f>""&amp;(Шаблон!B16)&amp;" ҳолатига қолдиқ"</f>
        <v>2023 йил 1 январ ҳолатига қолдиқ</v>
      </c>
      <c r="C22" s="705"/>
      <c r="D22" s="18">
        <f>SUM(SUMIF(Баланс!$A:$A,16511,Баланс!$D:$D)/1000,0)</f>
        <v>1023955.25511</v>
      </c>
      <c r="E22" s="18">
        <f>SUM(SUMIF(Баланс!$A:$A,16519,Баланс!$D:$D)/1000,0)</f>
        <v>0</v>
      </c>
      <c r="F22" s="18">
        <f>SUM(SUMIF(Баланс!$A:$A,16531,Баланс!$D:$D)/1000,0)</f>
        <v>564853.10983000009</v>
      </c>
      <c r="G22" s="18">
        <f>SUM(SUMIF(Баланс!$A:$A,16539,Баланс!$D:$D)/1000,0)</f>
        <v>1551807.4477500001</v>
      </c>
      <c r="H22" s="18">
        <f>SUM(SUMIF(Баланс!$A:$A,16605,Баланс!$D:$D)/1000,0)</f>
        <v>0</v>
      </c>
      <c r="I22" s="18">
        <f>SUM(SUMIF(Баланс!$A:$A,16543,Баланс!$D:$D)/1000,0)</f>
        <v>1063569.6761699999</v>
      </c>
      <c r="J22" s="18">
        <f>SUM(SUMIF(Баланс!$A:$A,16551,Баланс!$D:$D)/1000,0)</f>
        <v>0</v>
      </c>
      <c r="K22" s="18">
        <v>0</v>
      </c>
      <c r="L22" s="74">
        <f>SUM(D22:K22)</f>
        <v>4204185.4888599999</v>
      </c>
    </row>
    <row r="23" spans="1:15">
      <c r="A23" s="263" t="s">
        <v>266</v>
      </c>
      <c r="B23" s="256" t="str">
        <f>""&amp;(Шаблон!B15)&amp;" ҳолатига қолдиқ"</f>
        <v>2024 йил 1 январ ҳолатига қолдиқ</v>
      </c>
      <c r="C23" s="705"/>
      <c r="D23" s="18">
        <f>SUM(SUMIF(Баланс!$A:$A,16511,Баланс!$H:$H)/1000,0)</f>
        <v>1185560.3169800001</v>
      </c>
      <c r="E23" s="18">
        <f>SUM(SUMIF(Баланс!$A:$A,16519,Баланс!$H:$H)/1000,0)</f>
        <v>0</v>
      </c>
      <c r="F23" s="18">
        <f>SUM(SUMIF(Баланс!$A:$A,16531,Баланс!$H:$H)/1000,0)</f>
        <v>655002.41570000001</v>
      </c>
      <c r="G23" s="18">
        <f>SUM(SUMIF(Баланс!$A:$A,16539,Баланс!$H:$H)/1000,0)</f>
        <v>2405110.91298</v>
      </c>
      <c r="H23" s="18">
        <f>SUM(SUMIF(Баланс!$A:$A,16605,Баланс!$H:$H)/1000,0)</f>
        <v>0</v>
      </c>
      <c r="I23" s="18">
        <f>SUM(SUMIF(Баланс!$A:$A,16543,Баланс!$H:$H)/1000,0)</f>
        <v>3495483.0132800001</v>
      </c>
      <c r="J23" s="18">
        <f>SUM(SUMIF(Баланс!$A:$A,16551,Баланс!$H:$H)/1000,0)</f>
        <v>0</v>
      </c>
      <c r="K23" s="18">
        <v>0</v>
      </c>
      <c r="L23" s="74">
        <f>SUM(D23:K23)</f>
        <v>7741156.6589400005</v>
      </c>
    </row>
    <row r="24" spans="1:15">
      <c r="A24" s="263" t="s">
        <v>267</v>
      </c>
      <c r="B24" s="256" t="s">
        <v>325</v>
      </c>
      <c r="C24" s="705"/>
      <c r="D24" s="18">
        <f t="shared" ref="D24:K24" si="5">D23-D22</f>
        <v>161605.06187000009</v>
      </c>
      <c r="E24" s="18">
        <f t="shared" si="5"/>
        <v>0</v>
      </c>
      <c r="F24" s="18">
        <f t="shared" si="5"/>
        <v>90149.305869999924</v>
      </c>
      <c r="G24" s="18">
        <f t="shared" si="5"/>
        <v>853303.46522999997</v>
      </c>
      <c r="H24" s="18">
        <f t="shared" si="5"/>
        <v>0</v>
      </c>
      <c r="I24" s="18">
        <f t="shared" si="5"/>
        <v>2431913.3371100002</v>
      </c>
      <c r="J24" s="18">
        <f t="shared" si="5"/>
        <v>0</v>
      </c>
      <c r="K24" s="18">
        <f t="shared" si="5"/>
        <v>0</v>
      </c>
      <c r="L24" s="74">
        <f>SUM(D24:K24)</f>
        <v>3536971.1700800001</v>
      </c>
    </row>
    <row r="25" spans="1:15">
      <c r="A25" s="261" t="s">
        <v>270</v>
      </c>
      <c r="B25" s="258" t="s">
        <v>328</v>
      </c>
      <c r="C25" s="704"/>
      <c r="D25" s="97"/>
      <c r="E25" s="97"/>
      <c r="F25" s="97"/>
      <c r="G25" s="97"/>
      <c r="H25" s="97"/>
      <c r="I25" s="97"/>
      <c r="J25" s="97"/>
      <c r="K25" s="97"/>
      <c r="L25" s="98"/>
    </row>
    <row r="26" spans="1:15">
      <c r="A26" s="265" t="s">
        <v>265</v>
      </c>
      <c r="B26" s="258" t="str">
        <f>""&amp;(Шаблон!B16)&amp;" ҳолатига қолдиқ"</f>
        <v>2023 йил 1 январ ҳолатига қолдиқ</v>
      </c>
      <c r="C26" s="704"/>
      <c r="D26" s="703">
        <f>D6-D22</f>
        <v>2992914.3582100002</v>
      </c>
      <c r="E26" s="453">
        <f t="shared" ref="E26:K26" si="6">E6-E22</f>
        <v>0</v>
      </c>
      <c r="F26" s="703">
        <f t="shared" si="6"/>
        <v>246066.21642999991</v>
      </c>
      <c r="G26" s="703">
        <f t="shared" si="6"/>
        <v>1196991.0973699999</v>
      </c>
      <c r="H26" s="453">
        <f t="shared" si="6"/>
        <v>0</v>
      </c>
      <c r="I26" s="703">
        <f t="shared" si="6"/>
        <v>2144711.47603</v>
      </c>
      <c r="J26" s="703">
        <f>J6-J22</f>
        <v>0</v>
      </c>
      <c r="K26" s="703">
        <f t="shared" si="6"/>
        <v>64039.594020000004</v>
      </c>
      <c r="L26" s="454">
        <f>SUM(D26:K26)</f>
        <v>6644722.7420600001</v>
      </c>
    </row>
    <row r="27" spans="1:15" ht="14.4" thickBot="1">
      <c r="A27" s="266" t="s">
        <v>266</v>
      </c>
      <c r="B27" s="262" t="str">
        <f>""&amp;(Шаблон!B15)&amp;" ҳолатига қолдиқ"</f>
        <v>2024 йил 1 январ ҳолатига қолдиқ</v>
      </c>
      <c r="C27" s="706"/>
      <c r="D27" s="707">
        <f t="shared" ref="D27:K27" si="7">D19-D23</f>
        <v>2831309.2963399999</v>
      </c>
      <c r="E27" s="455">
        <f t="shared" si="7"/>
        <v>0</v>
      </c>
      <c r="F27" s="707">
        <f t="shared" si="7"/>
        <v>151642.01055999997</v>
      </c>
      <c r="G27" s="707">
        <f t="shared" si="7"/>
        <v>351386.9321399997</v>
      </c>
      <c r="H27" s="455">
        <f t="shared" si="7"/>
        <v>0</v>
      </c>
      <c r="I27" s="707">
        <f t="shared" si="7"/>
        <v>-195517.76108000008</v>
      </c>
      <c r="J27" s="707">
        <f>J19-J23</f>
        <v>0</v>
      </c>
      <c r="K27" s="707">
        <f t="shared" si="7"/>
        <v>64039.59401999999</v>
      </c>
      <c r="L27" s="456">
        <f>SUM(D27:K27)</f>
        <v>3202860.0719799995</v>
      </c>
    </row>
    <row r="28" spans="1:15">
      <c r="A28" s="19"/>
      <c r="B28" s="20"/>
      <c r="C28" s="20"/>
      <c r="D28" s="21"/>
      <c r="E28" s="21"/>
      <c r="F28" s="21"/>
      <c r="G28" s="21"/>
      <c r="H28" s="21"/>
      <c r="I28" s="21" t="s">
        <v>222</v>
      </c>
      <c r="J28" s="21"/>
      <c r="K28" s="21"/>
      <c r="L28" s="21" t="s">
        <v>222</v>
      </c>
    </row>
    <row r="30" spans="1:15">
      <c r="B30" s="6" t="str">
        <f>""&amp;(Шаблон!B1)&amp;"нинг Ички Аудит"</f>
        <v>АТ "Халқ банк"нинг Ички Аудит</v>
      </c>
      <c r="C30" s="6"/>
      <c r="G30" s="6"/>
      <c r="H30" s="6"/>
    </row>
    <row r="31" spans="1:15">
      <c r="B31" s="6" t="s">
        <v>1109</v>
      </c>
      <c r="C31" s="6"/>
      <c r="G31" s="6"/>
      <c r="H31" s="6" t="str">
        <f>+Шаблон!B13</f>
        <v>А.Ҳазратқулов</v>
      </c>
    </row>
    <row r="32" spans="1:15">
      <c r="B32" s="6"/>
      <c r="C32" s="6"/>
      <c r="G32" s="6"/>
      <c r="H32" s="6"/>
      <c r="N32" s="998"/>
      <c r="O32" s="998"/>
    </row>
    <row r="33" spans="2:15">
      <c r="B33" s="6" t="str">
        <f>""&amp;(Шаблон!B1)&amp;" "&amp;(Шаблон!B2)&amp;" вилояти"</f>
        <v>АТ "Халқ банк" Фаргона вилояти вилояти</v>
      </c>
      <c r="C33" s="6"/>
      <c r="N33" s="998"/>
      <c r="O33" s="998"/>
    </row>
    <row r="34" spans="2:15">
      <c r="B34" s="6" t="str">
        <f>""&amp;(Шаблон!B3)&amp;" филиал бошқарувчиси:"</f>
        <v>Бешариқ филиали филиал бошқарувчиси:</v>
      </c>
      <c r="C34" s="6"/>
      <c r="G34" s="6"/>
      <c r="H34" s="6" t="str">
        <f>Шаблон!B5</f>
        <v>_____________</v>
      </c>
    </row>
    <row r="35" spans="2:15">
      <c r="B35" s="6"/>
      <c r="C35" s="6"/>
    </row>
    <row r="36" spans="2:15">
      <c r="B36" s="105" t="s">
        <v>323</v>
      </c>
      <c r="C36" s="105"/>
      <c r="H36" s="6" t="str">
        <f>Шаблон!B8</f>
        <v>_____________</v>
      </c>
      <c r="N36" s="998"/>
      <c r="O36" s="998"/>
    </row>
    <row r="37" spans="2:15">
      <c r="B37" s="6"/>
      <c r="C37" s="6"/>
      <c r="G37" s="6"/>
      <c r="N37" s="998"/>
      <c r="O37" s="998"/>
    </row>
    <row r="38" spans="2:15">
      <c r="B38" s="6"/>
      <c r="C38" s="6"/>
    </row>
    <row r="39" spans="2:15">
      <c r="B39" s="6"/>
      <c r="C39" s="6"/>
      <c r="E39" s="6"/>
      <c r="N39" s="998"/>
      <c r="O39" s="998"/>
    </row>
    <row r="40" spans="2:15">
      <c r="N40" s="998"/>
      <c r="O40" s="998"/>
    </row>
  </sheetData>
  <mergeCells count="4">
    <mergeCell ref="N39:O40"/>
    <mergeCell ref="A2:L2"/>
    <mergeCell ref="N36:O37"/>
    <mergeCell ref="N32:O33"/>
  </mergeCells>
  <phoneticPr fontId="0" type="noConversion"/>
  <printOptions horizontalCentered="1"/>
  <pageMargins left="0.35" right="0.19685039370078741" top="0.79" bottom="0.62992125984251968" header="0.51181102362204722" footer="0.51181102362204722"/>
  <pageSetup paperSize="9" scale="8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6">
    <tabColor indexed="17"/>
    <pageSetUpPr fitToPage="1"/>
  </sheetPr>
  <dimension ref="A1:K35"/>
  <sheetViews>
    <sheetView zoomScale="80" workbookViewId="0">
      <pane xSplit="2" ySplit="6" topLeftCell="C7" activePane="bottomRight" state="frozen"/>
      <selection pane="topRight" activeCell="C1" sqref="C1"/>
      <selection pane="bottomLeft" activeCell="A7" sqref="A7"/>
      <selection pane="bottomRight" activeCell="K19" sqref="K19"/>
    </sheetView>
  </sheetViews>
  <sheetFormatPr defaultColWidth="9.109375" defaultRowHeight="13.8"/>
  <cols>
    <col min="1" max="1" width="7" style="6" customWidth="1"/>
    <col min="2" max="2" width="53" style="6" customWidth="1"/>
    <col min="3" max="3" width="18.77734375" style="6" customWidth="1"/>
    <col min="4" max="4" width="12" style="6" customWidth="1"/>
    <col min="5" max="5" width="17.44140625" style="6" customWidth="1"/>
    <col min="6" max="6" width="10.6640625" style="6" customWidth="1"/>
    <col min="7" max="7" width="16.88671875" style="6" customWidth="1"/>
    <col min="8" max="8" width="10.44140625" style="1" customWidth="1"/>
    <col min="9" max="9" width="10.88671875" style="1" customWidth="1"/>
    <col min="10" max="10" width="19.5546875" style="1" bestFit="1" customWidth="1"/>
    <col min="11" max="11" width="14" style="1" customWidth="1"/>
    <col min="12" max="12" width="10.6640625" style="1" customWidth="1"/>
    <col min="13" max="16384" width="9.109375" style="1"/>
  </cols>
  <sheetData>
    <row r="1" spans="1:9">
      <c r="G1" s="246" t="s">
        <v>112</v>
      </c>
    </row>
    <row r="2" spans="1:9" ht="33.75" customHeight="1">
      <c r="A2" s="989" t="str">
        <f>""&amp;(Шаблон!B1&amp;"нинг "&amp;(Шаблон!B2)&amp;" "&amp;(Шаблон!B3)&amp;" филиали бўйича "&amp;(Шаблон!B15)&amp;" ҳолатига мажбуриятлар                                                                 ТАҲЛИЛИ")</f>
        <v>АТ "Халқ банк"нинг Фаргона вилояти Бешариқ филиали филиали бўйича 2024 йил 1 январ ҳолатига мажбуриятлар                                                                 ТАҲЛИЛИ</v>
      </c>
      <c r="B2" s="989"/>
      <c r="C2" s="989"/>
      <c r="D2" s="989"/>
      <c r="E2" s="989"/>
      <c r="F2" s="989"/>
      <c r="G2" s="989"/>
    </row>
    <row r="3" spans="1:9" ht="14.4" thickBot="1">
      <c r="G3" s="246" t="s">
        <v>248</v>
      </c>
    </row>
    <row r="4" spans="1:9" ht="12.75" customHeight="1">
      <c r="A4" s="990" t="s">
        <v>228</v>
      </c>
      <c r="B4" s="990" t="s">
        <v>227</v>
      </c>
      <c r="C4" s="992" t="str">
        <f>""&amp;(Шаблон!B16)&amp;" ҳолатига"</f>
        <v>2023 йил 1 январ ҳолатига</v>
      </c>
      <c r="D4" s="1000"/>
      <c r="E4" s="992" t="str">
        <f>""&amp;(Шаблон!B15)&amp;" ҳолатига"</f>
        <v>2024 йил 1 январ ҳолатига</v>
      </c>
      <c r="F4" s="1000"/>
      <c r="G4" s="990" t="s">
        <v>332</v>
      </c>
    </row>
    <row r="5" spans="1:9" ht="34.5" customHeight="1">
      <c r="A5" s="999"/>
      <c r="B5" s="999"/>
      <c r="C5" s="1001"/>
      <c r="D5" s="1002"/>
      <c r="E5" s="1001"/>
      <c r="F5" s="1002"/>
      <c r="G5" s="999"/>
    </row>
    <row r="6" spans="1:9" ht="21.75" customHeight="1" thickBot="1">
      <c r="A6" s="999"/>
      <c r="B6" s="999"/>
      <c r="C6" s="889" t="s">
        <v>178</v>
      </c>
      <c r="D6" s="890" t="s">
        <v>179</v>
      </c>
      <c r="E6" s="890" t="s">
        <v>178</v>
      </c>
      <c r="F6" s="891" t="s">
        <v>179</v>
      </c>
      <c r="G6" s="999"/>
    </row>
    <row r="7" spans="1:9" ht="23.25" customHeight="1">
      <c r="A7" s="62" t="s">
        <v>263</v>
      </c>
      <c r="B7" s="63" t="s">
        <v>333</v>
      </c>
      <c r="C7" s="64">
        <f>SUM(SUMIF(Баланс!$B:$B,20200,Баланс!$D:$D)/1000,0)</f>
        <v>8765480.9792299997</v>
      </c>
      <c r="D7" s="64">
        <f>SUM(C7/C26*100)</f>
        <v>2.3400438314364664</v>
      </c>
      <c r="E7" s="64">
        <f>SUM(SUMIF(Баланс!$B:$B,20200,Баланс!$H:$H)/1000,0)</f>
        <v>12015427.421729999</v>
      </c>
      <c r="F7" s="64">
        <f>SUM(E7/E26*100)</f>
        <v>2.9319324569311211</v>
      </c>
      <c r="G7" s="974">
        <f>E7-C7</f>
        <v>3249946.442499999</v>
      </c>
    </row>
    <row r="8" spans="1:9" ht="27.6">
      <c r="A8" s="892" t="s">
        <v>265</v>
      </c>
      <c r="B8" s="17" t="s">
        <v>334</v>
      </c>
      <c r="C8" s="14">
        <f>SUM(SUMIF(Баланс!$A:$A,20206,Баланс!$D:$D)/1000,0)</f>
        <v>20121.10714</v>
      </c>
      <c r="D8" s="14">
        <f>SUM(C8/C7*100)</f>
        <v>0.22954937883816537</v>
      </c>
      <c r="E8" s="14">
        <f>SUM(SUMIF(Баланс!$A:$A,20206,Баланс!$H:$H)/1000,0)</f>
        <v>30047.116790000004</v>
      </c>
      <c r="F8" s="14">
        <f>SUM(E8/E7*100)</f>
        <v>0.25007114383346485</v>
      </c>
      <c r="G8" s="66">
        <f t="shared" ref="G8:G25" si="0">E8-C8</f>
        <v>9926.0096500000036</v>
      </c>
    </row>
    <row r="9" spans="1:9" ht="19.5" customHeight="1">
      <c r="A9" s="893" t="s">
        <v>264</v>
      </c>
      <c r="B9" s="894" t="s">
        <v>335</v>
      </c>
      <c r="C9" s="895">
        <f>SUM(SUMIF(Баланс!$B:$B,20400,Баланс!$D:$D)/1000,0)</f>
        <v>12715183.73394</v>
      </c>
      <c r="D9" s="895">
        <f>SUM(C9/C26*100)</f>
        <v>3.3944614485720246</v>
      </c>
      <c r="E9" s="895">
        <f>SUM(SUMIF(Баланс!$B:$B,20400,Баланс!$H:$H)/1000,0)</f>
        <v>10711867.056320002</v>
      </c>
      <c r="F9" s="895">
        <f>SUM(E9/E26*100)</f>
        <v>2.6138454833456013</v>
      </c>
      <c r="G9" s="975">
        <f t="shared" si="0"/>
        <v>-2003316.6776199974</v>
      </c>
    </row>
    <row r="10" spans="1:9" ht="19.5" customHeight="1">
      <c r="A10" s="892" t="s">
        <v>265</v>
      </c>
      <c r="B10" s="3" t="s">
        <v>336</v>
      </c>
      <c r="C10" s="14">
        <f>SUM(SUMIF(Баланс!$A:$A,20406,Баланс!$D:$D)/1000,0)</f>
        <v>12715183.73394</v>
      </c>
      <c r="D10" s="14">
        <f>C10/C9*100</f>
        <v>100</v>
      </c>
      <c r="E10" s="14">
        <f>SUM(SUMIF(Баланс!$A:$A,20406,Баланс!$H:$H)/1000,0)</f>
        <v>10711867.056320002</v>
      </c>
      <c r="F10" s="14">
        <f>E10/E9*100</f>
        <v>100</v>
      </c>
      <c r="G10" s="66">
        <f t="shared" si="0"/>
        <v>-2003316.6776199974</v>
      </c>
      <c r="I10" s="1" t="s">
        <v>222</v>
      </c>
    </row>
    <row r="11" spans="1:9" ht="21.75" customHeight="1">
      <c r="A11" s="893" t="s">
        <v>270</v>
      </c>
      <c r="B11" s="894" t="s">
        <v>188</v>
      </c>
      <c r="C11" s="895">
        <f>SUM(SUMIF(Баланс!$B:$B,20600,Баланс!$D:$D)/1000,0)</f>
        <v>37405543.851129994</v>
      </c>
      <c r="D11" s="895">
        <f>SUM(C11/C26*100)</f>
        <v>9.9858310522569962</v>
      </c>
      <c r="E11" s="895">
        <f>SUM(SUMIF(Баланс!$B:$B,20600,Баланс!$H:$H)/1000,0)</f>
        <v>34323238.307279997</v>
      </c>
      <c r="F11" s="895">
        <f>SUM(E11/E26*100)</f>
        <v>8.3753505296115769</v>
      </c>
      <c r="G11" s="975">
        <f t="shared" si="0"/>
        <v>-3082305.5438499972</v>
      </c>
      <c r="I11" s="1" t="s">
        <v>222</v>
      </c>
    </row>
    <row r="12" spans="1:9" ht="21.75" customHeight="1">
      <c r="A12" s="896" t="s">
        <v>265</v>
      </c>
      <c r="B12" s="3" t="s">
        <v>337</v>
      </c>
      <c r="C12" s="14">
        <f>SUM(SUMIF(Баланс!$A:$A,20606,Баланс!$D:$D)/1000,0)</f>
        <v>14780543.851129999</v>
      </c>
      <c r="D12" s="14">
        <f>C12/C11*100</f>
        <v>39.514313466353975</v>
      </c>
      <c r="E12" s="14">
        <f>SUM(SUMIF(Баланс!$A:$A,20606,Баланс!$H:$H)/1000,0)</f>
        <v>13498238.30728</v>
      </c>
      <c r="F12" s="14">
        <f>E12/E11*100</f>
        <v>39.326820466170901</v>
      </c>
      <c r="G12" s="66">
        <f t="shared" si="0"/>
        <v>-1282305.5438499991</v>
      </c>
    </row>
    <row r="13" spans="1:9" ht="21.75" customHeight="1">
      <c r="A13" s="70" t="s">
        <v>229</v>
      </c>
      <c r="B13" s="13" t="s">
        <v>338</v>
      </c>
      <c r="C13" s="14">
        <f>SUM(SUMIF(Баланс!$B:$B,21000,Баланс!$D:$D)/1000,0)</f>
        <v>205551.74900000001</v>
      </c>
      <c r="D13" s="14">
        <f>SUM(C13/C26*100)</f>
        <v>5.487435354981287E-2</v>
      </c>
      <c r="E13" s="976">
        <f>SUM(SUMIF(Баланс!$B:$B,21000,Баланс!$H:$H)/1000,0)</f>
        <v>805969.81213999994</v>
      </c>
      <c r="F13" s="898">
        <f>SUM(E13/E26*100)</f>
        <v>0.19666791438865927</v>
      </c>
      <c r="G13" s="973">
        <f>E13-C13</f>
        <v>600418.06313999998</v>
      </c>
    </row>
    <row r="14" spans="1:9" ht="22.5" customHeight="1">
      <c r="A14" s="70" t="s">
        <v>230</v>
      </c>
      <c r="B14" s="13" t="s">
        <v>339</v>
      </c>
      <c r="C14" s="14">
        <f>SUM(SUMIF(Баланс!$B:$B,21600,Баланс!$D:$D)/1000+SUMIF(Баланс!$B:$B,22000,Баланс!$D:$D)/1000,0)</f>
        <v>13342</v>
      </c>
      <c r="D14" s="14">
        <f>SUM(C14/C26*100)</f>
        <v>3.5617971076548865E-3</v>
      </c>
      <c r="E14" s="14">
        <f>SUM(SUMIF(Баланс!$B:$B,21600,Баланс!$H:$H)/1000+SUMIF(Баланс!$B:$B,22000,Баланс!$H:$H)/1000,0)</f>
        <v>0</v>
      </c>
      <c r="F14" s="897">
        <f>SUM(E14/E26*100)</f>
        <v>0</v>
      </c>
      <c r="G14" s="66">
        <f t="shared" si="0"/>
        <v>-13342</v>
      </c>
    </row>
    <row r="15" spans="1:9" ht="22.5" customHeight="1">
      <c r="A15" s="70" t="s">
        <v>231</v>
      </c>
      <c r="B15" s="13" t="s">
        <v>340</v>
      </c>
      <c r="C15" s="14">
        <f>SUM(SUMIF(Баланс!$B:$B,22100,Баланс!$D:$D)/1000,0)</f>
        <v>0</v>
      </c>
      <c r="D15" s="14">
        <f>SUM(C15/C26*100)</f>
        <v>0</v>
      </c>
      <c r="E15" s="14">
        <f>SUM(SUMIF(Баланс!$B:$B,22100,Баланс!$H:$H)/1000,0)</f>
        <v>0</v>
      </c>
      <c r="F15" s="897">
        <f>SUM(E15/E26*100)</f>
        <v>0</v>
      </c>
      <c r="G15" s="66">
        <f t="shared" si="0"/>
        <v>0</v>
      </c>
    </row>
    <row r="16" spans="1:9" ht="21.75" customHeight="1">
      <c r="A16" s="70" t="s">
        <v>232</v>
      </c>
      <c r="B16" s="13" t="s">
        <v>341</v>
      </c>
      <c r="C16" s="14">
        <f>SUM(SUMIF(Баланс!$B:$B,22200,Баланс!$D:$D)/1000,0)</f>
        <v>178248029.73756</v>
      </c>
      <c r="D16" s="14">
        <f>SUM(C16/C26*100)</f>
        <v>47.585318300436477</v>
      </c>
      <c r="E16" s="976">
        <f>SUM(SUMIF(Баланс!$B:$B,22200,Баланс!$H:$H)/1000,0)</f>
        <v>191702143.98351002</v>
      </c>
      <c r="F16" s="14">
        <f>SUM(E16/E26*100)</f>
        <v>46.778006164978372</v>
      </c>
      <c r="G16" s="973">
        <f t="shared" si="0"/>
        <v>13454114.245950013</v>
      </c>
    </row>
    <row r="17" spans="1:11" ht="21.75" customHeight="1">
      <c r="A17" s="70" t="s">
        <v>233</v>
      </c>
      <c r="B17" s="13" t="s">
        <v>342</v>
      </c>
      <c r="C17" s="14">
        <f>SUM(SUMIF(Баланс!$B:$B,22400,Баланс!$D:$D)/1000,0)</f>
        <v>465238.60489999998</v>
      </c>
      <c r="D17" s="14">
        <f>SUM(C17/C26*100)</f>
        <v>0.12420068335348633</v>
      </c>
      <c r="E17" s="976">
        <f>SUM(SUMIF(Баланс!$B:$B,22400,Баланс!$H:$H)/1000,0)</f>
        <v>308921.64814</v>
      </c>
      <c r="F17" s="898">
        <f>SUM(E17/E26*100)</f>
        <v>7.5381205764872589E-2</v>
      </c>
      <c r="G17" s="973">
        <f t="shared" si="0"/>
        <v>-156316.95675999997</v>
      </c>
    </row>
    <row r="18" spans="1:11" ht="21.75" customHeight="1">
      <c r="A18" s="70" t="s">
        <v>234</v>
      </c>
      <c r="B18" s="13" t="s">
        <v>343</v>
      </c>
      <c r="C18" s="14">
        <f>SUM(SUMIF(Баланс!$B:$B,22500,Баланс!$D:$D)/1000,0)</f>
        <v>257420.33274000001</v>
      </c>
      <c r="D18" s="14">
        <f>SUM(C18/C26*100)</f>
        <v>6.8721255929012931E-2</v>
      </c>
      <c r="E18" s="976">
        <f>SUM(SUMIF(Баланс!$B:$B,22500,Баланс!$H:$H)/1000,0)</f>
        <v>443937.64799999999</v>
      </c>
      <c r="F18" s="898">
        <f>SUM(E18/E26*100)</f>
        <v>0.10832699939337302</v>
      </c>
      <c r="G18" s="66">
        <f t="shared" si="0"/>
        <v>186517.31525999997</v>
      </c>
      <c r="J18" s="12">
        <f>+E9+E11+E16+E19</f>
        <v>394490592.98842001</v>
      </c>
      <c r="K18" s="1">
        <f>+J18/E26*100</f>
        <v>96.261225917356626</v>
      </c>
    </row>
    <row r="19" spans="1:11" ht="21.75" customHeight="1">
      <c r="A19" s="70" t="s">
        <v>235</v>
      </c>
      <c r="B19" s="13" t="s">
        <v>344</v>
      </c>
      <c r="C19" s="14">
        <f>SUM(SUMIF(Баланс!$B:$B,22600,Баланс!$D:$D)/1000,0)</f>
        <v>134628472.75042</v>
      </c>
      <c r="D19" s="14">
        <f>SUM(C19/C26*100)</f>
        <v>35.940586482569387</v>
      </c>
      <c r="E19" s="976">
        <f>SUM(SUMIF(Баланс!$B:$B,22600,Баланс!$H:$H)/1000,0)</f>
        <v>157753343.64131001</v>
      </c>
      <c r="F19" s="14">
        <f>SUM(E19/E26*100)</f>
        <v>38.494023739421074</v>
      </c>
      <c r="G19" s="973">
        <f t="shared" si="0"/>
        <v>23124870.890890002</v>
      </c>
      <c r="J19" s="647">
        <f>+E16+E19</f>
        <v>349455487.62481999</v>
      </c>
      <c r="K19" s="1">
        <f>+J19/J18*100</f>
        <v>88.583984976056968</v>
      </c>
    </row>
    <row r="20" spans="1:11" ht="18" customHeight="1">
      <c r="A20" s="70" t="s">
        <v>236</v>
      </c>
      <c r="B20" s="13" t="s">
        <v>189</v>
      </c>
      <c r="C20" s="14">
        <f>SUM(SUMIF(Баланс!$B:$B,23200,Баланс!$D:$D)/1000,0)</f>
        <v>0</v>
      </c>
      <c r="D20" s="14">
        <f>SUM(C20/C26*100)</f>
        <v>0</v>
      </c>
      <c r="E20" s="976">
        <f>SUM(SUMIF(Баланс!$B:$B,23200,Баланс!$H:$H)/1000,0)</f>
        <v>0</v>
      </c>
      <c r="F20" s="913">
        <f>SUM(E20/E26*100)</f>
        <v>0</v>
      </c>
      <c r="G20" s="66">
        <f t="shared" si="0"/>
        <v>0</v>
      </c>
    </row>
    <row r="21" spans="1:11" ht="19.5" customHeight="1">
      <c r="A21" s="70" t="s">
        <v>203</v>
      </c>
      <c r="B21" s="13" t="s">
        <v>345</v>
      </c>
      <c r="C21" s="14">
        <f>SUM(SUMIF(Баланс!$B:$B,23400,Баланс!$D:$D)/1000,0)</f>
        <v>0</v>
      </c>
      <c r="D21" s="14">
        <f>SUM(C21/C26*100)</f>
        <v>0</v>
      </c>
      <c r="E21" s="14">
        <f>SUM(SUMIF(Баланс!$B:$B,23400,Баланс!$H:$H)/1000,0)</f>
        <v>0</v>
      </c>
      <c r="F21" s="14">
        <f>SUM(E21/E26*100)</f>
        <v>0</v>
      </c>
      <c r="G21" s="66">
        <f t="shared" si="0"/>
        <v>0</v>
      </c>
    </row>
    <row r="22" spans="1:11" ht="30" customHeight="1">
      <c r="A22" s="70" t="s">
        <v>205</v>
      </c>
      <c r="B22" s="899" t="s">
        <v>546</v>
      </c>
      <c r="C22" s="14">
        <f>SUM(SUMIF(Баланс!$B:$B,23100,Баланс!$D:$D)/1000,0)</f>
        <v>10553.72716</v>
      </c>
      <c r="D22" s="14">
        <f>SUM(C22/C26*100)</f>
        <v>2.8174362819267597E-3</v>
      </c>
      <c r="E22" s="14">
        <f>SUM(SUMIF(Баланс!$B:$B,23100,Баланс!$H:$H)/1000,0)</f>
        <v>35112.843219999995</v>
      </c>
      <c r="F22" s="898">
        <f>SUM(E22/E26*100)</f>
        <v>8.568025179501202E-3</v>
      </c>
      <c r="G22" s="66">
        <f>E22-C22</f>
        <v>24559.116059999993</v>
      </c>
    </row>
    <row r="23" spans="1:11" ht="45.75" customHeight="1">
      <c r="A23" s="70" t="s">
        <v>283</v>
      </c>
      <c r="B23" s="899" t="s">
        <v>2764</v>
      </c>
      <c r="C23" s="14">
        <f>SUM(SUMIF(Баланс!$B:$B,23500,Баланс!$D:$D)/1000,0)</f>
        <v>450087.01092999999</v>
      </c>
      <c r="D23" s="14">
        <f>SUM(C23/C26*100)</f>
        <v>0.12015579476266733</v>
      </c>
      <c r="E23" s="976">
        <f>SUM(SUMIF(Баланс!$B:$B,23500,Баланс!$H:$H)/1000,0)</f>
        <v>410027.19482999999</v>
      </c>
      <c r="F23" s="897">
        <f>SUM(E23/E26*100)</f>
        <v>0.10005237421453352</v>
      </c>
      <c r="G23" s="973">
        <f>E23-C23</f>
        <v>-40059.816099999996</v>
      </c>
    </row>
    <row r="24" spans="1:11" ht="19.5" customHeight="1">
      <c r="A24" s="70" t="s">
        <v>544</v>
      </c>
      <c r="B24" s="13" t="s">
        <v>346</v>
      </c>
      <c r="C24" s="14">
        <f>SUM(SUMIF(Баланс!$B:$B,23600,Баланс!$D:$D)/1000,0)+SUM(SUMIF(Баланс!$B:$B,23700,Баланс!$D:$D)/1000,0)+SUM(SUMIF(Баланс!$B:$B,22300,Баланс!$D:$D)/1000,0)</f>
        <v>0</v>
      </c>
      <c r="D24" s="14">
        <f>SUM(C24/C26*100)</f>
        <v>0</v>
      </c>
      <c r="E24" s="14">
        <f>SUM(SUMIF(Баланс!$B:$B,23600,Баланс!$H:$H)/1000,0)+SUM(SUMIF(Баланс!$B:$B,23700,Баланс!$H:$H)/1000,0)+SUM(SUMIF(Баланс!$B:$B,22300,Баланс!$H:$H)/1000,0)</f>
        <v>0</v>
      </c>
      <c r="F24" s="897">
        <f>SUM(E24/E26*100)</f>
        <v>0</v>
      </c>
      <c r="G24" s="66">
        <f t="shared" si="0"/>
        <v>0</v>
      </c>
    </row>
    <row r="25" spans="1:11" ht="20.25" customHeight="1">
      <c r="A25" s="70" t="s">
        <v>545</v>
      </c>
      <c r="B25" s="13" t="s">
        <v>347</v>
      </c>
      <c r="C25" s="14">
        <f>SUM(SUMIF(Баланс!$B:$B,29800,Баланс!$D:$D)/1000+SUMIF(Баланс!$B:$B,22800,Баланс!$D:$D)/1000,0)</f>
        <v>1421283.2462000002</v>
      </c>
      <c r="D25" s="14">
        <f>SUM(C25/C26*100)</f>
        <v>0.37942756374407954</v>
      </c>
      <c r="E25" s="976">
        <f>SUM(SUMIF(Баланс!$B:$B,29800,Баланс!$H:$H)/1000+SUMIF(Баланс!$B:$B,22800,Баланс!$H:$H)/1000,0)</f>
        <v>1302569.1648299999</v>
      </c>
      <c r="F25" s="897">
        <f>SUM(E25/E26*100)</f>
        <v>0.31784510677131356</v>
      </c>
      <c r="G25" s="66">
        <f t="shared" si="0"/>
        <v>-118714.08137000026</v>
      </c>
    </row>
    <row r="26" spans="1:11" ht="24.75" customHeight="1" thickBot="1">
      <c r="A26" s="900"/>
      <c r="B26" s="901" t="s">
        <v>190</v>
      </c>
      <c r="C26" s="902">
        <f>C7+C9+C11+C14+C15+C16+C17+C18+C19+C20+C21+C22+C23+C24+C25+C13</f>
        <v>374586187.72321004</v>
      </c>
      <c r="D26" s="903">
        <f>D7+D9+D11+D14+D15+D16+D17+D18+D19+D20+D21+D22+D23+D24+D25+D13</f>
        <v>99.999999999999972</v>
      </c>
      <c r="E26" s="902">
        <f>E7+E9+E11+E14+E15+E16+E17+E18+E19+E20+E21+E22+E23+E24+E25+E13</f>
        <v>409812558.72131002</v>
      </c>
      <c r="F26" s="903">
        <f>F7+F9+F11+F14+F15+F16+F17+F18+F19+F20+F21+F22+F23+F24+F25+F13</f>
        <v>99.999999999999986</v>
      </c>
      <c r="G26" s="904">
        <f>G7+G9+G11+G14+G15+G16+G17+G18+G19+G20+G21+G22+G23+G24+G25+G13</f>
        <v>35226370.998100013</v>
      </c>
    </row>
    <row r="27" spans="1:11">
      <c r="C27" s="980">
        <f>117279009877.36/1000</f>
        <v>117279009.87736</v>
      </c>
      <c r="E27" s="980">
        <f>128851614609.27/1000</f>
        <v>128851614.60927001</v>
      </c>
    </row>
    <row r="28" spans="1:11">
      <c r="B28" s="6" t="str">
        <f>""&amp;(Шаблон!B1)&amp;"нинг Ички аудит"</f>
        <v>АТ "Халқ банк"нинг Ички аудит</v>
      </c>
      <c r="C28" s="12">
        <f>+C26-C27</f>
        <v>257307177.84585005</v>
      </c>
      <c r="D28" s="20"/>
      <c r="E28" s="12">
        <f>+E26-E27</f>
        <v>280960944.11204004</v>
      </c>
      <c r="K28" s="1" t="s">
        <v>222</v>
      </c>
    </row>
    <row r="29" spans="1:11">
      <c r="B29" s="6" t="s">
        <v>4080</v>
      </c>
      <c r="C29" s="648"/>
      <c r="D29" s="641"/>
      <c r="E29" s="1"/>
      <c r="F29" s="6" t="str">
        <f>Шаблон!B13</f>
        <v>А.Ҳазратқулов</v>
      </c>
      <c r="H29" s="6"/>
    </row>
    <row r="30" spans="1:11">
      <c r="C30" s="1"/>
      <c r="D30" s="1"/>
      <c r="E30" s="1"/>
    </row>
    <row r="31" spans="1:11">
      <c r="B31" s="6" t="str">
        <f>""&amp;(Шаблон!B1)&amp;" "&amp;(Шаблон!B2)&amp;""</f>
        <v>АТ "Халқ банк" Фаргона вилояти</v>
      </c>
      <c r="C31" s="1"/>
      <c r="D31" s="1"/>
      <c r="E31" s="1"/>
      <c r="F31" s="1"/>
    </row>
    <row r="32" spans="1:11">
      <c r="B32" s="6" t="str">
        <f>""&amp;(Шаблон!B3)&amp;" бошқарувчиси:"</f>
        <v>Бешариқ филиали бошқарувчиси:</v>
      </c>
      <c r="C32" s="1"/>
      <c r="D32" s="1"/>
      <c r="E32" s="1"/>
      <c r="F32" s="6" t="str">
        <f>Шаблон!B5</f>
        <v>_____________</v>
      </c>
    </row>
    <row r="33" spans="2:6">
      <c r="C33" s="1"/>
      <c r="D33" s="1"/>
      <c r="E33" s="1"/>
      <c r="F33" s="1"/>
    </row>
    <row r="34" spans="2:6">
      <c r="B34" s="6" t="s">
        <v>323</v>
      </c>
      <c r="C34" s="1"/>
      <c r="D34" s="1"/>
      <c r="E34" s="1"/>
      <c r="F34" s="6" t="str">
        <f>Шаблон!B8</f>
        <v>_____________</v>
      </c>
    </row>
    <row r="35" spans="2:6">
      <c r="C35" s="1"/>
      <c r="D35" s="1"/>
      <c r="E35" s="1"/>
    </row>
  </sheetData>
  <mergeCells count="6">
    <mergeCell ref="A2:G2"/>
    <mergeCell ref="G4:G6"/>
    <mergeCell ref="B4:B6"/>
    <mergeCell ref="A4:A6"/>
    <mergeCell ref="C4:D5"/>
    <mergeCell ref="E4:F5"/>
  </mergeCells>
  <phoneticPr fontId="0" type="noConversion"/>
  <printOptions horizontalCentered="1"/>
  <pageMargins left="0.43307086614173229" right="0.39370078740157483" top="0.52" bottom="0.23622047244094491" header="0.19685039370078741" footer="0.19685039370078741"/>
  <pageSetup paperSize="9" scale="77" orientation="landscape" r:id="rId1"/>
  <headerFooter alignWithMargins="0"/>
  <ignoredErrors>
    <ignoredError sqref="E7:E23 D11 F11 E25:E26"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11">
    <tabColor indexed="17"/>
    <pageSetUpPr fitToPage="1"/>
  </sheetPr>
  <dimension ref="A1:H20"/>
  <sheetViews>
    <sheetView workbookViewId="0">
      <selection activeCell="G9" sqref="G9"/>
    </sheetView>
  </sheetViews>
  <sheetFormatPr defaultColWidth="9.109375" defaultRowHeight="13.8"/>
  <cols>
    <col min="1" max="1" width="4.6640625" style="1" customWidth="1"/>
    <col min="2" max="2" width="22.44140625" style="1" customWidth="1"/>
    <col min="3" max="3" width="14.33203125" style="1" customWidth="1"/>
    <col min="4" max="4" width="11.33203125" style="1" customWidth="1"/>
    <col min="5" max="5" width="14" style="1" customWidth="1"/>
    <col min="6" max="6" width="9.6640625" style="1" customWidth="1"/>
    <col min="7" max="7" width="16" style="1" customWidth="1"/>
    <col min="8" max="8" width="15.33203125" style="1" customWidth="1"/>
    <col min="9" max="16384" width="9.109375" style="1"/>
  </cols>
  <sheetData>
    <row r="1" spans="1:8">
      <c r="H1" s="245" t="s">
        <v>147</v>
      </c>
    </row>
    <row r="2" spans="1:8" ht="45" customHeight="1">
      <c r="A2" s="989" t="str">
        <f>""&amp;(Шаблон!B1)&amp;"нинг "&amp;(Шаблон!B2)&amp;""&amp;(Шаблон!B3)&amp;" филиали капиталининг "&amp;(Шаблон!B15)&amp;" ҳолатига                                                                                                                                                                                                       ТАҲЛИЛИ"</f>
        <v>АТ "Халқ банк"нинг Фаргона вилоятиБешариқ филиали филиали капиталининг 2024 йил 1 январ ҳолатига                                                                                                                                                                                                       ТАҲЛИЛИ</v>
      </c>
      <c r="B2" s="1003"/>
      <c r="C2" s="1003"/>
      <c r="D2" s="1003"/>
      <c r="E2" s="1003"/>
      <c r="F2" s="1003"/>
      <c r="G2" s="1003"/>
      <c r="H2" s="1003"/>
    </row>
    <row r="3" spans="1:8" ht="14.4" thickBot="1">
      <c r="H3" s="245" t="s">
        <v>248</v>
      </c>
    </row>
    <row r="4" spans="1:8" s="145" customFormat="1" ht="32.25" customHeight="1">
      <c r="A4" s="1008" t="s">
        <v>228</v>
      </c>
      <c r="B4" s="1006" t="s">
        <v>192</v>
      </c>
      <c r="C4" s="1010" t="str">
        <f>""&amp;(Шаблон!B16)&amp;" ҳолатига"</f>
        <v>2023 йил 1 январ ҳолатига</v>
      </c>
      <c r="D4" s="1011"/>
      <c r="E4" s="1010" t="str">
        <f>""&amp;(Шаблон!B15)&amp;" ҳолатига"</f>
        <v>2024 йил 1 январ ҳолатига</v>
      </c>
      <c r="F4" s="1011"/>
      <c r="G4" s="1008" t="s">
        <v>308</v>
      </c>
      <c r="H4" s="1004" t="s">
        <v>295</v>
      </c>
    </row>
    <row r="5" spans="1:8" s="145" customFormat="1" ht="14.4" thickBot="1">
      <c r="A5" s="1009"/>
      <c r="B5" s="1007"/>
      <c r="C5" s="158" t="s">
        <v>210</v>
      </c>
      <c r="D5" s="159" t="s">
        <v>207</v>
      </c>
      <c r="E5" s="158" t="s">
        <v>210</v>
      </c>
      <c r="F5" s="159" t="s">
        <v>207</v>
      </c>
      <c r="G5" s="1009"/>
      <c r="H5" s="1005"/>
    </row>
    <row r="6" spans="1:8" s="92" customFormat="1" ht="10.199999999999999">
      <c r="A6" s="160" t="s">
        <v>359</v>
      </c>
      <c r="B6" s="161" t="s">
        <v>209</v>
      </c>
      <c r="C6" s="171">
        <v>1</v>
      </c>
      <c r="D6" s="171">
        <v>2</v>
      </c>
      <c r="E6" s="171">
        <v>3</v>
      </c>
      <c r="F6" s="171">
        <v>4</v>
      </c>
      <c r="G6" s="161">
        <v>5</v>
      </c>
      <c r="H6" s="162">
        <v>6</v>
      </c>
    </row>
    <row r="7" spans="1:8" ht="26.25" customHeight="1">
      <c r="A7" s="23">
        <v>1</v>
      </c>
      <c r="B7" s="3" t="s">
        <v>194</v>
      </c>
      <c r="C7" s="8">
        <f>SUM(SUMIF(Баланс!$B:$B,30300,Баланс!$D:$D)/1000,0)</f>
        <v>0</v>
      </c>
      <c r="D7" s="4">
        <f>C7/C11*100</f>
        <v>0</v>
      </c>
      <c r="E7" s="8">
        <f>SUM(SUMIF(Баланс!$B:$B,30300,Баланс!$H:$H)/1000,0)</f>
        <v>0</v>
      </c>
      <c r="F7" s="4">
        <f>E7/E11*100</f>
        <v>0</v>
      </c>
      <c r="G7" s="9">
        <f>SUM(E7-C7)</f>
        <v>0</v>
      </c>
      <c r="H7" s="75"/>
    </row>
    <row r="8" spans="1:8" ht="26.25" customHeight="1">
      <c r="A8" s="23">
        <f>A7+1</f>
        <v>2</v>
      </c>
      <c r="B8" s="3" t="s">
        <v>356</v>
      </c>
      <c r="C8" s="8">
        <f>SUM(SUMIF(Баланс!$B:$B,30600,Баланс!$D:$D)/1000,0)</f>
        <v>0</v>
      </c>
      <c r="D8" s="4">
        <f>C8/C11*100</f>
        <v>0</v>
      </c>
      <c r="E8" s="8">
        <f>SUM(SUMIF(Баланс!$B:$B,30600,Баланс!$H:$H)/1000,0)</f>
        <v>0</v>
      </c>
      <c r="F8" s="4">
        <f>E8/E11*100</f>
        <v>0</v>
      </c>
      <c r="G8" s="9">
        <f>SUM(E8-C8)</f>
        <v>0</v>
      </c>
      <c r="H8" s="75"/>
    </row>
    <row r="9" spans="1:8" ht="26.25" customHeight="1">
      <c r="A9" s="23">
        <f>A8+1</f>
        <v>3</v>
      </c>
      <c r="B9" s="3" t="s">
        <v>357</v>
      </c>
      <c r="C9" s="8">
        <f>SUM(SUMIF(Баланс!$B:$B,30900,Баланс!$D:$D)/1000,0)</f>
        <v>149894.13471000001</v>
      </c>
      <c r="D9" s="4">
        <f>C9/C11*100</f>
        <v>0.76566197740682274</v>
      </c>
      <c r="E9" s="8">
        <f>SUM(SUMIF(Баланс!$B:$B,30900,Баланс!$H:$H)/1000,0)</f>
        <v>139434.01996000001</v>
      </c>
      <c r="F9" s="4">
        <f>E9/E11*100</f>
        <v>0.54821807417696</v>
      </c>
      <c r="G9" s="9">
        <f>SUM(E9-C9)</f>
        <v>-10460.114750000008</v>
      </c>
      <c r="H9" s="76"/>
    </row>
    <row r="10" spans="1:8" ht="26.25" customHeight="1">
      <c r="A10" s="23">
        <f>A9+1</f>
        <v>4</v>
      </c>
      <c r="B10" s="3" t="s">
        <v>358</v>
      </c>
      <c r="C10" s="8">
        <f>SUM(SUMIF(Баланс!$B:$B,31200,Баланс!$D:$D)/1000,0)</f>
        <v>19427169.782930002</v>
      </c>
      <c r="D10" s="4">
        <f>C10/C11*100</f>
        <v>99.234338022593178</v>
      </c>
      <c r="E10" s="8">
        <f>SUM(SUMIF(Баланс!$B:$B,31200,Баланс!$H:$H)/1000,0)</f>
        <v>25294608.841419999</v>
      </c>
      <c r="F10" s="4">
        <f>E10/E11*100</f>
        <v>99.451781925823042</v>
      </c>
      <c r="G10" s="9">
        <f>SUM(E10-C10)</f>
        <v>5867439.0584899969</v>
      </c>
      <c r="H10" s="75"/>
    </row>
    <row r="11" spans="1:8" ht="14.4" thickBot="1">
      <c r="A11" s="77"/>
      <c r="B11" s="78" t="s">
        <v>195</v>
      </c>
      <c r="C11" s="79">
        <f>SUM(C7:C10)</f>
        <v>19577063.917640001</v>
      </c>
      <c r="D11" s="80">
        <f>SUM(D7:D10)</f>
        <v>100</v>
      </c>
      <c r="E11" s="79">
        <f>SUM(E7:E10)</f>
        <v>25434042.86138</v>
      </c>
      <c r="F11" s="80">
        <f>SUM(F7:F10)</f>
        <v>100</v>
      </c>
      <c r="G11" s="79">
        <f>SUM(E11-C11)</f>
        <v>5856978.9437399991</v>
      </c>
      <c r="H11" s="81" t="s">
        <v>285</v>
      </c>
    </row>
    <row r="12" spans="1:8">
      <c r="E12" s="5">
        <f>+E11+'1.активлар'!E30</f>
        <v>498579095.24400997</v>
      </c>
    </row>
    <row r="14" spans="1:8">
      <c r="B14" s="6" t="str">
        <f>""&amp;(Шаблон!B1)&amp;"нинг Ички аудит"</f>
        <v>АТ "Халқ банк"нинг Ички аудит</v>
      </c>
      <c r="F14" s="6"/>
      <c r="G14" s="27"/>
      <c r="H14" s="28"/>
    </row>
    <row r="15" spans="1:8">
      <c r="B15" s="6" t="s">
        <v>4080</v>
      </c>
      <c r="F15" s="6"/>
      <c r="G15" s="6" t="str">
        <f>Шаблон!B13</f>
        <v>А.Ҳазратқулов</v>
      </c>
    </row>
    <row r="16" spans="1:8">
      <c r="B16" s="6"/>
      <c r="F16" s="6"/>
      <c r="G16" s="6"/>
    </row>
    <row r="17" spans="2:7">
      <c r="B17" s="6" t="str">
        <f>""&amp;(Шаблон!B1)&amp;" "&amp;(Шаблон!B2)&amp;""</f>
        <v>АТ "Халқ банк" Фаргона вилояти</v>
      </c>
    </row>
    <row r="18" spans="2:7">
      <c r="B18" s="6" t="str">
        <f>""&amp;(Шаблон!B3)&amp;" бошқарувчиси:"</f>
        <v>Бешариқ филиали бошқарувчиси:</v>
      </c>
      <c r="F18" s="6"/>
      <c r="G18" s="6" t="str">
        <f>Шаблон!B5</f>
        <v>_____________</v>
      </c>
    </row>
    <row r="19" spans="2:7">
      <c r="B19" s="6"/>
    </row>
    <row r="20" spans="2:7">
      <c r="B20" s="105" t="s">
        <v>323</v>
      </c>
      <c r="F20" s="6"/>
      <c r="G20" s="6" t="str">
        <f>Шаблон!B8</f>
        <v>_____________</v>
      </c>
    </row>
  </sheetData>
  <mergeCells count="7">
    <mergeCell ref="A2:H2"/>
    <mergeCell ref="H4:H5"/>
    <mergeCell ref="B4:B5"/>
    <mergeCell ref="A4:A5"/>
    <mergeCell ref="C4:D4"/>
    <mergeCell ref="E4:F4"/>
    <mergeCell ref="G4:G5"/>
  </mergeCells>
  <phoneticPr fontId="0" type="noConversion"/>
  <printOptions horizontalCentered="1"/>
  <pageMargins left="0.23622047244094491" right="0.15748031496062992" top="0.76" bottom="0.59055118110236227" header="0.27559055118110237" footer="0.51181102362204722"/>
  <pageSetup paperSize="9" orientation="landscape" r:id="rId1"/>
  <headerFooter alignWithMargins="0"/>
  <ignoredErrors>
    <ignoredError sqref="E7:E10"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4">
    <tabColor indexed="11"/>
    <pageSetUpPr fitToPage="1"/>
  </sheetPr>
  <dimension ref="A1:X78"/>
  <sheetViews>
    <sheetView tabSelected="1" topLeftCell="A6" workbookViewId="0">
      <selection activeCell="E27" sqref="E27"/>
    </sheetView>
  </sheetViews>
  <sheetFormatPr defaultColWidth="9.109375" defaultRowHeight="13.8"/>
  <cols>
    <col min="1" max="1" width="6" style="27" customWidth="1"/>
    <col min="2" max="2" width="30.88671875" style="27" customWidth="1"/>
    <col min="3" max="3" width="16" style="27" customWidth="1"/>
    <col min="4" max="4" width="13.33203125" style="27" customWidth="1"/>
    <col min="5" max="5" width="14.5546875" style="27" customWidth="1"/>
    <col min="6" max="6" width="12.5546875" style="27" customWidth="1"/>
    <col min="7" max="7" width="16" style="27" customWidth="1"/>
    <col min="8" max="8" width="16" style="46" customWidth="1"/>
    <col min="9" max="9" width="13.5546875" style="27" customWidth="1"/>
    <col min="10" max="10" width="9.88671875" style="27" bestFit="1" customWidth="1"/>
    <col min="11" max="11" width="13.21875" style="27" bestFit="1" customWidth="1"/>
    <col min="12" max="12" width="9.109375" style="27"/>
    <col min="13" max="15" width="15.6640625" style="42" bestFit="1" customWidth="1"/>
    <col min="16" max="16" width="9.109375" style="27"/>
    <col min="17" max="18" width="9.5546875" style="27" bestFit="1" customWidth="1"/>
    <col min="19" max="16384" width="9.109375" style="27"/>
  </cols>
  <sheetData>
    <row r="1" spans="1:15">
      <c r="I1" s="255" t="s">
        <v>277</v>
      </c>
    </row>
    <row r="2" spans="1:15" ht="31.5" customHeight="1">
      <c r="A2" s="1012" t="str">
        <f>""&amp;(Шаблон!B1)&amp;"нинг "&amp;(Шаблон!B2)&amp;""&amp;(Шаблон!B3)&amp;" филиали томонидан олинган даромад ва қилинган харажатлар таҳлили, ҳамда сметасига амал қилиниши тўғрисида "&amp;(Шаблон!B15)&amp;" ҳолатига"</f>
        <v>АТ "Халқ банк"нинг Фаргона вилоятиБешариқ филиали филиали томонидан олинган даромад ва қилинган харажатлар таҳлили, ҳамда сметасига амал қилиниши тўғрисида 2024 йил 1 январ ҳолатига</v>
      </c>
      <c r="B2" s="1012"/>
      <c r="C2" s="1012"/>
      <c r="D2" s="1012"/>
      <c r="E2" s="1012"/>
      <c r="F2" s="1012"/>
      <c r="G2" s="1012"/>
      <c r="H2" s="1012"/>
      <c r="I2" s="1012"/>
    </row>
    <row r="3" spans="1:15" ht="15" customHeight="1">
      <c r="A3" s="37"/>
      <c r="B3" s="37"/>
      <c r="C3" s="1013" t="s">
        <v>197</v>
      </c>
      <c r="D3" s="1013"/>
      <c r="E3" s="1013"/>
      <c r="F3" s="1013"/>
      <c r="G3" s="37"/>
      <c r="H3" s="47"/>
      <c r="I3" s="37"/>
    </row>
    <row r="4" spans="1:15" ht="14.4" thickBot="1">
      <c r="I4" s="255" t="s">
        <v>248</v>
      </c>
    </row>
    <row r="5" spans="1:15" s="149" customFormat="1" ht="37.5" customHeight="1" thickBot="1">
      <c r="A5" s="1014" t="s">
        <v>228</v>
      </c>
      <c r="B5" s="1014" t="s">
        <v>198</v>
      </c>
      <c r="C5" s="1016" t="str">
        <f>""&amp;(Шаблон!B16)&amp;" ҳолатига"</f>
        <v>2023 йил 1 январ ҳолатига</v>
      </c>
      <c r="D5" s="1017"/>
      <c r="E5" s="1016" t="str">
        <f>""&amp;(Шаблон!B15)&amp;" ҳолатига"</f>
        <v>2024 йил 1 январ ҳолатига</v>
      </c>
      <c r="F5" s="1017"/>
      <c r="G5" s="1014" t="s">
        <v>362</v>
      </c>
      <c r="H5" s="1014" t="str">
        <f>""&amp;(Шаблон!B15)&amp;" ҳолатига смета бўйича"</f>
        <v>2024 йил 1 январ ҳолатига смета бўйича</v>
      </c>
      <c r="I5" s="1014" t="s">
        <v>363</v>
      </c>
      <c r="M5" s="170"/>
      <c r="N5" s="170"/>
      <c r="O5" s="170"/>
    </row>
    <row r="6" spans="1:15" s="149" customFormat="1" ht="42" customHeight="1" thickBot="1">
      <c r="A6" s="1015"/>
      <c r="B6" s="1015"/>
      <c r="C6" s="275" t="s">
        <v>178</v>
      </c>
      <c r="D6" s="275" t="s">
        <v>179</v>
      </c>
      <c r="E6" s="276" t="s">
        <v>178</v>
      </c>
      <c r="F6" s="276" t="s">
        <v>179</v>
      </c>
      <c r="G6" s="1015"/>
      <c r="H6" s="1015"/>
      <c r="I6" s="1015"/>
      <c r="M6" s="170"/>
      <c r="N6" s="170"/>
      <c r="O6" s="170"/>
    </row>
    <row r="7" spans="1:15" s="167" customFormat="1" ht="12" customHeight="1">
      <c r="A7" s="295" t="s">
        <v>361</v>
      </c>
      <c r="B7" s="296" t="s">
        <v>209</v>
      </c>
      <c r="C7" s="297">
        <v>1</v>
      </c>
      <c r="D7" s="297">
        <v>2</v>
      </c>
      <c r="E7" s="297">
        <v>3</v>
      </c>
      <c r="F7" s="297">
        <v>4</v>
      </c>
      <c r="G7" s="296">
        <v>5</v>
      </c>
      <c r="H7" s="298">
        <v>6</v>
      </c>
      <c r="I7" s="299">
        <v>7</v>
      </c>
      <c r="M7" s="168"/>
      <c r="N7" s="168"/>
      <c r="O7" s="168"/>
    </row>
    <row r="8" spans="1:15" ht="18" customHeight="1">
      <c r="A8" s="282">
        <v>1</v>
      </c>
      <c r="B8" s="283" t="s">
        <v>217</v>
      </c>
      <c r="C8" s="284">
        <f>N75</f>
        <v>8358260.2712599998</v>
      </c>
      <c r="D8" s="284">
        <f>C8/C10*100</f>
        <v>51.073876211056202</v>
      </c>
      <c r="E8" s="284">
        <f>O75</f>
        <v>9751091.319670001</v>
      </c>
      <c r="F8" s="284">
        <f>E8/E10*100</f>
        <v>61.377513781162854</v>
      </c>
      <c r="G8" s="284">
        <f>E8-C8</f>
        <v>1392831.0484100012</v>
      </c>
      <c r="H8" s="285">
        <v>0</v>
      </c>
      <c r="I8" s="286">
        <f>E8-H8</f>
        <v>9751091.319670001</v>
      </c>
      <c r="J8" s="44"/>
      <c r="K8" s="647">
        <f>1371202757.93/1000</f>
        <v>1371202.7579300001</v>
      </c>
      <c r="L8" s="44">
        <f>+K8/E8*100</f>
        <v>14.062044062329679</v>
      </c>
      <c r="M8" s="914">
        <f>+E8-K8</f>
        <v>8379888.5617400007</v>
      </c>
    </row>
    <row r="9" spans="1:15" ht="18" customHeight="1">
      <c r="A9" s="282">
        <v>2</v>
      </c>
      <c r="B9" s="283" t="s">
        <v>218</v>
      </c>
      <c r="C9" s="284">
        <f>Q75</f>
        <v>8006779.72829</v>
      </c>
      <c r="D9" s="284">
        <f>C9/C10*100</f>
        <v>48.926123788943791</v>
      </c>
      <c r="E9" s="284">
        <f>R75</f>
        <v>6135983.1461300002</v>
      </c>
      <c r="F9" s="284">
        <f>E9/E10*100</f>
        <v>38.622486218837146</v>
      </c>
      <c r="G9" s="284">
        <f>E9-C9</f>
        <v>-1870796.5821599998</v>
      </c>
      <c r="H9" s="285">
        <v>0</v>
      </c>
      <c r="I9" s="286">
        <f>E9-H9</f>
        <v>6135983.1461300002</v>
      </c>
      <c r="J9" s="44"/>
      <c r="K9" s="44"/>
      <c r="L9" s="44"/>
      <c r="M9" s="914"/>
    </row>
    <row r="10" spans="1:15" ht="18" customHeight="1" thickBot="1">
      <c r="A10" s="300"/>
      <c r="B10" s="146" t="s">
        <v>219</v>
      </c>
      <c r="C10" s="147">
        <f t="shared" ref="C10:I10" si="0">C8+C9</f>
        <v>16365039.99955</v>
      </c>
      <c r="D10" s="147">
        <f t="shared" si="0"/>
        <v>100</v>
      </c>
      <c r="E10" s="147">
        <f>E8+E9</f>
        <v>15887074.465800002</v>
      </c>
      <c r="F10" s="147">
        <f>F8+F9</f>
        <v>100</v>
      </c>
      <c r="G10" s="147">
        <f t="shared" si="0"/>
        <v>-477965.53374999855</v>
      </c>
      <c r="H10" s="147">
        <f>H8+H9</f>
        <v>0</v>
      </c>
      <c r="I10" s="301">
        <f t="shared" si="0"/>
        <v>15887074.465800002</v>
      </c>
      <c r="J10" s="44"/>
      <c r="K10" s="647">
        <f>+K8</f>
        <v>1371202.7579300001</v>
      </c>
      <c r="L10" s="44">
        <f>+K10/E10*100</f>
        <v>8.6309330322695921</v>
      </c>
      <c r="M10" s="914">
        <f>+E10-K10</f>
        <v>14515871.707870003</v>
      </c>
    </row>
    <row r="11" spans="1:15" ht="18" customHeight="1">
      <c r="A11" s="277">
        <v>3</v>
      </c>
      <c r="B11" s="278" t="s">
        <v>220</v>
      </c>
      <c r="C11" s="279">
        <f>T75</f>
        <v>5246960.3967499994</v>
      </c>
      <c r="D11" s="279">
        <f>C11/C24*100</f>
        <v>35.898815578387996</v>
      </c>
      <c r="E11" s="279">
        <f>U75</f>
        <v>5927005.8577899998</v>
      </c>
      <c r="F11" s="279">
        <f>E11/E24*100</f>
        <v>37.649808920946178</v>
      </c>
      <c r="G11" s="279">
        <f>E11-C11</f>
        <v>680045.46104000043</v>
      </c>
      <c r="H11" s="280">
        <v>0</v>
      </c>
      <c r="I11" s="281">
        <f>E11-H11</f>
        <v>5927005.8577899998</v>
      </c>
      <c r="J11" s="44"/>
      <c r="K11" s="647">
        <f>1371203397.23/1000</f>
        <v>1371203.39723</v>
      </c>
      <c r="L11" s="44">
        <f>+K11/E11*100</f>
        <v>23.134841269437857</v>
      </c>
    </row>
    <row r="12" spans="1:15" ht="18" customHeight="1">
      <c r="A12" s="282">
        <v>4</v>
      </c>
      <c r="B12" s="283" t="s">
        <v>221</v>
      </c>
      <c r="C12" s="284">
        <f>W75</f>
        <v>75764.996429999999</v>
      </c>
      <c r="D12" s="284">
        <f>C12/C24*100</f>
        <v>0.51837129089491552</v>
      </c>
      <c r="E12" s="284">
        <f>X75</f>
        <v>780288</v>
      </c>
      <c r="F12" s="284">
        <f>E12/E24*100</f>
        <v>4.9565825997447712</v>
      </c>
      <c r="G12" s="284">
        <f>E12-C12</f>
        <v>704523.00356999994</v>
      </c>
      <c r="H12" s="285">
        <v>0</v>
      </c>
      <c r="I12" s="286">
        <f t="shared" ref="I12:I27" si="1">E12-H12</f>
        <v>780288</v>
      </c>
      <c r="J12" s="44"/>
      <c r="K12" s="44"/>
    </row>
    <row r="13" spans="1:15" ht="18" customHeight="1">
      <c r="A13" s="287">
        <v>5</v>
      </c>
      <c r="B13" s="283" t="s">
        <v>271</v>
      </c>
      <c r="C13" s="288">
        <f>SUM(C15:C21)</f>
        <v>3683732.1156099997</v>
      </c>
      <c r="D13" s="288">
        <f>C13/C24*100</f>
        <v>25.203472078878232</v>
      </c>
      <c r="E13" s="288">
        <f>SUM(E15:E21)</f>
        <v>7184701.4779000003</v>
      </c>
      <c r="F13" s="288">
        <f>E13/E24*100</f>
        <v>45.639002944707194</v>
      </c>
      <c r="G13" s="288">
        <f>SUM(G15:G21)</f>
        <v>3500969.362290001</v>
      </c>
      <c r="H13" s="288">
        <f>SUM(H15:H21)</f>
        <v>0</v>
      </c>
      <c r="I13" s="289">
        <f t="shared" si="1"/>
        <v>7184701.4779000003</v>
      </c>
      <c r="J13" s="44"/>
      <c r="K13" s="44"/>
    </row>
    <row r="14" spans="1:15" ht="14.4">
      <c r="A14" s="163"/>
      <c r="B14" s="164" t="s">
        <v>360</v>
      </c>
      <c r="C14" s="269"/>
      <c r="D14" s="269"/>
      <c r="E14" s="269"/>
      <c r="F14" s="269"/>
      <c r="G14" s="269"/>
      <c r="H14" s="269"/>
      <c r="I14" s="270"/>
      <c r="J14" s="44"/>
      <c r="K14" s="44"/>
    </row>
    <row r="15" spans="1:15">
      <c r="A15" s="169" t="s">
        <v>253</v>
      </c>
      <c r="B15" s="165" t="s">
        <v>364</v>
      </c>
      <c r="C15" s="267">
        <f>SUM(SUMIF(Баланс!$B:$B,56100,Баланс!$C:$C)/1000,0)</f>
        <v>2518462.8198099998</v>
      </c>
      <c r="D15" s="267">
        <f>C15/C13*100</f>
        <v>68.367154309019568</v>
      </c>
      <c r="E15" s="267">
        <f>SUM(SUMIF(Баланс!$B:$B,56100,Баланс!$G:$G)/1000,0)</f>
        <v>4932721.3549300004</v>
      </c>
      <c r="F15" s="267">
        <f>E15/E13*100</f>
        <v>68.655898510229747</v>
      </c>
      <c r="G15" s="267">
        <f>E15-C15</f>
        <v>2414258.5351200006</v>
      </c>
      <c r="H15" s="48">
        <v>0</v>
      </c>
      <c r="I15" s="268">
        <f t="shared" si="1"/>
        <v>4932721.3549300004</v>
      </c>
      <c r="J15" s="44"/>
      <c r="K15" s="44"/>
    </row>
    <row r="16" spans="1:15">
      <c r="A16" s="169" t="s">
        <v>254</v>
      </c>
      <c r="B16" s="165" t="s">
        <v>365</v>
      </c>
      <c r="C16" s="267">
        <f>SUM(SUMIF(Баланс!$B:$B,56200,Баланс!$C:$C)/1000,0)</f>
        <v>420490.75331</v>
      </c>
      <c r="D16" s="267">
        <f>C16/C13*100</f>
        <v>11.414802708594072</v>
      </c>
      <c r="E16" s="267">
        <f>SUM(SUMIF(Баланс!$B:$B,56200,Баланс!$G:$G)/1000,0)</f>
        <v>1249884.5199599999</v>
      </c>
      <c r="F16" s="267">
        <f>E16/E13*100</f>
        <v>17.396471151997339</v>
      </c>
      <c r="G16" s="267">
        <f t="shared" ref="G16:G27" si="2">E16-C16</f>
        <v>829393.76664999989</v>
      </c>
      <c r="H16" s="48">
        <v>0</v>
      </c>
      <c r="I16" s="268">
        <f t="shared" si="1"/>
        <v>1249884.5199599999</v>
      </c>
      <c r="J16" s="44"/>
      <c r="K16" s="44"/>
    </row>
    <row r="17" spans="1:11" ht="30.75" customHeight="1">
      <c r="A17" s="169" t="s">
        <v>255</v>
      </c>
      <c r="B17" s="166" t="s">
        <v>272</v>
      </c>
      <c r="C17" s="267">
        <f>SUM(SUMIF(Баланс!$B:$B,56300,Баланс!$C:$C)/1000,0)</f>
        <v>67783.48</v>
      </c>
      <c r="D17" s="267">
        <f>C17/C13*100</f>
        <v>1.8400762561632562</v>
      </c>
      <c r="E17" s="267">
        <f>SUM(SUMIF(Баланс!$B:$B,56300,Баланс!$G:$G)/1000,0)</f>
        <v>155556.95800000001</v>
      </c>
      <c r="F17" s="267">
        <f>E17/E13*100</f>
        <v>2.1651137278074826</v>
      </c>
      <c r="G17" s="267">
        <f t="shared" si="2"/>
        <v>87773.478000000017</v>
      </c>
      <c r="H17" s="267">
        <v>0</v>
      </c>
      <c r="I17" s="268">
        <f t="shared" si="1"/>
        <v>155556.95800000001</v>
      </c>
      <c r="J17" s="44"/>
      <c r="K17" s="44"/>
    </row>
    <row r="18" spans="1:11">
      <c r="A18" s="169" t="s">
        <v>256</v>
      </c>
      <c r="B18" s="165" t="s">
        <v>223</v>
      </c>
      <c r="C18" s="267">
        <f>SUM(SUMIF(Баланс!$B:$B,56400,Баланс!$C:$C)/1000,0)</f>
        <v>273379.92298999999</v>
      </c>
      <c r="D18" s="267">
        <f>C18/C13*100</f>
        <v>7.4212758802829031</v>
      </c>
      <c r="E18" s="267">
        <f>SUM(SUMIF(Баланс!$B:$B,56400,Баланс!$G:$G)/1000,0)</f>
        <v>140311.77770999999</v>
      </c>
      <c r="F18" s="267">
        <f>E18/E13*100</f>
        <v>1.9529242535907199</v>
      </c>
      <c r="G18" s="267">
        <f t="shared" si="2"/>
        <v>-133068.14528</v>
      </c>
      <c r="H18" s="48">
        <v>0</v>
      </c>
      <c r="I18" s="268">
        <f t="shared" si="1"/>
        <v>140311.77770999999</v>
      </c>
      <c r="J18" s="44"/>
      <c r="K18" s="44"/>
    </row>
    <row r="19" spans="1:11">
      <c r="A19" s="169" t="s">
        <v>257</v>
      </c>
      <c r="B19" s="165" t="s">
        <v>366</v>
      </c>
      <c r="C19" s="267">
        <f>SUM(SUMIF(Баланс!$B:$B,56500,Баланс!$C:$C)/1000,0)</f>
        <v>0</v>
      </c>
      <c r="D19" s="267">
        <f>C19/C13*100</f>
        <v>0</v>
      </c>
      <c r="E19" s="267">
        <f>SUM(SUMIF(Баланс!$B:$B,56500,Баланс!$G:$G)/1000,0)</f>
        <v>0</v>
      </c>
      <c r="F19" s="267">
        <f>E19/E13*100</f>
        <v>0</v>
      </c>
      <c r="G19" s="267">
        <f t="shared" si="2"/>
        <v>0</v>
      </c>
      <c r="H19" s="48">
        <v>0</v>
      </c>
      <c r="I19" s="268">
        <f t="shared" si="1"/>
        <v>0</v>
      </c>
      <c r="J19" s="44"/>
      <c r="K19" s="44"/>
    </row>
    <row r="20" spans="1:11">
      <c r="A20" s="169" t="s">
        <v>258</v>
      </c>
      <c r="B20" s="165" t="s">
        <v>224</v>
      </c>
      <c r="C20" s="267">
        <f>SUM(SUMIF(Баланс!$B:$B,56600,Баланс!$C:$C)/1000,0)</f>
        <v>381650.81085000001</v>
      </c>
      <c r="D20" s="267">
        <f>C20/C13*100</f>
        <v>10.360438785239989</v>
      </c>
      <c r="E20" s="267">
        <f>SUM(SUMIF(Баланс!$B:$B,56600,Баланс!$G:$G)/1000,0)</f>
        <v>593218.77775000001</v>
      </c>
      <c r="F20" s="267">
        <f>E20/E13*100</f>
        <v>8.2566934697945236</v>
      </c>
      <c r="G20" s="267">
        <f t="shared" si="2"/>
        <v>211567.9669</v>
      </c>
      <c r="H20" s="48">
        <v>0</v>
      </c>
      <c r="I20" s="268">
        <f t="shared" si="1"/>
        <v>593218.77775000001</v>
      </c>
      <c r="J20" s="44"/>
      <c r="K20" s="44"/>
    </row>
    <row r="21" spans="1:11">
      <c r="A21" s="169" t="s">
        <v>259</v>
      </c>
      <c r="B21" s="165" t="s">
        <v>367</v>
      </c>
      <c r="C21" s="267">
        <f>SUM(SUMIF(Баланс!$B:$B,56700,Баланс!$C:$C)/1000,0)</f>
        <v>21964.328649999999</v>
      </c>
      <c r="D21" s="267">
        <f>C21/C13*100</f>
        <v>0.5962520607002082</v>
      </c>
      <c r="E21" s="267">
        <f>SUM(SUMIF(Баланс!$B:$B,56700,Баланс!$G:$G)/1000,0)</f>
        <v>113008.08955</v>
      </c>
      <c r="F21" s="267">
        <f>E21/E13*100</f>
        <v>1.5728988865801961</v>
      </c>
      <c r="G21" s="267">
        <f t="shared" si="2"/>
        <v>91043.760900000008</v>
      </c>
      <c r="H21" s="48">
        <v>0</v>
      </c>
      <c r="I21" s="268">
        <f t="shared" si="1"/>
        <v>113008.08955</v>
      </c>
      <c r="J21" s="44"/>
      <c r="K21" s="44"/>
    </row>
    <row r="22" spans="1:11">
      <c r="A22" s="287">
        <v>6</v>
      </c>
      <c r="B22" s="368" t="s">
        <v>368</v>
      </c>
      <c r="C22" s="284">
        <f>SUM(SUMIF(Баланс!$B:$B,56800,Баланс!$C:$C)/1000,0)</f>
        <v>5609513.2752399994</v>
      </c>
      <c r="D22" s="284">
        <f>C22/C24*100</f>
        <v>38.379341051838864</v>
      </c>
      <c r="E22" s="284">
        <f>SUM(SUMIF(Баланс!$B:$B,56800,Баланс!$G:$G)/1000,0)</f>
        <v>1850463.9958700002</v>
      </c>
      <c r="F22" s="284">
        <f>E22/E24*100</f>
        <v>11.75460553460187</v>
      </c>
      <c r="G22" s="284">
        <f t="shared" si="2"/>
        <v>-3759049.2793699992</v>
      </c>
      <c r="H22" s="285">
        <v>0</v>
      </c>
      <c r="I22" s="286">
        <f t="shared" si="1"/>
        <v>1850463.9958700002</v>
      </c>
      <c r="J22" s="44"/>
      <c r="K22" s="44"/>
    </row>
    <row r="23" spans="1:11" ht="14.4" thickBot="1">
      <c r="A23" s="290">
        <v>7</v>
      </c>
      <c r="B23" s="291" t="s">
        <v>369</v>
      </c>
      <c r="C23" s="292">
        <f>SUM(SUMIF(Баланс!$B:$B,56900,Баланс!$C:$C)/1000,0)</f>
        <v>0</v>
      </c>
      <c r="D23" s="292">
        <f>C23/C24*100</f>
        <v>0</v>
      </c>
      <c r="E23" s="292">
        <f>SUM(SUMIF(Баланс!$B:$B,56900,Баланс!$G:$G)/1000,0)</f>
        <v>0</v>
      </c>
      <c r="F23" s="292">
        <f>E23/E24*100</f>
        <v>0</v>
      </c>
      <c r="G23" s="292">
        <f t="shared" si="2"/>
        <v>0</v>
      </c>
      <c r="H23" s="293">
        <v>0</v>
      </c>
      <c r="I23" s="294">
        <f t="shared" si="1"/>
        <v>0</v>
      </c>
      <c r="J23" s="44"/>
      <c r="K23" s="44"/>
    </row>
    <row r="24" spans="1:11" ht="14.4" thickBot="1">
      <c r="A24" s="239"/>
      <c r="B24" s="240" t="s">
        <v>225</v>
      </c>
      <c r="C24" s="241">
        <f>C11+C12+C13+C23+C22</f>
        <v>14615970.784029998</v>
      </c>
      <c r="D24" s="241">
        <f>D13+D12+D11+D22+D23</f>
        <v>100</v>
      </c>
      <c r="E24" s="241">
        <f>E11+E12+E13+E23+E22</f>
        <v>15742459.331559999</v>
      </c>
      <c r="F24" s="241">
        <f>F13+F12+F11+F22+F23</f>
        <v>100</v>
      </c>
      <c r="G24" s="241">
        <f>G11+G12+G13+G23+G22</f>
        <v>1126488.5475300024</v>
      </c>
      <c r="H24" s="241">
        <f>H13+H12+H11+H22+H23</f>
        <v>0</v>
      </c>
      <c r="I24" s="242">
        <f>SUM(I11:I13)+I22+I23</f>
        <v>15742459.331559999</v>
      </c>
      <c r="J24" s="44"/>
      <c r="K24" s="44">
        <v>19211519.300000001</v>
      </c>
    </row>
    <row r="25" spans="1:11" ht="14.4" thickBot="1">
      <c r="A25" s="50" t="s">
        <v>222</v>
      </c>
      <c r="B25" s="51" t="s">
        <v>261</v>
      </c>
      <c r="C25" s="52">
        <f>C10-C24</f>
        <v>1749069.2155200019</v>
      </c>
      <c r="D25" s="306" t="s">
        <v>285</v>
      </c>
      <c r="E25" s="52">
        <f>E10-E24</f>
        <v>144615.1342400033</v>
      </c>
      <c r="F25" s="306" t="s">
        <v>285</v>
      </c>
      <c r="G25" s="52">
        <f t="shared" si="2"/>
        <v>-1604454.0812799986</v>
      </c>
      <c r="H25" s="369">
        <f>+H10-H24</f>
        <v>0</v>
      </c>
      <c r="I25" s="273">
        <f>I10-I24</f>
        <v>144615.1342400033</v>
      </c>
      <c r="J25" s="44"/>
      <c r="K25" s="44">
        <f>+K24-C10</f>
        <v>2846479.3004500009</v>
      </c>
    </row>
    <row r="26" spans="1:11" ht="42.75" customHeight="1" thickBot="1">
      <c r="A26" s="99" t="s">
        <v>222</v>
      </c>
      <c r="B26" s="53" t="s">
        <v>370</v>
      </c>
      <c r="C26" s="274">
        <f>SUM(SUMIF(Баланс!$B:$B,16300,Баланс!$C:$C)/1000+SUMIF(Баланс!$B:$B,16400,Баланс!$C:$C)/1000,0)</f>
        <v>12488980.950100001</v>
      </c>
      <c r="D26" s="307" t="s">
        <v>285</v>
      </c>
      <c r="E26" s="274">
        <f>SUM(SUMIF(Баланс!$B:$B,16300,Баланс!$G:$G)/1000+SUMIF(Баланс!$B:$B,16400,Баланс!$G:$G)/1000,0)</f>
        <v>21636699.657420002</v>
      </c>
      <c r="F26" s="54">
        <f>E26/E27*100</f>
        <v>-100.67287625862456</v>
      </c>
      <c r="G26" s="54">
        <f t="shared" si="2"/>
        <v>9147718.707320001</v>
      </c>
      <c r="H26" s="54">
        <v>0</v>
      </c>
      <c r="I26" s="272">
        <f>H26-E26</f>
        <v>-21636699.657420002</v>
      </c>
      <c r="K26" s="44"/>
    </row>
    <row r="27" spans="1:11" ht="14.4" thickBot="1">
      <c r="A27" s="302" t="s">
        <v>222</v>
      </c>
      <c r="B27" s="303" t="s">
        <v>226</v>
      </c>
      <c r="C27" s="304">
        <f>C25-C26</f>
        <v>-10739911.734579999</v>
      </c>
      <c r="D27" s="304">
        <f>C27/C25*100</f>
        <v>-614.03583341823332</v>
      </c>
      <c r="E27" s="304">
        <f>E25-E26</f>
        <v>-21492084.52318</v>
      </c>
      <c r="F27" s="304">
        <f>E27/E25*100</f>
        <v>-14861.573538708428</v>
      </c>
      <c r="G27" s="304">
        <f t="shared" si="2"/>
        <v>-10752172.788600001</v>
      </c>
      <c r="H27" s="304">
        <f>H25-H26</f>
        <v>0</v>
      </c>
      <c r="I27" s="305">
        <f t="shared" si="1"/>
        <v>-21492084.52318</v>
      </c>
    </row>
    <row r="28" spans="1:11" ht="28.5" customHeight="1" thickBot="1">
      <c r="A28" s="49" t="s">
        <v>222</v>
      </c>
      <c r="B28" s="56" t="s">
        <v>371</v>
      </c>
      <c r="C28" s="55">
        <f>C24/C10*100</f>
        <v>89.31216046176425</v>
      </c>
      <c r="D28" s="55">
        <f>SUM(D26:D27)</f>
        <v>-614.03583341823332</v>
      </c>
      <c r="E28" s="55">
        <f>E24/E10*100</f>
        <v>99.089730871776823</v>
      </c>
      <c r="F28" s="55">
        <f>SUM(F26:F27)</f>
        <v>-14962.246414967052</v>
      </c>
      <c r="G28" s="55">
        <f>G24/G10*100</f>
        <v>-235.6840541810314</v>
      </c>
      <c r="H28" s="55" t="e">
        <f>H24/H10*100</f>
        <v>#DIV/0!</v>
      </c>
      <c r="I28" s="55">
        <f>+I27/E27*100</f>
        <v>100</v>
      </c>
    </row>
    <row r="29" spans="1:11">
      <c r="B29" s="28" t="s">
        <v>2762</v>
      </c>
      <c r="C29" s="647">
        <f>97156801.41/1000</f>
        <v>97156.80141</v>
      </c>
      <c r="E29" s="647">
        <f>+K8</f>
        <v>1371202.7579300001</v>
      </c>
      <c r="G29" s="44"/>
      <c r="H29" s="508"/>
      <c r="I29" s="508"/>
    </row>
    <row r="30" spans="1:11">
      <c r="B30" s="28"/>
      <c r="C30" s="832">
        <f>+C27-C29</f>
        <v>-10837068.53599</v>
      </c>
      <c r="E30" s="647">
        <f>+K11</f>
        <v>1371203.39723</v>
      </c>
      <c r="G30" s="44"/>
      <c r="H30" s="508"/>
      <c r="I30" s="508"/>
    </row>
    <row r="31" spans="1:11">
      <c r="B31" s="28"/>
      <c r="E31" s="44">
        <f>+E25-E29+E30</f>
        <v>144615.77354000323</v>
      </c>
      <c r="G31" s="44"/>
      <c r="H31" s="508"/>
      <c r="I31" s="508"/>
    </row>
    <row r="32" spans="1:11">
      <c r="B32" s="28"/>
      <c r="E32" s="44">
        <f>+E31-E26</f>
        <v>-21492083.883879997</v>
      </c>
      <c r="G32" s="44"/>
      <c r="H32" s="508"/>
      <c r="I32" s="508"/>
    </row>
    <row r="33" spans="2:24">
      <c r="C33" s="27">
        <v>11674205.547150001</v>
      </c>
      <c r="E33" s="44">
        <f>+E25-E26</f>
        <v>-21492084.52318</v>
      </c>
      <c r="G33" s="805"/>
      <c r="H33" s="44"/>
      <c r="I33" s="44"/>
    </row>
    <row r="34" spans="2:24">
      <c r="B34" s="6" t="str">
        <f>""&amp;(Шаблон!B1)&amp;"нинг Самарқанд вилоят филиали"</f>
        <v>АТ "Халқ банк"нинг Самарқанд вилоят филиали</v>
      </c>
      <c r="C34" s="12">
        <f>+C33-C24</f>
        <v>-2941765.236879997</v>
      </c>
      <c r="D34" s="1"/>
      <c r="E34" s="12">
        <f>+E10-E24</f>
        <v>144615.1342400033</v>
      </c>
      <c r="F34" s="6"/>
      <c r="G34" s="805"/>
      <c r="H34" s="44"/>
      <c r="I34" s="57"/>
    </row>
    <row r="35" spans="2:24">
      <c r="B35" s="6" t="s">
        <v>4073</v>
      </c>
      <c r="C35" s="1">
        <f>+C24/C10*100</f>
        <v>89.31216046176425</v>
      </c>
      <c r="D35" s="1"/>
      <c r="E35" s="1">
        <f>+E24/E10*100</f>
        <v>99.089730871776823</v>
      </c>
      <c r="F35" s="6" t="str">
        <f>Шаблон!B13</f>
        <v>А.Ҳазратқулов</v>
      </c>
      <c r="G35" s="28"/>
      <c r="H35" s="44"/>
      <c r="I35" s="57"/>
    </row>
    <row r="36" spans="2:24">
      <c r="B36" s="6"/>
      <c r="C36" s="1"/>
      <c r="D36" s="1"/>
      <c r="E36" s="1"/>
      <c r="F36" s="6"/>
      <c r="H36" s="27"/>
      <c r="I36" s="57"/>
    </row>
    <row r="37" spans="2:24">
      <c r="B37" s="6" t="str">
        <f>""&amp;(Шаблон!B1)&amp;" "&amp;(Шаблон!B2)&amp;""</f>
        <v>АТ "Халқ банк" Фаргона вилояти</v>
      </c>
      <c r="C37" s="1"/>
      <c r="D37" s="1"/>
      <c r="E37" s="1"/>
      <c r="F37" s="1"/>
      <c r="G37" s="28"/>
      <c r="H37" s="27"/>
      <c r="I37" s="57"/>
    </row>
    <row r="38" spans="2:24">
      <c r="B38" s="6" t="str">
        <f>""&amp;(Шаблон!B3)&amp;" филиал бошқарувчиси:"</f>
        <v>Бешариқ филиали филиал бошқарувчиси:</v>
      </c>
      <c r="C38" s="1"/>
      <c r="D38" s="1"/>
      <c r="E38" s="1"/>
      <c r="F38" s="6" t="str">
        <f>Шаблон!B5</f>
        <v>_____________</v>
      </c>
      <c r="H38" s="27"/>
      <c r="I38" s="57"/>
    </row>
    <row r="39" spans="2:24">
      <c r="B39" s="6"/>
      <c r="C39" s="1"/>
      <c r="D39" s="1"/>
      <c r="E39" s="1"/>
      <c r="F39" s="1"/>
      <c r="H39" s="27"/>
      <c r="I39" s="57"/>
    </row>
    <row r="40" spans="2:24">
      <c r="B40" s="105" t="s">
        <v>323</v>
      </c>
      <c r="C40" s="1"/>
      <c r="D40" s="1"/>
      <c r="E40" s="1"/>
      <c r="F40" s="6" t="str">
        <f>Шаблон!B8</f>
        <v>_____________</v>
      </c>
      <c r="G40" s="28"/>
      <c r="H40" s="27"/>
      <c r="I40" s="57"/>
    </row>
    <row r="42" spans="2:24">
      <c r="M42" s="42" t="s">
        <v>217</v>
      </c>
      <c r="P42" s="42" t="s">
        <v>218</v>
      </c>
      <c r="S42" s="42" t="s">
        <v>220</v>
      </c>
      <c r="V42" s="42" t="s">
        <v>221</v>
      </c>
    </row>
    <row r="43" spans="2:24">
      <c r="M43" s="42">
        <v>40200</v>
      </c>
      <c r="N43" s="977">
        <f>SUM(SUMIF(Баланс!$B:$B,M43,Баланс!$D:$D)/1000,0)</f>
        <v>0</v>
      </c>
      <c r="O43" s="977">
        <f>SUM(SUMIF(Баланс!$B:$B,M43,Баланс!$H:$H)/1000,0)</f>
        <v>0</v>
      </c>
      <c r="P43" s="27">
        <v>45200</v>
      </c>
      <c r="Q43" s="58">
        <f>SUM(SUMIF(Баланс!$B:$B,P43,Баланс!$D:$D)/1000,0)</f>
        <v>1138018.05574</v>
      </c>
      <c r="R43" s="58">
        <f>SUM(SUMIF(Баланс!$B:$B,P43,Баланс!$H:$H)/1000,0)</f>
        <v>2364709.85078</v>
      </c>
      <c r="S43" s="27">
        <v>50100</v>
      </c>
      <c r="T43" s="58">
        <f>SUM(SUMIF(Баланс!$B:$B,S43,Баланс!$C:$C)/1000,0)</f>
        <v>0</v>
      </c>
      <c r="U43" s="58">
        <f>SUM(SUMIF(Баланс!$B:$B,S43,Баланс!$G:$G)/1000,0)</f>
        <v>0</v>
      </c>
      <c r="V43" s="27">
        <v>55100</v>
      </c>
      <c r="W43" s="58">
        <f>SUM(SUMIF(Баланс!$B:$B,V43,Баланс!$C:$C)/1000,0)</f>
        <v>56173.452680000002</v>
      </c>
      <c r="X43" s="58">
        <f>ROUND(SUMIF(Баланс!$B:$B,V43,Баланс!$G:$G)/1000,0)</f>
        <v>264575</v>
      </c>
    </row>
    <row r="44" spans="2:24">
      <c r="M44" s="42">
        <v>40400</v>
      </c>
      <c r="N44" s="977">
        <f>SUM(SUMIF(Баланс!$B:$B,M44,Баланс!$D:$D)/1000,0)</f>
        <v>0</v>
      </c>
      <c r="O44" s="977">
        <f>SUM(SUMIF(Баланс!$B:$B,M44,Баланс!$H:$H)/1000,0)</f>
        <v>0</v>
      </c>
      <c r="P44" s="27">
        <v>45400</v>
      </c>
      <c r="Q44" s="58">
        <f>SUM(SUMIF(Баланс!$B:$B,P44,Баланс!$D:$D)/1000,0)</f>
        <v>392225.58237000002</v>
      </c>
      <c r="R44" s="58">
        <f>SUM(SUMIF(Баланс!$B:$B,P44,Баланс!$H:$H)/1000,0)</f>
        <v>1072502.9686500002</v>
      </c>
      <c r="S44" s="27">
        <v>50600</v>
      </c>
      <c r="T44" s="58">
        <f>SUM(SUMIF(Баланс!$B:$B,S44,Баланс!$C:$C)/1000,0)</f>
        <v>503195.54053</v>
      </c>
      <c r="U44" s="58">
        <f>SUM(SUMIF(Баланс!$B:$B,S44,Баланс!$G:$G)/1000,0)</f>
        <v>430572.98330999998</v>
      </c>
      <c r="V44" s="27">
        <v>55300</v>
      </c>
      <c r="W44" s="58">
        <f>SUM(SUMIF(Баланс!$B:$B,V44,Баланс!$C:$C)/1000,0)</f>
        <v>16931.4175</v>
      </c>
      <c r="X44" s="58">
        <f>ROUND(SUMIF(Баланс!$B:$B,V44,Баланс!$G:$G)/1000,0)</f>
        <v>494087</v>
      </c>
    </row>
    <row r="45" spans="2:24">
      <c r="M45" s="42">
        <v>40600</v>
      </c>
      <c r="N45" s="977">
        <f>SUM(SUMIF(Баланс!$B:$B,M45,Баланс!$D:$D)/1000,0)</f>
        <v>0</v>
      </c>
      <c r="O45" s="977">
        <f>SUM(SUMIF(Баланс!$B:$B,M45,Баланс!$H:$H)/1000,0)</f>
        <v>0</v>
      </c>
      <c r="P45" s="27">
        <v>45600</v>
      </c>
      <c r="Q45" s="58">
        <f>SUM(SUMIF(Баланс!$B:$B,P45,Баланс!$D:$D)/1000,0)</f>
        <v>0</v>
      </c>
      <c r="R45" s="58">
        <f>SUM(SUMIF(Баланс!$B:$B,P45,Баланс!$H:$H)/1000,0)</f>
        <v>0</v>
      </c>
      <c r="S45" s="27">
        <v>51100</v>
      </c>
      <c r="T45" s="58">
        <f>SUM(SUMIF(Баланс!$B:$B,S45,Баланс!$C:$C)/1000,0)</f>
        <v>1687138.7123800002</v>
      </c>
      <c r="U45" s="58">
        <f>SUM(SUMIF(Баланс!$B:$B,S45,Баланс!$G:$G)/1000,0)</f>
        <v>1632087.7157100001</v>
      </c>
      <c r="V45" s="27">
        <v>55600</v>
      </c>
      <c r="W45" s="58">
        <f>SUM(SUMIF(Баланс!$B:$B,V45,Баланс!$C:$C)/1000,0)</f>
        <v>0</v>
      </c>
      <c r="X45" s="58">
        <f>ROUND(SUMIF(Баланс!$B:$B,V45,Баланс!$G:$G)/1000,0)</f>
        <v>0</v>
      </c>
    </row>
    <row r="46" spans="2:24">
      <c r="M46" s="42">
        <v>40700</v>
      </c>
      <c r="N46" s="977">
        <f>SUM(SUMIF(Баланс!$B:$B,M46,Баланс!$D:$D)/1000,0)</f>
        <v>0</v>
      </c>
      <c r="O46" s="977">
        <f>SUM(SUMIF(Баланс!$B:$B,M46,Баланс!$H:$H)/1000,0)</f>
        <v>0</v>
      </c>
      <c r="P46" s="27">
        <v>45700</v>
      </c>
      <c r="Q46" s="58">
        <f>SUM(SUMIF(Баланс!$B:$B,P46,Баланс!$D:$D)/1000,0)</f>
        <v>0</v>
      </c>
      <c r="R46" s="58">
        <f>SUM(SUMIF(Баланс!$B:$B,P46,Баланс!$H:$H)/1000,0)</f>
        <v>0</v>
      </c>
      <c r="S46" s="27">
        <v>51600</v>
      </c>
      <c r="T46" s="58">
        <f>SUM(SUMIF(Баланс!$B:$B,S46,Баланс!$C:$C)/1000,0)</f>
        <v>0</v>
      </c>
      <c r="U46" s="58">
        <f>SUM(SUMIF(Баланс!$B:$B,S46,Баланс!$G:$G)/1000,0)</f>
        <v>0</v>
      </c>
      <c r="V46" s="27">
        <v>55700</v>
      </c>
      <c r="W46" s="58">
        <f>SUM(SUMIF(Баланс!$B:$B,V46,Баланс!$C:$C)/1000,0)</f>
        <v>0</v>
      </c>
      <c r="X46" s="58">
        <f>ROUND(SUMIF(Баланс!$B:$B,V46,Баланс!$G:$G)/1000,0)</f>
        <v>0</v>
      </c>
    </row>
    <row r="47" spans="2:24">
      <c r="M47" s="42">
        <v>40800</v>
      </c>
      <c r="N47" s="977">
        <f>SUM(SUMIF(Баланс!$B:$B,M47,Баланс!$D:$D)/1000,0)</f>
        <v>0</v>
      </c>
      <c r="O47" s="977">
        <f>SUM(SUMIF(Баланс!$B:$B,M47,Баланс!$H:$H)/1000,0)</f>
        <v>0</v>
      </c>
      <c r="P47" s="27">
        <v>45800</v>
      </c>
      <c r="Q47" s="58">
        <f>SUM(SUMIF(Баланс!$B:$B,P47,Баланс!$D:$D)/1000,0)</f>
        <v>0</v>
      </c>
      <c r="R47" s="58">
        <f>SUM(SUMIF(Баланс!$B:$B,P47,Баланс!$H:$H)/1000,0)</f>
        <v>0</v>
      </c>
      <c r="S47" s="27">
        <v>52100</v>
      </c>
      <c r="T47" s="58">
        <f>SUM(SUMIF(Баланс!$B:$B,S47,Баланс!$C:$C)/1000,0)</f>
        <v>0</v>
      </c>
      <c r="U47" s="58">
        <f>SUM(SUMIF(Баланс!$B:$B,S47,Баланс!$G:$G)/1000,0)</f>
        <v>0</v>
      </c>
      <c r="V47" s="27">
        <v>55800</v>
      </c>
      <c r="W47" s="58">
        <f>SUM(SUMIF(Баланс!$B:$B,V47,Баланс!$C:$C)/1000,0)</f>
        <v>0</v>
      </c>
      <c r="X47" s="58">
        <f>ROUND(SUMIF(Баланс!$B:$B,V47,Баланс!$G:$G)/1000,0)</f>
        <v>0</v>
      </c>
    </row>
    <row r="48" spans="2:24">
      <c r="M48" s="42">
        <v>41000</v>
      </c>
      <c r="N48" s="977">
        <f>SUM(SUMIF(Баланс!$B:$B,M48,Баланс!$D:$D)/1000,0)</f>
        <v>0</v>
      </c>
      <c r="O48" s="977">
        <f>SUM(SUMIF(Баланс!$B:$B,M48,Баланс!$H:$H)/1000,0)</f>
        <v>0</v>
      </c>
      <c r="P48" s="27">
        <v>45900</v>
      </c>
      <c r="Q48" s="58">
        <f>SUM(SUMIF(Баланс!$B:$B,P48,Баланс!$D:$D)/1000,0)</f>
        <v>6476536.0901800003</v>
      </c>
      <c r="R48" s="58">
        <f>SUM(SUMIF(Баланс!$B:$B,P48,Баланс!$H:$H)/1000,0)</f>
        <v>2698770.3267000001</v>
      </c>
      <c r="S48" s="27">
        <v>52600</v>
      </c>
      <c r="T48" s="58">
        <f>SUM(SUMIF(Баланс!$B:$B,S48,Баланс!$C:$C)/1000,0)</f>
        <v>0</v>
      </c>
      <c r="U48" s="58">
        <f>SUM(SUMIF(Баланс!$B:$B,S48,Баланс!$G:$G)/1000,0)</f>
        <v>0</v>
      </c>
      <c r="V48" s="27">
        <v>55900</v>
      </c>
      <c r="W48" s="58">
        <f>SUM(SUMIF(Баланс!$B:$B,V48,Баланс!$C:$C)/1000,0)</f>
        <v>2660.1262499999998</v>
      </c>
      <c r="X48" s="58">
        <f>ROUND(SUMIF(Баланс!$B:$B,V48,Баланс!$G:$G)/1000,0)</f>
        <v>21626</v>
      </c>
    </row>
    <row r="49" spans="13:21">
      <c r="M49" s="42">
        <v>41200</v>
      </c>
      <c r="N49" s="977">
        <f>SUM(SUMIF(Баланс!$B:$B,M49,Баланс!$D:$D)/1000,0)</f>
        <v>0</v>
      </c>
      <c r="O49" s="977">
        <f>SUM(SUMIF(Баланс!$B:$B,M49,Баланс!$H:$H)/1000,0)</f>
        <v>0</v>
      </c>
      <c r="Q49" s="58"/>
      <c r="R49" s="58"/>
      <c r="S49" s="27">
        <v>53100</v>
      </c>
      <c r="T49" s="58">
        <f>SUM(SUMIF(Баланс!$B:$B,S49,Баланс!$C:$C)/1000,0)</f>
        <v>0</v>
      </c>
      <c r="U49" s="58">
        <f>SUM(SUMIF(Баланс!$B:$B,S49,Баланс!$G:$G)/1000,0)</f>
        <v>0</v>
      </c>
    </row>
    <row r="50" spans="13:21">
      <c r="M50" s="42">
        <v>41400</v>
      </c>
      <c r="N50" s="977">
        <f>SUM(SUMIF(Баланс!$B:$B,M50,Баланс!$D:$D)/1000,0)</f>
        <v>0</v>
      </c>
      <c r="O50" s="977">
        <f>SUM(SUMIF(Баланс!$B:$B,M50,Баланс!$H:$H)/1000,0)</f>
        <v>0</v>
      </c>
      <c r="Q50" s="58"/>
      <c r="R50" s="58"/>
      <c r="S50" s="27">
        <v>54100</v>
      </c>
      <c r="T50" s="58">
        <f>SUM(SUMIF(Баланс!$B:$B,S50,Баланс!$C:$C)/1000,0)</f>
        <v>477.39246999999995</v>
      </c>
      <c r="U50" s="58">
        <f>SUM(SUMIF(Баланс!$B:$B,S50,Баланс!$G:$G)/1000,0)</f>
        <v>6334.0852300000006</v>
      </c>
    </row>
    <row r="51" spans="13:21">
      <c r="M51" s="42">
        <v>41600</v>
      </c>
      <c r="N51" s="977">
        <f>SUM(SUMIF(Баланс!$B:$B,M51,Баланс!$D:$D)/1000,0)</f>
        <v>0</v>
      </c>
      <c r="O51" s="977">
        <f>SUM(SUMIF(Баланс!$B:$B,M51,Баланс!$H:$H)/1000,0)</f>
        <v>0</v>
      </c>
      <c r="Q51" s="58"/>
      <c r="R51" s="58"/>
      <c r="S51" s="27">
        <v>54200</v>
      </c>
      <c r="T51" s="58">
        <f>SUM(SUMIF(Баланс!$B:$B,S51,Баланс!$C:$C)/1000,0)</f>
        <v>0</v>
      </c>
      <c r="U51" s="58">
        <f>SUM(SUMIF(Баланс!$B:$B,S51,Баланс!$G:$G)/1000,0)</f>
        <v>0</v>
      </c>
    </row>
    <row r="52" spans="13:21">
      <c r="M52" s="42">
        <v>41800</v>
      </c>
      <c r="N52" s="977">
        <f>SUM(SUMIF(Баланс!$B:$B,M52,Баланс!$D:$D)/1000,0)</f>
        <v>0</v>
      </c>
      <c r="O52" s="977">
        <f>SUM(SUMIF(Баланс!$B:$B,M52,Баланс!$H:$H)/1000,0)</f>
        <v>0</v>
      </c>
      <c r="Q52" s="58"/>
      <c r="R52" s="58"/>
      <c r="S52" s="27">
        <v>54300</v>
      </c>
      <c r="T52" s="58">
        <f>SUM(SUMIF(Баланс!$B:$B,S52,Баланс!$C:$C)/1000,0)</f>
        <v>0</v>
      </c>
      <c r="U52" s="58">
        <f>SUM(SUMIF(Баланс!$B:$B,S52,Баланс!$G:$G)/1000,0)</f>
        <v>0</v>
      </c>
    </row>
    <row r="53" spans="13:21">
      <c r="M53" s="42">
        <v>41900</v>
      </c>
      <c r="N53" s="977">
        <f>SUM(SUMIF(Баланс!$B:$B,M53,Баланс!$D:$D)/1000,0)</f>
        <v>0</v>
      </c>
      <c r="O53" s="977">
        <f>SUM(SUMIF(Баланс!$B:$B,M53,Баланс!$H:$H)/1000,0)</f>
        <v>0</v>
      </c>
      <c r="Q53" s="58"/>
      <c r="R53" s="58"/>
      <c r="S53" s="27">
        <v>54900</v>
      </c>
      <c r="T53" s="58">
        <f>SUM(SUMIF(Баланс!$B:$B,S53,Баланс!$C:$C)/1000,0)</f>
        <v>3056148.7513699997</v>
      </c>
      <c r="U53" s="58">
        <f>SUM(SUMIF(Баланс!$B:$B,S53,Баланс!$G:$G)/1000,0)</f>
        <v>3858011.0735399998</v>
      </c>
    </row>
    <row r="54" spans="13:21">
      <c r="M54" s="42">
        <v>42000</v>
      </c>
      <c r="N54" s="977">
        <f>SUM(SUMIF(Баланс!$B:$B,M54,Баланс!$D:$D)/1000,0)</f>
        <v>654240.38721000007</v>
      </c>
      <c r="O54" s="977">
        <f>SUM(SUMIF(Баланс!$B:$B,M54,Баланс!$H:$H)/1000,0)</f>
        <v>503157.20348000003</v>
      </c>
      <c r="Q54" s="58"/>
      <c r="R54" s="58"/>
      <c r="T54" s="58"/>
      <c r="U54" s="58"/>
    </row>
    <row r="55" spans="13:21">
      <c r="M55" s="42">
        <v>42100</v>
      </c>
      <c r="N55" s="977">
        <f>SUM(SUMIF(Баланс!$B:$B,M55,Баланс!$D:$D)/1000,0)</f>
        <v>4887.8999199999998</v>
      </c>
      <c r="O55" s="977">
        <f>SUM(SUMIF(Баланс!$B:$B,M55,Баланс!$H:$H)/1000,0)</f>
        <v>2904.4506499999998</v>
      </c>
      <c r="Q55" s="58"/>
      <c r="R55" s="58"/>
    </row>
    <row r="56" spans="13:21">
      <c r="M56" s="42">
        <v>42200</v>
      </c>
      <c r="N56" s="977">
        <f>SUM(SUMIF(Баланс!$B:$B,M56,Баланс!$D:$D)/1000,0)</f>
        <v>0</v>
      </c>
      <c r="O56" s="977">
        <f>SUM(SUMIF(Баланс!$B:$B,M56,Баланс!$H:$H)/1000,0)</f>
        <v>0</v>
      </c>
      <c r="Q56" s="58"/>
      <c r="R56" s="58"/>
    </row>
    <row r="57" spans="13:21">
      <c r="M57" s="42">
        <v>42300</v>
      </c>
      <c r="N57" s="977">
        <f>SUM(SUMIF(Баланс!$B:$B,M57,Баланс!$D:$D)/1000,0)</f>
        <v>0</v>
      </c>
      <c r="O57" s="977">
        <f>SUM(SUMIF(Баланс!$B:$B,M57,Баланс!$H:$H)/1000,0)</f>
        <v>0</v>
      </c>
      <c r="Q57" s="58"/>
      <c r="R57" s="58"/>
    </row>
    <row r="58" spans="13:21">
      <c r="M58" s="42">
        <v>42400</v>
      </c>
      <c r="N58" s="977">
        <f>SUM(SUMIF(Баланс!$B:$B,M58,Баланс!$D:$D)/1000,0)</f>
        <v>380.95607000000001</v>
      </c>
      <c r="O58" s="977">
        <f>SUM(SUMIF(Баланс!$B:$B,M58,Баланс!$H:$H)/1000,0)</f>
        <v>0</v>
      </c>
      <c r="Q58" s="58"/>
      <c r="R58" s="58"/>
    </row>
    <row r="59" spans="13:21">
      <c r="M59" s="42">
        <v>42500</v>
      </c>
      <c r="N59" s="977">
        <f>SUM(SUMIF(Баланс!$B:$B,M59,Баланс!$D:$D)/1000,0)</f>
        <v>0</v>
      </c>
      <c r="O59" s="977">
        <f>SUM(SUMIF(Баланс!$B:$B,M59,Баланс!$H:$H)/1000,0)</f>
        <v>0</v>
      </c>
      <c r="Q59" s="58"/>
      <c r="R59" s="58"/>
    </row>
    <row r="60" spans="13:21">
      <c r="M60" s="42">
        <v>42600</v>
      </c>
      <c r="N60" s="977">
        <f>SUM(SUMIF(Баланс!$B:$B,M60,Баланс!$D:$D)/1000,0)</f>
        <v>2591638.6622199998</v>
      </c>
      <c r="O60" s="977">
        <f>SUM(SUMIF(Баланс!$B:$B,M60,Баланс!$H:$H)/1000,0)</f>
        <v>384946.22786000004</v>
      </c>
      <c r="Q60" s="58"/>
      <c r="R60" s="58"/>
    </row>
    <row r="61" spans="13:21">
      <c r="M61" s="42">
        <v>43600</v>
      </c>
      <c r="N61" s="977">
        <f>SUM(SUMIF(Баланс!$B:$B,M61,Баланс!$D:$D)/1000,0)</f>
        <v>0</v>
      </c>
      <c r="O61" s="977">
        <f>SUM(SUMIF(Баланс!$B:$B,M61,Баланс!$H:$H)/1000,0)</f>
        <v>0</v>
      </c>
      <c r="Q61" s="58"/>
      <c r="R61" s="58"/>
    </row>
    <row r="62" spans="13:21">
      <c r="M62" s="42">
        <v>43700</v>
      </c>
      <c r="N62" s="977">
        <f>SUM(SUMIF(Баланс!$B:$B,M62,Баланс!$D:$D)/1000,0)</f>
        <v>0</v>
      </c>
      <c r="O62" s="977">
        <f>SUM(SUMIF(Баланс!$B:$B,M62,Баланс!$H:$H)/1000,0)</f>
        <v>0</v>
      </c>
      <c r="Q62" s="58"/>
      <c r="R62" s="58"/>
    </row>
    <row r="63" spans="13:21">
      <c r="M63" s="42">
        <v>43900</v>
      </c>
      <c r="N63" s="977">
        <f>SUM(SUMIF(Баланс!$B:$B,M63,Баланс!$D:$D)/1000,0)</f>
        <v>0</v>
      </c>
      <c r="O63" s="977">
        <f>SUM(SUMIF(Баланс!$B:$B,M63,Баланс!$H:$H)/1000,0)</f>
        <v>0</v>
      </c>
      <c r="Q63" s="58"/>
      <c r="R63" s="58"/>
    </row>
    <row r="64" spans="13:21">
      <c r="M64" s="42">
        <v>44000</v>
      </c>
      <c r="N64" s="977">
        <f>SUM(SUMIF(Баланс!$B:$B,M64,Баланс!$D:$D)/1000,0)</f>
        <v>0</v>
      </c>
      <c r="O64" s="977">
        <f>SUM(SUMIF(Баланс!$B:$B,M64,Баланс!$H:$H)/1000,0)</f>
        <v>0</v>
      </c>
      <c r="Q64" s="58"/>
      <c r="R64" s="58"/>
    </row>
    <row r="65" spans="13:24">
      <c r="M65" s="42">
        <v>44100</v>
      </c>
      <c r="N65" s="977">
        <f>SUM(SUMIF(Баланс!$B:$B,M65,Баланс!$D:$D)/1000,0)</f>
        <v>42903.027139999998</v>
      </c>
      <c r="O65" s="977">
        <f>SUM(SUMIF(Баланс!$B:$B,M65,Баланс!$H:$H)/1000,0)</f>
        <v>48243.200149999997</v>
      </c>
      <c r="Q65" s="58"/>
      <c r="R65" s="58"/>
    </row>
    <row r="66" spans="13:24">
      <c r="M66" s="42">
        <v>44200</v>
      </c>
      <c r="N66" s="977">
        <f>SUM(SUMIF(Баланс!$B:$B,M66,Баланс!$D:$D)/1000,0)</f>
        <v>0</v>
      </c>
      <c r="O66" s="977">
        <f>SUM(SUMIF(Баланс!$B:$B,M66,Баланс!$H:$H)/1000,0)</f>
        <v>0</v>
      </c>
      <c r="Q66" s="58"/>
      <c r="R66" s="58"/>
    </row>
    <row r="67" spans="13:24">
      <c r="M67" s="42">
        <v>44300</v>
      </c>
      <c r="N67" s="977">
        <f>SUM(SUMIF(Баланс!$B:$B,M67,Баланс!$D:$D)/1000,0)</f>
        <v>2905997.42686</v>
      </c>
      <c r="O67" s="977">
        <f>SUM(SUMIF(Баланс!$B:$B,M67,Баланс!$H:$H)/1000,0)</f>
        <v>5662911.9876600001</v>
      </c>
      <c r="Q67" s="58"/>
      <c r="R67" s="58"/>
    </row>
    <row r="68" spans="13:24">
      <c r="M68" s="42">
        <v>44400</v>
      </c>
      <c r="N68" s="977">
        <f>SUM(SUMIF(Баланс!$B:$B,M68,Баланс!$D:$D)/1000,0)</f>
        <v>0</v>
      </c>
      <c r="O68" s="977">
        <f>SUM(SUMIF(Баланс!$B:$B,M68,Баланс!$H:$H)/1000,0)</f>
        <v>0</v>
      </c>
      <c r="Q68" s="58"/>
      <c r="R68" s="58"/>
    </row>
    <row r="69" spans="13:24">
      <c r="M69" s="42">
        <v>44500</v>
      </c>
      <c r="N69" s="977">
        <f>SUM(SUMIF(Баланс!$B:$B,M69,Баланс!$D:$D)/1000,0)</f>
        <v>31061.774249999999</v>
      </c>
      <c r="O69" s="977">
        <f>SUM(SUMIF(Баланс!$B:$B,M69,Баланс!$H:$H)/1000,0)</f>
        <v>0</v>
      </c>
      <c r="Q69" s="58"/>
      <c r="R69" s="58"/>
    </row>
    <row r="70" spans="13:24">
      <c r="M70" s="42">
        <v>44600</v>
      </c>
      <c r="N70" s="977">
        <f>SUM(SUMIF(Баланс!$B:$B,M70,Баланс!$D:$D)/1000,0)</f>
        <v>2046070.4247099999</v>
      </c>
      <c r="O70" s="977">
        <f>SUM(SUMIF(Баланс!$B:$B,M70,Баланс!$H:$H)/1000,0)</f>
        <v>3066918.8733699997</v>
      </c>
      <c r="Q70" s="58"/>
      <c r="R70" s="58"/>
    </row>
    <row r="71" spans="13:24">
      <c r="M71" s="42">
        <v>44700</v>
      </c>
      <c r="N71" s="977">
        <f>SUM(SUMIF(Баланс!$B:$B,M71,Баланс!$D:$D)/1000,0)</f>
        <v>13682.45261</v>
      </c>
      <c r="O71" s="977">
        <f>SUM(SUMIF(Баланс!$B:$B,M71,Баланс!$H:$H)/1000,0)</f>
        <v>1872.3902</v>
      </c>
      <c r="Q71" s="58"/>
      <c r="R71" s="58"/>
    </row>
    <row r="72" spans="13:24">
      <c r="M72" s="42">
        <v>44800</v>
      </c>
      <c r="N72" s="977">
        <f>SUM(SUMIF(Баланс!$B:$B,M72,Баланс!$D:$D)/1000,0)</f>
        <v>0</v>
      </c>
      <c r="O72" s="977">
        <f>SUM(SUMIF(Баланс!$B:$B,M72,Баланс!$H:$H)/1000,0)</f>
        <v>0</v>
      </c>
    </row>
    <row r="73" spans="13:24">
      <c r="M73" s="42">
        <v>44900</v>
      </c>
      <c r="N73" s="977">
        <f>SUM(SUMIF(Баланс!$B:$B,M73,Баланс!$D:$D)/1000,0)</f>
        <v>67397.260269999999</v>
      </c>
      <c r="O73" s="977">
        <f>SUM(SUMIF(Баланс!$B:$B,M73,Баланс!$H:$H)/1000,0)</f>
        <v>80136.986300000004</v>
      </c>
    </row>
    <row r="74" spans="13:24">
      <c r="M74" s="42">
        <v>45100</v>
      </c>
      <c r="N74" s="977">
        <f>SUM(SUMIF(Баланс!$B:$B,M74,Баланс!$D:$D)/1000,0)</f>
        <v>0</v>
      </c>
      <c r="O74" s="977">
        <f>SUM(SUMIF(Баланс!$B:$B,M74,Баланс!$H:$H)/1000,0)</f>
        <v>0</v>
      </c>
    </row>
    <row r="75" spans="13:24">
      <c r="N75" s="978">
        <f>SUM(N43:N74)</f>
        <v>8358260.2712599998</v>
      </c>
      <c r="O75" s="978">
        <f>SUM(O43:O74)</f>
        <v>9751091.319670001</v>
      </c>
      <c r="P75" s="118"/>
      <c r="Q75" s="117">
        <f>SUM(Q43:Q74)</f>
        <v>8006779.72829</v>
      </c>
      <c r="R75" s="117">
        <f>SUM(R43:R74)</f>
        <v>6135983.1461300002</v>
      </c>
      <c r="S75" s="118"/>
      <c r="T75" s="117">
        <f>SUM(T43:T74)</f>
        <v>5246960.3967499994</v>
      </c>
      <c r="U75" s="117">
        <f>SUM(U43:U74)</f>
        <v>5927005.8577899998</v>
      </c>
      <c r="V75" s="118"/>
      <c r="W75" s="117">
        <f>SUM(W43:W74)</f>
        <v>75764.996429999999</v>
      </c>
      <c r="X75" s="117">
        <f>SUM(X43:X74)</f>
        <v>780288</v>
      </c>
    </row>
    <row r="78" spans="13:24">
      <c r="U78" s="100"/>
    </row>
  </sheetData>
  <sheetProtection formatCells="0" formatColumns="0" formatRows="0" insertColumns="0" insertRows="0" insertHyperlinks="0" deleteColumns="0" deleteRows="0" sort="0" autoFilter="0" pivotTables="0"/>
  <mergeCells count="9">
    <mergeCell ref="A2:I2"/>
    <mergeCell ref="C3:F3"/>
    <mergeCell ref="A5:A6"/>
    <mergeCell ref="B5:B6"/>
    <mergeCell ref="C5:D5"/>
    <mergeCell ref="E5:F5"/>
    <mergeCell ref="G5:G6"/>
    <mergeCell ref="H5:H6"/>
    <mergeCell ref="I5:I6"/>
  </mergeCells>
  <phoneticPr fontId="0" type="noConversion"/>
  <printOptions horizontalCentered="1"/>
  <pageMargins left="0.86614173228346458" right="0.51181102362204722" top="0.27559055118110237" bottom="0.23622047244094491" header="0.19685039370078741" footer="0.19685039370078741"/>
  <pageSetup paperSize="9" scale="77" orientation="landscape" horizontalDpi="120" verticalDpi="144" r:id="rId1"/>
  <headerFooter alignWithMargins="0"/>
  <ignoredErrors>
    <ignoredError sqref="F24:G24 D24 D13:E13 F13:I13 E8:E12 E14 E17:E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34"/>
    <pageSetUpPr fitToPage="1"/>
  </sheetPr>
  <dimension ref="A1:N46"/>
  <sheetViews>
    <sheetView topLeftCell="A31" workbookViewId="0">
      <selection sqref="A1:IV65536"/>
    </sheetView>
  </sheetViews>
  <sheetFormatPr defaultColWidth="21.44140625" defaultRowHeight="13.8"/>
  <cols>
    <col min="1" max="1" width="4.88671875" style="145" customWidth="1"/>
    <col min="2" max="2" width="21.88671875" style="145" customWidth="1"/>
    <col min="3" max="3" width="17" style="422" bestFit="1" customWidth="1"/>
    <col min="4" max="4" width="17" style="457" bestFit="1" customWidth="1"/>
    <col min="5" max="5" width="18.33203125" style="145" bestFit="1" customWidth="1"/>
    <col min="6" max="6" width="19.44140625" style="582" customWidth="1"/>
    <col min="7" max="7" width="9" style="145" customWidth="1"/>
    <col min="8" max="8" width="20.6640625" style="457" customWidth="1"/>
    <col min="9" max="9" width="20.33203125" style="457" customWidth="1"/>
    <col min="10" max="10" width="20" style="457" customWidth="1"/>
    <col min="11" max="11" width="13.44140625" style="145" customWidth="1"/>
    <col min="12" max="12" width="19.6640625" style="457" customWidth="1"/>
    <col min="13" max="13" width="20.88671875" style="124" hidden="1" customWidth="1"/>
    <col min="14" max="14" width="15.6640625" style="185" hidden="1" customWidth="1"/>
    <col min="15" max="15" width="18.88671875" style="145" customWidth="1"/>
    <col min="16" max="16" width="16.33203125" style="145" customWidth="1"/>
    <col min="17" max="16384" width="21.44140625" style="145"/>
  </cols>
  <sheetData>
    <row r="1" spans="1:12">
      <c r="F1" s="581"/>
      <c r="G1" s="458"/>
      <c r="K1" s="82"/>
      <c r="L1" s="582" t="s">
        <v>114</v>
      </c>
    </row>
    <row r="2" spans="1:12" ht="39" customHeight="1">
      <c r="B2" s="1020" t="str">
        <f>""&amp;(Шаблон!B1)&amp;"нинг "&amp;(Шаблон!B2)&amp;" вилоят "&amp;(Шаблон!B3)&amp;" филиали томонидан Халқ банк филиалларига берилган  молиявий ёрдам ва унга ҳисобланган фоизларнинг ундирилиши бўйича 2016 йил 1 сентябр холатига"</f>
        <v>АТ "Халқ банк"нинг Фаргона вилояти вилоят Бешариқ филиали филиали томонидан Халқ банк филиалларига берилган  молиявий ёрдам ва унга ҳисобланган фоизларнинг ундирилиши бўйича 2016 йил 1 сентябр холатига</v>
      </c>
      <c r="C2" s="1020"/>
      <c r="D2" s="1020"/>
      <c r="E2" s="1020"/>
      <c r="F2" s="1020"/>
      <c r="G2" s="1020"/>
      <c r="H2" s="1020"/>
      <c r="I2" s="1020"/>
      <c r="J2" s="1020"/>
      <c r="K2" s="634"/>
    </row>
    <row r="3" spans="1:12">
      <c r="B3" s="1021" t="s">
        <v>385</v>
      </c>
      <c r="C3" s="1021"/>
      <c r="D3" s="1021"/>
      <c r="E3" s="1021"/>
      <c r="F3" s="1021"/>
      <c r="G3" s="1021"/>
      <c r="H3" s="1021"/>
      <c r="I3" s="1021"/>
      <c r="J3" s="1021"/>
      <c r="K3" s="1021"/>
    </row>
    <row r="4" spans="1:12">
      <c r="J4" s="582" t="s">
        <v>115</v>
      </c>
      <c r="K4" s="82"/>
      <c r="L4" s="145"/>
    </row>
    <row r="5" spans="1:12" ht="26.4">
      <c r="A5" s="630" t="s">
        <v>916</v>
      </c>
      <c r="B5" s="630" t="s">
        <v>191</v>
      </c>
      <c r="C5" s="630" t="s">
        <v>917</v>
      </c>
      <c r="D5" s="630" t="s">
        <v>918</v>
      </c>
      <c r="E5" s="630" t="s">
        <v>919</v>
      </c>
      <c r="F5" s="630" t="s">
        <v>179</v>
      </c>
      <c r="G5" s="630" t="s">
        <v>920</v>
      </c>
      <c r="H5" s="630" t="s">
        <v>921</v>
      </c>
      <c r="I5" s="630" t="s">
        <v>922</v>
      </c>
      <c r="J5" s="631" t="s">
        <v>923</v>
      </c>
      <c r="K5" s="82"/>
      <c r="L5" s="582"/>
    </row>
    <row r="6" spans="1:12">
      <c r="A6" s="632" t="s">
        <v>253</v>
      </c>
      <c r="B6" s="632">
        <v>2</v>
      </c>
      <c r="C6" s="632">
        <v>3</v>
      </c>
      <c r="D6" s="632">
        <v>4</v>
      </c>
      <c r="E6" s="632">
        <v>5</v>
      </c>
      <c r="F6" s="632">
        <v>6</v>
      </c>
      <c r="G6" s="632">
        <v>7</v>
      </c>
      <c r="H6" s="632">
        <v>8</v>
      </c>
      <c r="I6" s="633">
        <v>9</v>
      </c>
      <c r="J6" s="633">
        <v>10</v>
      </c>
      <c r="K6" s="82"/>
      <c r="L6" s="582"/>
    </row>
    <row r="7" spans="1:12">
      <c r="A7" s="1019" t="s">
        <v>2059</v>
      </c>
      <c r="B7" s="1019"/>
      <c r="C7" s="1019"/>
      <c r="D7" s="1019"/>
      <c r="E7" s="1019"/>
      <c r="F7" s="1019"/>
      <c r="G7" s="1019"/>
      <c r="H7" s="1019"/>
      <c r="I7" s="1019"/>
      <c r="J7" s="1019"/>
    </row>
    <row r="8" spans="1:12">
      <c r="A8" s="652">
        <v>1</v>
      </c>
      <c r="B8" s="645" t="s">
        <v>2060</v>
      </c>
      <c r="C8" s="647">
        <v>0</v>
      </c>
      <c r="D8" s="647">
        <v>1700000000</v>
      </c>
      <c r="E8" s="646">
        <f>+D8-C8</f>
        <v>1700000000</v>
      </c>
      <c r="F8" s="652">
        <v>1</v>
      </c>
      <c r="G8" s="653" t="s">
        <v>372</v>
      </c>
      <c r="H8" s="654">
        <f>E8*F8%/365*G8</f>
        <v>46575.342465753427</v>
      </c>
      <c r="I8" s="652"/>
      <c r="J8" s="652"/>
    </row>
    <row r="9" spans="1:12">
      <c r="A9" s="652">
        <f>+A8+1</f>
        <v>2</v>
      </c>
      <c r="B9" s="645" t="s">
        <v>2061</v>
      </c>
      <c r="C9" s="647">
        <v>200000000</v>
      </c>
      <c r="D9" s="647">
        <v>0</v>
      </c>
      <c r="E9" s="655">
        <f>E8-C9+D9</f>
        <v>1500000000</v>
      </c>
      <c r="F9" s="652">
        <v>5</v>
      </c>
      <c r="G9" s="653">
        <f t="shared" ref="G9:G33" si="0">+B10-B9</f>
        <v>7</v>
      </c>
      <c r="H9" s="654">
        <f t="shared" ref="H9:H34" si="1">E9*F9%/365*G9</f>
        <v>1438356.1643835618</v>
      </c>
      <c r="I9" s="652"/>
      <c r="J9" s="652"/>
    </row>
    <row r="10" spans="1:12">
      <c r="A10" s="652">
        <f t="shared" ref="A10:A34" si="2">+A9+1</f>
        <v>3</v>
      </c>
      <c r="B10" s="645" t="s">
        <v>2062</v>
      </c>
      <c r="C10" s="647">
        <v>200000000</v>
      </c>
      <c r="D10" s="647">
        <v>0</v>
      </c>
      <c r="E10" s="655">
        <f t="shared" ref="E10:E34" si="3">E9-C10+D10</f>
        <v>1300000000</v>
      </c>
      <c r="F10" s="652">
        <v>5</v>
      </c>
      <c r="G10" s="653">
        <f t="shared" si="0"/>
        <v>323</v>
      </c>
      <c r="H10" s="654">
        <f t="shared" si="1"/>
        <v>57520547.94520548</v>
      </c>
      <c r="I10" s="652"/>
      <c r="J10" s="652"/>
    </row>
    <row r="11" spans="1:12">
      <c r="A11" s="652">
        <f t="shared" si="2"/>
        <v>4</v>
      </c>
      <c r="B11" s="645" t="s">
        <v>2063</v>
      </c>
      <c r="C11" s="647">
        <v>0</v>
      </c>
      <c r="D11" s="647">
        <v>2000000000</v>
      </c>
      <c r="E11" s="655">
        <f t="shared" si="3"/>
        <v>3300000000</v>
      </c>
      <c r="F11" s="652">
        <v>5</v>
      </c>
      <c r="G11" s="653">
        <f t="shared" si="0"/>
        <v>0</v>
      </c>
      <c r="H11" s="654">
        <f t="shared" si="1"/>
        <v>0</v>
      </c>
      <c r="I11" s="652"/>
      <c r="J11" s="652"/>
    </row>
    <row r="12" spans="1:12">
      <c r="A12" s="652">
        <f t="shared" si="2"/>
        <v>5</v>
      </c>
      <c r="B12" s="645" t="s">
        <v>2063</v>
      </c>
      <c r="C12" s="647">
        <v>1300000000</v>
      </c>
      <c r="D12" s="647">
        <v>0</v>
      </c>
      <c r="E12" s="655">
        <f t="shared" si="3"/>
        <v>2000000000</v>
      </c>
      <c r="F12" s="652">
        <v>5</v>
      </c>
      <c r="G12" s="653">
        <f t="shared" si="0"/>
        <v>2</v>
      </c>
      <c r="H12" s="654">
        <f t="shared" si="1"/>
        <v>547945.20547945204</v>
      </c>
      <c r="I12" s="652"/>
      <c r="J12" s="652"/>
    </row>
    <row r="13" spans="1:12">
      <c r="A13" s="652">
        <f t="shared" si="2"/>
        <v>6</v>
      </c>
      <c r="B13" s="645" t="s">
        <v>2064</v>
      </c>
      <c r="C13" s="647">
        <v>0</v>
      </c>
      <c r="D13" s="647">
        <v>500000000</v>
      </c>
      <c r="E13" s="655">
        <f t="shared" si="3"/>
        <v>2500000000</v>
      </c>
      <c r="F13" s="652">
        <v>5</v>
      </c>
      <c r="G13" s="653">
        <f t="shared" si="0"/>
        <v>1</v>
      </c>
      <c r="H13" s="654">
        <f t="shared" si="1"/>
        <v>342465.75342465751</v>
      </c>
      <c r="I13" s="652"/>
      <c r="J13" s="652"/>
    </row>
    <row r="14" spans="1:12">
      <c r="A14" s="652">
        <f t="shared" si="2"/>
        <v>7</v>
      </c>
      <c r="B14" s="645" t="s">
        <v>2065</v>
      </c>
      <c r="C14" s="647">
        <v>0</v>
      </c>
      <c r="D14" s="647">
        <v>200000000</v>
      </c>
      <c r="E14" s="655">
        <f t="shared" si="3"/>
        <v>2700000000</v>
      </c>
      <c r="F14" s="652">
        <v>5</v>
      </c>
      <c r="G14" s="653">
        <f t="shared" si="0"/>
        <v>5</v>
      </c>
      <c r="H14" s="654">
        <f t="shared" si="1"/>
        <v>1849315.0684931506</v>
      </c>
      <c r="I14" s="652"/>
      <c r="J14" s="652"/>
    </row>
    <row r="15" spans="1:12">
      <c r="A15" s="652">
        <f t="shared" si="2"/>
        <v>8</v>
      </c>
      <c r="B15" s="645" t="s">
        <v>2066</v>
      </c>
      <c r="C15" s="647">
        <v>100000000</v>
      </c>
      <c r="D15" s="647">
        <v>0</v>
      </c>
      <c r="E15" s="655">
        <f t="shared" si="3"/>
        <v>2600000000</v>
      </c>
      <c r="F15" s="652">
        <v>5</v>
      </c>
      <c r="G15" s="653">
        <f t="shared" si="0"/>
        <v>2</v>
      </c>
      <c r="H15" s="654">
        <f t="shared" si="1"/>
        <v>712328.76712328766</v>
      </c>
      <c r="I15" s="652"/>
      <c r="J15" s="652"/>
    </row>
    <row r="16" spans="1:12">
      <c r="A16" s="652">
        <f t="shared" si="2"/>
        <v>9</v>
      </c>
      <c r="B16" s="645" t="s">
        <v>2067</v>
      </c>
      <c r="C16" s="647">
        <v>100000000</v>
      </c>
      <c r="D16" s="647">
        <v>0</v>
      </c>
      <c r="E16" s="655">
        <f t="shared" si="3"/>
        <v>2500000000</v>
      </c>
      <c r="F16" s="652">
        <v>5</v>
      </c>
      <c r="G16" s="653">
        <f t="shared" si="0"/>
        <v>4</v>
      </c>
      <c r="H16" s="654">
        <f t="shared" si="1"/>
        <v>1369863.01369863</v>
      </c>
      <c r="I16" s="652"/>
      <c r="J16" s="652"/>
    </row>
    <row r="17" spans="1:10">
      <c r="A17" s="652">
        <f t="shared" si="2"/>
        <v>10</v>
      </c>
      <c r="B17" s="645" t="s">
        <v>2068</v>
      </c>
      <c r="C17" s="647">
        <v>0</v>
      </c>
      <c r="D17" s="647">
        <v>200000000</v>
      </c>
      <c r="E17" s="655">
        <f t="shared" si="3"/>
        <v>2700000000</v>
      </c>
      <c r="F17" s="652">
        <v>5</v>
      </c>
      <c r="G17" s="653">
        <f t="shared" si="0"/>
        <v>7</v>
      </c>
      <c r="H17" s="654">
        <f t="shared" si="1"/>
        <v>2589041.0958904112</v>
      </c>
      <c r="I17" s="652"/>
      <c r="J17" s="652"/>
    </row>
    <row r="18" spans="1:10">
      <c r="A18" s="652">
        <f t="shared" si="2"/>
        <v>11</v>
      </c>
      <c r="B18" s="645" t="s">
        <v>2069</v>
      </c>
      <c r="C18" s="647">
        <v>50000000</v>
      </c>
      <c r="D18" s="647">
        <v>0</v>
      </c>
      <c r="E18" s="655">
        <f t="shared" si="3"/>
        <v>2650000000</v>
      </c>
      <c r="F18" s="652">
        <v>5</v>
      </c>
      <c r="G18" s="653">
        <f t="shared" si="0"/>
        <v>11</v>
      </c>
      <c r="H18" s="654">
        <f t="shared" si="1"/>
        <v>3993150.6849315064</v>
      </c>
      <c r="I18" s="652"/>
      <c r="J18" s="652"/>
    </row>
    <row r="19" spans="1:10">
      <c r="A19" s="652">
        <f t="shared" si="2"/>
        <v>12</v>
      </c>
      <c r="B19" s="645" t="s">
        <v>2070</v>
      </c>
      <c r="C19" s="647">
        <v>0</v>
      </c>
      <c r="D19" s="647">
        <v>350000000</v>
      </c>
      <c r="E19" s="655">
        <f t="shared" si="3"/>
        <v>3000000000</v>
      </c>
      <c r="F19" s="652">
        <v>5</v>
      </c>
      <c r="G19" s="653">
        <f t="shared" si="0"/>
        <v>29</v>
      </c>
      <c r="H19" s="654">
        <f t="shared" si="1"/>
        <v>11917808.219178082</v>
      </c>
      <c r="I19" s="652"/>
      <c r="J19" s="652"/>
    </row>
    <row r="20" spans="1:10">
      <c r="A20" s="652">
        <f t="shared" si="2"/>
        <v>13</v>
      </c>
      <c r="B20" s="645" t="s">
        <v>2055</v>
      </c>
      <c r="C20" s="647">
        <v>0</v>
      </c>
      <c r="D20" s="647">
        <v>500000000</v>
      </c>
      <c r="E20" s="655">
        <f t="shared" si="3"/>
        <v>3500000000</v>
      </c>
      <c r="F20" s="652">
        <v>5</v>
      </c>
      <c r="G20" s="653">
        <f t="shared" si="0"/>
        <v>5</v>
      </c>
      <c r="H20" s="654">
        <f t="shared" si="1"/>
        <v>2397260.2739726026</v>
      </c>
      <c r="I20" s="652"/>
      <c r="J20" s="652"/>
    </row>
    <row r="21" spans="1:10">
      <c r="A21" s="652">
        <f t="shared" si="2"/>
        <v>14</v>
      </c>
      <c r="B21" s="645" t="s">
        <v>2051</v>
      </c>
      <c r="C21" s="647">
        <v>500000000</v>
      </c>
      <c r="D21" s="647">
        <v>0</v>
      </c>
      <c r="E21" s="655">
        <f t="shared" si="3"/>
        <v>3000000000</v>
      </c>
      <c r="F21" s="652">
        <v>5</v>
      </c>
      <c r="G21" s="653">
        <f t="shared" si="0"/>
        <v>3</v>
      </c>
      <c r="H21" s="654">
        <f t="shared" si="1"/>
        <v>1232876.7123287672</v>
      </c>
      <c r="I21" s="652"/>
      <c r="J21" s="652"/>
    </row>
    <row r="22" spans="1:10">
      <c r="A22" s="652">
        <f t="shared" si="2"/>
        <v>15</v>
      </c>
      <c r="B22" s="645" t="s">
        <v>2071</v>
      </c>
      <c r="C22" s="647">
        <v>500000000</v>
      </c>
      <c r="D22" s="647">
        <v>0</v>
      </c>
      <c r="E22" s="655">
        <f t="shared" si="3"/>
        <v>2500000000</v>
      </c>
      <c r="F22" s="652">
        <v>5</v>
      </c>
      <c r="G22" s="653">
        <f t="shared" si="0"/>
        <v>13</v>
      </c>
      <c r="H22" s="654">
        <f t="shared" si="1"/>
        <v>4452054.7945205476</v>
      </c>
      <c r="I22" s="652"/>
      <c r="J22" s="652"/>
    </row>
    <row r="23" spans="1:10">
      <c r="A23" s="652">
        <f t="shared" si="2"/>
        <v>16</v>
      </c>
      <c r="B23" s="645" t="s">
        <v>2072</v>
      </c>
      <c r="C23" s="647">
        <v>100000000</v>
      </c>
      <c r="D23" s="647">
        <v>0</v>
      </c>
      <c r="E23" s="655">
        <f t="shared" si="3"/>
        <v>2400000000</v>
      </c>
      <c r="F23" s="652">
        <v>5</v>
      </c>
      <c r="G23" s="653">
        <f t="shared" si="0"/>
        <v>1</v>
      </c>
      <c r="H23" s="654">
        <f t="shared" si="1"/>
        <v>328767.12328767125</v>
      </c>
      <c r="I23" s="652"/>
      <c r="J23" s="652"/>
    </row>
    <row r="24" spans="1:10">
      <c r="A24" s="652">
        <f t="shared" si="2"/>
        <v>17</v>
      </c>
      <c r="B24" s="645" t="s">
        <v>2011</v>
      </c>
      <c r="C24" s="647">
        <v>100000000</v>
      </c>
      <c r="D24" s="647">
        <v>0</v>
      </c>
      <c r="E24" s="655">
        <f t="shared" si="3"/>
        <v>2300000000</v>
      </c>
      <c r="F24" s="652">
        <v>5</v>
      </c>
      <c r="G24" s="653">
        <f t="shared" si="0"/>
        <v>1</v>
      </c>
      <c r="H24" s="654">
        <f t="shared" si="1"/>
        <v>315068.49315068492</v>
      </c>
      <c r="I24" s="652"/>
      <c r="J24" s="652"/>
    </row>
    <row r="25" spans="1:10">
      <c r="A25" s="652">
        <f t="shared" si="2"/>
        <v>18</v>
      </c>
      <c r="B25" s="645" t="s">
        <v>2073</v>
      </c>
      <c r="C25" s="647">
        <v>200000000</v>
      </c>
      <c r="D25" s="647">
        <v>0</v>
      </c>
      <c r="E25" s="655">
        <f t="shared" si="3"/>
        <v>2100000000</v>
      </c>
      <c r="F25" s="652">
        <v>5</v>
      </c>
      <c r="G25" s="653">
        <f t="shared" si="0"/>
        <v>5</v>
      </c>
      <c r="H25" s="654">
        <f t="shared" si="1"/>
        <v>1438356.1643835618</v>
      </c>
      <c r="I25" s="652"/>
      <c r="J25" s="652"/>
    </row>
    <row r="26" spans="1:10">
      <c r="A26" s="652">
        <f t="shared" si="2"/>
        <v>19</v>
      </c>
      <c r="B26" s="645" t="s">
        <v>2074</v>
      </c>
      <c r="C26" s="647">
        <v>100000000</v>
      </c>
      <c r="D26" s="647">
        <v>0</v>
      </c>
      <c r="E26" s="655">
        <f t="shared" si="3"/>
        <v>2000000000</v>
      </c>
      <c r="F26" s="652">
        <v>5</v>
      </c>
      <c r="G26" s="653">
        <f t="shared" si="0"/>
        <v>7</v>
      </c>
      <c r="H26" s="654">
        <f t="shared" si="1"/>
        <v>1917808.2191780822</v>
      </c>
      <c r="I26" s="652"/>
      <c r="J26" s="652"/>
    </row>
    <row r="27" spans="1:10">
      <c r="A27" s="652">
        <f t="shared" si="2"/>
        <v>20</v>
      </c>
      <c r="B27" s="645" t="s">
        <v>2056</v>
      </c>
      <c r="C27" s="647">
        <v>300000000</v>
      </c>
      <c r="D27" s="647">
        <v>0</v>
      </c>
      <c r="E27" s="655">
        <f t="shared" si="3"/>
        <v>1700000000</v>
      </c>
      <c r="F27" s="652">
        <v>5</v>
      </c>
      <c r="G27" s="653">
        <f t="shared" si="0"/>
        <v>1</v>
      </c>
      <c r="H27" s="654">
        <f t="shared" si="1"/>
        <v>232876.71232876711</v>
      </c>
      <c r="I27" s="652"/>
      <c r="J27" s="652"/>
    </row>
    <row r="28" spans="1:10">
      <c r="A28" s="652">
        <f t="shared" si="2"/>
        <v>21</v>
      </c>
      <c r="B28" s="645" t="s">
        <v>2012</v>
      </c>
      <c r="C28" s="647">
        <v>200000000</v>
      </c>
      <c r="D28" s="647">
        <v>0</v>
      </c>
      <c r="E28" s="655">
        <f t="shared" si="3"/>
        <v>1500000000</v>
      </c>
      <c r="F28" s="652">
        <v>5</v>
      </c>
      <c r="G28" s="653">
        <f t="shared" si="0"/>
        <v>7</v>
      </c>
      <c r="H28" s="654">
        <f t="shared" si="1"/>
        <v>1438356.1643835618</v>
      </c>
      <c r="I28" s="652"/>
      <c r="J28" s="652"/>
    </row>
    <row r="29" spans="1:10">
      <c r="A29" s="652">
        <f t="shared" si="2"/>
        <v>22</v>
      </c>
      <c r="B29" s="645" t="s">
        <v>2057</v>
      </c>
      <c r="C29" s="647">
        <v>300000000</v>
      </c>
      <c r="D29" s="647">
        <v>0</v>
      </c>
      <c r="E29" s="655">
        <f t="shared" si="3"/>
        <v>1200000000</v>
      </c>
      <c r="F29" s="652">
        <v>5</v>
      </c>
      <c r="G29" s="653">
        <f t="shared" si="0"/>
        <v>0</v>
      </c>
      <c r="H29" s="654">
        <f t="shared" si="1"/>
        <v>0</v>
      </c>
      <c r="I29" s="652"/>
      <c r="J29" s="652"/>
    </row>
    <row r="30" spans="1:10">
      <c r="A30" s="652">
        <f t="shared" si="2"/>
        <v>23</v>
      </c>
      <c r="B30" s="645" t="s">
        <v>2057</v>
      </c>
      <c r="C30" s="647">
        <v>200000000</v>
      </c>
      <c r="D30" s="647">
        <v>0</v>
      </c>
      <c r="E30" s="655">
        <f t="shared" si="3"/>
        <v>1000000000</v>
      </c>
      <c r="F30" s="652">
        <v>5</v>
      </c>
      <c r="G30" s="653">
        <f t="shared" si="0"/>
        <v>85</v>
      </c>
      <c r="H30" s="654">
        <f t="shared" si="1"/>
        <v>11643835.616438355</v>
      </c>
      <c r="I30" s="652"/>
      <c r="J30" s="652"/>
    </row>
    <row r="31" spans="1:10">
      <c r="A31" s="652">
        <f t="shared" si="2"/>
        <v>24</v>
      </c>
      <c r="B31" s="645" t="s">
        <v>2008</v>
      </c>
      <c r="C31" s="647">
        <v>100000000</v>
      </c>
      <c r="D31" s="647">
        <v>0</v>
      </c>
      <c r="E31" s="655">
        <f t="shared" si="3"/>
        <v>900000000</v>
      </c>
      <c r="F31" s="652">
        <v>5</v>
      </c>
      <c r="G31" s="653">
        <f t="shared" si="0"/>
        <v>5</v>
      </c>
      <c r="H31" s="654">
        <f t="shared" si="1"/>
        <v>616438.35616438359</v>
      </c>
      <c r="I31" s="652"/>
      <c r="J31" s="652"/>
    </row>
    <row r="32" spans="1:10">
      <c r="A32" s="652">
        <f t="shared" si="2"/>
        <v>25</v>
      </c>
      <c r="B32" s="645" t="s">
        <v>2054</v>
      </c>
      <c r="C32" s="647">
        <v>200000000</v>
      </c>
      <c r="D32" s="647">
        <v>0</v>
      </c>
      <c r="E32" s="655">
        <f t="shared" si="3"/>
        <v>700000000</v>
      </c>
      <c r="F32" s="652">
        <v>5</v>
      </c>
      <c r="G32" s="653">
        <f t="shared" si="0"/>
        <v>1</v>
      </c>
      <c r="H32" s="654">
        <f t="shared" si="1"/>
        <v>95890.410958904104</v>
      </c>
      <c r="I32" s="652"/>
      <c r="J32" s="652"/>
    </row>
    <row r="33" spans="1:14">
      <c r="A33" s="652">
        <f t="shared" si="2"/>
        <v>26</v>
      </c>
      <c r="B33" s="645" t="s">
        <v>2075</v>
      </c>
      <c r="C33" s="647">
        <v>200000000</v>
      </c>
      <c r="D33" s="647">
        <v>0</v>
      </c>
      <c r="E33" s="655">
        <f t="shared" si="3"/>
        <v>500000000</v>
      </c>
      <c r="F33" s="652">
        <v>5</v>
      </c>
      <c r="G33" s="653">
        <f t="shared" si="0"/>
        <v>30</v>
      </c>
      <c r="H33" s="654">
        <f t="shared" si="1"/>
        <v>2054794.5205479451</v>
      </c>
      <c r="I33" s="652"/>
      <c r="J33" s="652"/>
    </row>
    <row r="34" spans="1:14">
      <c r="A34" s="652">
        <f t="shared" si="2"/>
        <v>27</v>
      </c>
      <c r="B34" s="645" t="s">
        <v>2076</v>
      </c>
      <c r="C34" s="647">
        <v>500000000</v>
      </c>
      <c r="D34" s="647">
        <v>0</v>
      </c>
      <c r="E34" s="655">
        <f t="shared" si="3"/>
        <v>0</v>
      </c>
      <c r="F34" s="652">
        <v>5</v>
      </c>
      <c r="G34" s="653"/>
      <c r="H34" s="654">
        <f t="shared" si="1"/>
        <v>0</v>
      </c>
      <c r="I34" s="652"/>
      <c r="J34" s="652"/>
    </row>
    <row r="35" spans="1:14" s="105" customFormat="1">
      <c r="A35" s="1018" t="s">
        <v>2081</v>
      </c>
      <c r="B35" s="1018"/>
      <c r="C35" s="1018"/>
      <c r="D35" s="1018"/>
      <c r="E35" s="1018"/>
      <c r="F35" s="1018"/>
      <c r="G35" s="1018"/>
      <c r="H35" s="656">
        <f>SUM(H8:H34)</f>
        <v>110491780.82191779</v>
      </c>
      <c r="I35" s="656">
        <v>66258904.109999999</v>
      </c>
      <c r="J35" s="657">
        <f>I35-H35</f>
        <v>-44232876.711917788</v>
      </c>
      <c r="L35" s="650"/>
      <c r="M35" s="185"/>
      <c r="N35" s="185"/>
    </row>
    <row r="36" spans="1:14">
      <c r="A36" s="1018" t="s">
        <v>1028</v>
      </c>
      <c r="B36" s="1018"/>
      <c r="C36" s="1018"/>
      <c r="D36" s="1018"/>
      <c r="E36" s="1018"/>
      <c r="F36" s="1018"/>
      <c r="G36" s="1018"/>
      <c r="H36" s="658">
        <f>+H35</f>
        <v>110491780.82191779</v>
      </c>
      <c r="I36" s="658">
        <f>+I35</f>
        <v>66258904.109999999</v>
      </c>
      <c r="J36" s="658">
        <f>+J35</f>
        <v>-44232876.711917788</v>
      </c>
      <c r="L36" s="457">
        <v>-1402736.7393149994</v>
      </c>
    </row>
    <row r="38" spans="1:14">
      <c r="B38" s="145" t="str">
        <f>+'1.активлар'!B34</f>
        <v>АТ "Халқ банк"нинг Ички аудит</v>
      </c>
    </row>
    <row r="39" spans="1:14">
      <c r="B39" s="145" t="str">
        <f>+'1.активлар'!B35</f>
        <v>департаменти бўлим бошлиғи:</v>
      </c>
      <c r="D39" s="145"/>
      <c r="F39" s="145" t="str">
        <f>+'1.активлар'!F35</f>
        <v>А.Ҳазратқулов</v>
      </c>
      <c r="H39" s="145"/>
      <c r="I39" s="145"/>
      <c r="J39" s="145"/>
    </row>
    <row r="40" spans="1:14">
      <c r="D40" s="145"/>
      <c r="F40" s="145"/>
      <c r="H40" s="145"/>
      <c r="I40" s="145"/>
      <c r="J40" s="145"/>
    </row>
    <row r="41" spans="1:14">
      <c r="B41" s="145" t="str">
        <f>+'1.активлар'!B37</f>
        <v>АТ "Халқ банк" Фаргона вилояти</v>
      </c>
      <c r="D41" s="145"/>
      <c r="F41" s="145"/>
      <c r="H41" s="145"/>
      <c r="I41" s="145"/>
      <c r="J41" s="145"/>
    </row>
    <row r="42" spans="1:14">
      <c r="B42" s="145" t="str">
        <f>+'1.активлар'!B38</f>
        <v>Бешариқ филиали бошқарувчиси:</v>
      </c>
      <c r="D42" s="145"/>
      <c r="F42" s="145" t="str">
        <f>+'1.активлар'!F38</f>
        <v>_____________</v>
      </c>
      <c r="H42" s="145"/>
      <c r="I42" s="145"/>
      <c r="J42" s="145"/>
    </row>
    <row r="43" spans="1:14">
      <c r="D43" s="145"/>
      <c r="F43" s="145"/>
      <c r="H43" s="145"/>
      <c r="I43" s="145"/>
      <c r="J43" s="145"/>
    </row>
    <row r="44" spans="1:14">
      <c r="B44" s="145" t="str">
        <f>+'1.активлар'!B40</f>
        <v>Бош бухгалтери:</v>
      </c>
      <c r="D44" s="145"/>
      <c r="F44" s="145" t="str">
        <f>+'1.активлар'!F40</f>
        <v>_____________</v>
      </c>
      <c r="H44" s="145"/>
      <c r="I44" s="145"/>
      <c r="J44" s="145"/>
    </row>
    <row r="45" spans="1:14">
      <c r="D45" s="145"/>
      <c r="F45" s="145"/>
      <c r="H45" s="145"/>
      <c r="I45" s="145"/>
      <c r="J45" s="145"/>
    </row>
    <row r="46" spans="1:14">
      <c r="D46" s="145"/>
      <c r="F46" s="145"/>
      <c r="H46" s="145"/>
      <c r="I46" s="145"/>
      <c r="J46" s="145"/>
    </row>
  </sheetData>
  <mergeCells count="5">
    <mergeCell ref="A35:G35"/>
    <mergeCell ref="A7:J7"/>
    <mergeCell ref="A36:G36"/>
    <mergeCell ref="B2:J2"/>
    <mergeCell ref="B3:K3"/>
  </mergeCells>
  <phoneticPr fontId="41" type="noConversion"/>
  <pageMargins left="0.74803149606299213" right="0.19685039370078741" top="0.51" bottom="0.23622047244094491" header="0.55000000000000004" footer="0.23622047244094491"/>
  <pageSetup paperSize="9" scale="83" fitToHeight="10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34"/>
    <pageSetUpPr fitToPage="1"/>
  </sheetPr>
  <dimension ref="A1:N108"/>
  <sheetViews>
    <sheetView workbookViewId="0">
      <selection activeCell="B3" sqref="B3:K3"/>
    </sheetView>
  </sheetViews>
  <sheetFormatPr defaultColWidth="21.44140625" defaultRowHeight="13.2"/>
  <cols>
    <col min="1" max="1" width="4.88671875" style="196" customWidth="1"/>
    <col min="2" max="2" width="21.88671875" style="196" customWidth="1"/>
    <col min="3" max="3" width="17" style="780" bestFit="1" customWidth="1"/>
    <col min="4" max="4" width="18" style="781" customWidth="1"/>
    <col min="5" max="5" width="18.88671875" style="196" customWidth="1"/>
    <col min="6" max="6" width="8.44140625" style="785" customWidth="1"/>
    <col min="7" max="7" width="9" style="196" customWidth="1"/>
    <col min="8" max="8" width="20.6640625" style="781" customWidth="1"/>
    <col min="9" max="9" width="20.33203125" style="781" customWidth="1"/>
    <col min="10" max="10" width="20" style="781" customWidth="1"/>
    <col min="11" max="11" width="13.44140625" style="196" customWidth="1"/>
    <col min="12" max="12" width="19.6640625" style="781" customWidth="1"/>
    <col min="13" max="13" width="20.88671875" style="786" hidden="1" customWidth="1"/>
    <col min="14" max="14" width="15.6640625" style="787" hidden="1" customWidth="1"/>
    <col min="15" max="15" width="18.88671875" style="196" customWidth="1"/>
    <col min="16" max="16" width="16.33203125" style="196" customWidth="1"/>
    <col min="17" max="16384" width="21.44140625" style="196"/>
  </cols>
  <sheetData>
    <row r="1" spans="1:12">
      <c r="F1" s="782"/>
      <c r="G1" s="783"/>
      <c r="K1" s="784"/>
      <c r="L1" s="785" t="s">
        <v>114</v>
      </c>
    </row>
    <row r="2" spans="1:12" ht="39" customHeight="1">
      <c r="B2" s="1022" t="str">
        <f>""&amp;(Шаблон!B1)&amp;"нинг "&amp;(Шаблон!B2)&amp;" вилоят "&amp;(Шаблон!B3)&amp;" филиали томонидан Халқ банк филиалларидан олинган молиявий ёрдам ва унга ҳисобланган фоизларнинг ундирилиши бўйича 2020 йил 1 январ ҳолатига"</f>
        <v>АТ "Халқ банк"нинг Фаргона вилояти вилоят Бешариқ филиали филиали томонидан Халқ банк филиалларидан олинган молиявий ёрдам ва унга ҳисобланган фоизларнинг ундирилиши бўйича 2020 йил 1 январ ҳолатига</v>
      </c>
      <c r="C2" s="1022"/>
      <c r="D2" s="1022"/>
      <c r="E2" s="1022"/>
      <c r="F2" s="1022"/>
      <c r="G2" s="1022"/>
      <c r="H2" s="1022"/>
      <c r="I2" s="1022"/>
      <c r="J2" s="1022"/>
      <c r="K2" s="788"/>
    </row>
    <row r="3" spans="1:12">
      <c r="B3" s="1023" t="s">
        <v>385</v>
      </c>
      <c r="C3" s="1023"/>
      <c r="D3" s="1023"/>
      <c r="E3" s="1023"/>
      <c r="F3" s="1023"/>
      <c r="G3" s="1023"/>
      <c r="H3" s="1023"/>
      <c r="I3" s="1023"/>
      <c r="J3" s="1023"/>
      <c r="K3" s="1023"/>
    </row>
    <row r="4" spans="1:12">
      <c r="J4" s="789" t="s">
        <v>115</v>
      </c>
      <c r="K4" s="784"/>
      <c r="L4" s="196"/>
    </row>
    <row r="5" spans="1:12" ht="26.4">
      <c r="A5" s="793" t="s">
        <v>916</v>
      </c>
      <c r="B5" s="793" t="s">
        <v>191</v>
      </c>
      <c r="C5" s="793" t="s">
        <v>917</v>
      </c>
      <c r="D5" s="793" t="s">
        <v>918</v>
      </c>
      <c r="E5" s="793" t="s">
        <v>919</v>
      </c>
      <c r="F5" s="793" t="s">
        <v>179</v>
      </c>
      <c r="G5" s="793" t="s">
        <v>920</v>
      </c>
      <c r="H5" s="793" t="s">
        <v>921</v>
      </c>
      <c r="I5" s="793" t="s">
        <v>922</v>
      </c>
      <c r="J5" s="794" t="s">
        <v>923</v>
      </c>
      <c r="K5" s="784"/>
      <c r="L5" s="785"/>
    </row>
    <row r="6" spans="1:12">
      <c r="A6" s="795" t="s">
        <v>253</v>
      </c>
      <c r="B6" s="795">
        <v>2</v>
      </c>
      <c r="C6" s="795">
        <v>3</v>
      </c>
      <c r="D6" s="795">
        <v>4</v>
      </c>
      <c r="E6" s="795">
        <v>5</v>
      </c>
      <c r="F6" s="795">
        <v>6</v>
      </c>
      <c r="G6" s="795">
        <v>7</v>
      </c>
      <c r="H6" s="795">
        <v>8</v>
      </c>
      <c r="I6" s="796">
        <v>9</v>
      </c>
      <c r="J6" s="796">
        <v>10</v>
      </c>
      <c r="K6" s="784"/>
      <c r="L6" s="785"/>
    </row>
    <row r="7" spans="1:12" s="787" customFormat="1">
      <c r="A7" s="1027" t="s">
        <v>2010</v>
      </c>
      <c r="B7" s="1027"/>
      <c r="C7" s="1027"/>
      <c r="D7" s="1027"/>
      <c r="E7" s="1027"/>
      <c r="F7" s="1027"/>
      <c r="G7" s="1027"/>
      <c r="H7" s="1027"/>
      <c r="I7" s="1027"/>
      <c r="J7" s="1027"/>
      <c r="L7" s="791"/>
    </row>
    <row r="8" spans="1:12" s="790" customFormat="1">
      <c r="A8" s="797">
        <v>1</v>
      </c>
      <c r="B8" s="663" t="s">
        <v>2701</v>
      </c>
      <c r="C8" s="647">
        <v>0</v>
      </c>
      <c r="D8" s="647">
        <v>4191220000</v>
      </c>
      <c r="E8" s="799">
        <f>+D8-C8</f>
        <v>4191220000</v>
      </c>
      <c r="F8" s="797">
        <v>8</v>
      </c>
      <c r="G8" s="800">
        <f>B9-B8</f>
        <v>3</v>
      </c>
      <c r="H8" s="801">
        <f>E8*F8%/365*G8</f>
        <v>2755870.6849315069</v>
      </c>
      <c r="I8" s="797"/>
      <c r="J8" s="797"/>
      <c r="L8" s="792"/>
    </row>
    <row r="9" spans="1:12" s="790" customFormat="1">
      <c r="A9" s="797">
        <f>+A8+1</f>
        <v>2</v>
      </c>
      <c r="B9" s="663" t="s">
        <v>2702</v>
      </c>
      <c r="C9" s="647">
        <v>0</v>
      </c>
      <c r="D9" s="647">
        <v>1500000000</v>
      </c>
      <c r="E9" s="799">
        <f>E8-C9+D9</f>
        <v>5691220000</v>
      </c>
      <c r="F9" s="797">
        <v>8</v>
      </c>
      <c r="G9" s="800">
        <f>B10-B9</f>
        <v>1</v>
      </c>
      <c r="H9" s="801">
        <f>E9*F9%/365*G9</f>
        <v>1247390.6849315069</v>
      </c>
      <c r="I9" s="797"/>
      <c r="J9" s="797"/>
      <c r="L9" s="792"/>
    </row>
    <row r="10" spans="1:12" s="790" customFormat="1">
      <c r="A10" s="797">
        <f>+A9+1</f>
        <v>3</v>
      </c>
      <c r="B10" s="663" t="s">
        <v>2703</v>
      </c>
      <c r="C10" s="647">
        <v>0</v>
      </c>
      <c r="D10" s="647">
        <v>600000000</v>
      </c>
      <c r="E10" s="799">
        <f t="shared" ref="E10:E60" si="0">E9-C10+D10</f>
        <v>6291220000</v>
      </c>
      <c r="F10" s="797">
        <v>8</v>
      </c>
      <c r="G10" s="800">
        <f t="shared" ref="G10:G73" si="1">B11-B10</f>
        <v>1</v>
      </c>
      <c r="H10" s="801">
        <f t="shared" ref="H10:H59" si="2">E10*F10%/365*G10</f>
        <v>1378897.5342465753</v>
      </c>
      <c r="I10" s="797"/>
      <c r="J10" s="797"/>
      <c r="L10" s="792"/>
    </row>
    <row r="11" spans="1:12" s="790" customFormat="1">
      <c r="A11" s="797">
        <f t="shared" ref="A11:A74" si="3">+A10+1</f>
        <v>4</v>
      </c>
      <c r="B11" s="663" t="s">
        <v>2704</v>
      </c>
      <c r="C11" s="647">
        <v>3000000000</v>
      </c>
      <c r="D11" s="647">
        <v>0</v>
      </c>
      <c r="E11" s="799">
        <f t="shared" si="0"/>
        <v>3291220000</v>
      </c>
      <c r="F11" s="797">
        <v>8</v>
      </c>
      <c r="G11" s="800">
        <f t="shared" si="1"/>
        <v>0</v>
      </c>
      <c r="H11" s="801">
        <f t="shared" si="2"/>
        <v>0</v>
      </c>
      <c r="I11" s="797"/>
      <c r="J11" s="797"/>
      <c r="L11" s="792"/>
    </row>
    <row r="12" spans="1:12" s="790" customFormat="1">
      <c r="A12" s="797">
        <f t="shared" si="3"/>
        <v>5</v>
      </c>
      <c r="B12" s="663" t="s">
        <v>2704</v>
      </c>
      <c r="C12" s="647">
        <v>500000000</v>
      </c>
      <c r="D12" s="647">
        <v>0</v>
      </c>
      <c r="E12" s="799">
        <f t="shared" si="0"/>
        <v>2791220000</v>
      </c>
      <c r="F12" s="797">
        <v>8</v>
      </c>
      <c r="G12" s="800">
        <f t="shared" si="1"/>
        <v>1</v>
      </c>
      <c r="H12" s="801">
        <f t="shared" si="2"/>
        <v>611774.24657534249</v>
      </c>
      <c r="I12" s="797"/>
      <c r="J12" s="797"/>
      <c r="L12" s="792"/>
    </row>
    <row r="13" spans="1:12" s="790" customFormat="1">
      <c r="A13" s="797">
        <f t="shared" si="3"/>
        <v>6</v>
      </c>
      <c r="B13" s="663" t="s">
        <v>2696</v>
      </c>
      <c r="C13" s="647">
        <v>1500000000</v>
      </c>
      <c r="D13" s="647">
        <v>0</v>
      </c>
      <c r="E13" s="799">
        <f t="shared" si="0"/>
        <v>1291220000</v>
      </c>
      <c r="F13" s="797">
        <v>8</v>
      </c>
      <c r="G13" s="800">
        <f t="shared" si="1"/>
        <v>4</v>
      </c>
      <c r="H13" s="801">
        <f t="shared" si="2"/>
        <v>1132028.493150685</v>
      </c>
      <c r="I13" s="797"/>
      <c r="J13" s="797"/>
      <c r="L13" s="792"/>
    </row>
    <row r="14" spans="1:12" s="790" customFormat="1">
      <c r="A14" s="797">
        <f t="shared" si="3"/>
        <v>7</v>
      </c>
      <c r="B14" s="663" t="s">
        <v>2705</v>
      </c>
      <c r="C14" s="647">
        <v>0</v>
      </c>
      <c r="D14" s="647">
        <v>500000000</v>
      </c>
      <c r="E14" s="799">
        <f t="shared" si="0"/>
        <v>1791220000</v>
      </c>
      <c r="F14" s="797">
        <v>8</v>
      </c>
      <c r="G14" s="800">
        <f t="shared" si="1"/>
        <v>1</v>
      </c>
      <c r="H14" s="801">
        <f t="shared" si="2"/>
        <v>392596.16438356164</v>
      </c>
      <c r="I14" s="797"/>
      <c r="J14" s="797"/>
      <c r="L14" s="792"/>
    </row>
    <row r="15" spans="1:12" s="790" customFormat="1">
      <c r="A15" s="797">
        <f t="shared" si="3"/>
        <v>8</v>
      </c>
      <c r="B15" s="663" t="s">
        <v>2706</v>
      </c>
      <c r="C15" s="647">
        <v>0</v>
      </c>
      <c r="D15" s="647">
        <v>100000000</v>
      </c>
      <c r="E15" s="799">
        <f t="shared" si="0"/>
        <v>1891220000</v>
      </c>
      <c r="F15" s="797">
        <v>8</v>
      </c>
      <c r="G15" s="800">
        <f t="shared" si="1"/>
        <v>1</v>
      </c>
      <c r="H15" s="801">
        <f t="shared" si="2"/>
        <v>414513.9726027397</v>
      </c>
      <c r="I15" s="797"/>
      <c r="J15" s="797"/>
      <c r="L15" s="792"/>
    </row>
    <row r="16" spans="1:12" s="790" customFormat="1">
      <c r="A16" s="797">
        <f t="shared" si="3"/>
        <v>9</v>
      </c>
      <c r="B16" s="663" t="s">
        <v>2707</v>
      </c>
      <c r="C16" s="647">
        <v>0</v>
      </c>
      <c r="D16" s="647">
        <v>400000000</v>
      </c>
      <c r="E16" s="799">
        <f t="shared" si="0"/>
        <v>2291220000</v>
      </c>
      <c r="F16" s="797">
        <v>8</v>
      </c>
      <c r="G16" s="800">
        <f t="shared" si="1"/>
        <v>1</v>
      </c>
      <c r="H16" s="801">
        <f t="shared" si="2"/>
        <v>502185.20547945204</v>
      </c>
      <c r="I16" s="797"/>
      <c r="J16" s="797"/>
      <c r="L16" s="792"/>
    </row>
    <row r="17" spans="1:12" s="790" customFormat="1">
      <c r="A17" s="797">
        <f t="shared" si="3"/>
        <v>10</v>
      </c>
      <c r="B17" s="663" t="s">
        <v>2691</v>
      </c>
      <c r="C17" s="647">
        <v>0</v>
      </c>
      <c r="D17" s="647">
        <v>300000000</v>
      </c>
      <c r="E17" s="799">
        <f t="shared" si="0"/>
        <v>2591220000</v>
      </c>
      <c r="F17" s="797">
        <v>8</v>
      </c>
      <c r="G17" s="800">
        <f t="shared" si="1"/>
        <v>1</v>
      </c>
      <c r="H17" s="801">
        <f t="shared" si="2"/>
        <v>567938.63013698626</v>
      </c>
      <c r="I17" s="797"/>
      <c r="J17" s="797"/>
      <c r="L17" s="792"/>
    </row>
    <row r="18" spans="1:12" s="790" customFormat="1">
      <c r="A18" s="797">
        <f t="shared" si="3"/>
        <v>11</v>
      </c>
      <c r="B18" s="663" t="s">
        <v>2708</v>
      </c>
      <c r="C18" s="647">
        <v>0</v>
      </c>
      <c r="D18" s="647">
        <v>900000000</v>
      </c>
      <c r="E18" s="799">
        <f t="shared" si="0"/>
        <v>3491220000</v>
      </c>
      <c r="F18" s="797">
        <v>8</v>
      </c>
      <c r="G18" s="800">
        <f t="shared" si="1"/>
        <v>2</v>
      </c>
      <c r="H18" s="801">
        <f t="shared" si="2"/>
        <v>1530397.8082191781</v>
      </c>
      <c r="I18" s="797"/>
      <c r="J18" s="797"/>
      <c r="L18" s="792"/>
    </row>
    <row r="19" spans="1:12" s="790" customFormat="1">
      <c r="A19" s="797">
        <f t="shared" si="3"/>
        <v>12</v>
      </c>
      <c r="B19" s="663" t="s">
        <v>2709</v>
      </c>
      <c r="C19" s="647">
        <v>0</v>
      </c>
      <c r="D19" s="647">
        <v>700000000</v>
      </c>
      <c r="E19" s="799">
        <f t="shared" si="0"/>
        <v>4191220000</v>
      </c>
      <c r="F19" s="797">
        <v>8</v>
      </c>
      <c r="G19" s="800">
        <f t="shared" si="1"/>
        <v>1</v>
      </c>
      <c r="H19" s="801">
        <f t="shared" si="2"/>
        <v>918623.56164383562</v>
      </c>
      <c r="I19" s="797"/>
      <c r="J19" s="797"/>
      <c r="L19" s="792"/>
    </row>
    <row r="20" spans="1:12" s="790" customFormat="1">
      <c r="A20" s="797">
        <f t="shared" si="3"/>
        <v>13</v>
      </c>
      <c r="B20" s="663" t="s">
        <v>2710</v>
      </c>
      <c r="C20" s="647">
        <v>0</v>
      </c>
      <c r="D20" s="647">
        <v>200000000</v>
      </c>
      <c r="E20" s="799">
        <f t="shared" si="0"/>
        <v>4391220000</v>
      </c>
      <c r="F20" s="797">
        <v>8</v>
      </c>
      <c r="G20" s="800">
        <f t="shared" si="1"/>
        <v>1</v>
      </c>
      <c r="H20" s="801">
        <f t="shared" si="2"/>
        <v>962459.17808219173</v>
      </c>
      <c r="I20" s="797"/>
      <c r="J20" s="797"/>
      <c r="L20" s="792"/>
    </row>
    <row r="21" spans="1:12" s="790" customFormat="1">
      <c r="A21" s="797">
        <f t="shared" si="3"/>
        <v>14</v>
      </c>
      <c r="B21" s="663" t="s">
        <v>2711</v>
      </c>
      <c r="C21" s="647">
        <v>0</v>
      </c>
      <c r="D21" s="647">
        <v>700000000</v>
      </c>
      <c r="E21" s="799">
        <f t="shared" si="0"/>
        <v>5091220000</v>
      </c>
      <c r="F21" s="797">
        <v>8</v>
      </c>
      <c r="G21" s="800">
        <f t="shared" si="1"/>
        <v>1</v>
      </c>
      <c r="H21" s="801">
        <f t="shared" si="2"/>
        <v>1115883.8356164384</v>
      </c>
      <c r="I21" s="797"/>
      <c r="J21" s="797"/>
      <c r="L21" s="792"/>
    </row>
    <row r="22" spans="1:12" s="790" customFormat="1">
      <c r="A22" s="797">
        <f t="shared" si="3"/>
        <v>15</v>
      </c>
      <c r="B22" s="663" t="s">
        <v>2712</v>
      </c>
      <c r="C22" s="647">
        <v>0</v>
      </c>
      <c r="D22" s="647">
        <v>700000000</v>
      </c>
      <c r="E22" s="799">
        <f t="shared" si="0"/>
        <v>5791220000</v>
      </c>
      <c r="F22" s="797">
        <v>8</v>
      </c>
      <c r="G22" s="800">
        <f t="shared" si="1"/>
        <v>1</v>
      </c>
      <c r="H22" s="801">
        <f t="shared" si="2"/>
        <v>1269308.493150685</v>
      </c>
      <c r="I22" s="797"/>
      <c r="J22" s="797"/>
      <c r="L22" s="792"/>
    </row>
    <row r="23" spans="1:12" s="790" customFormat="1">
      <c r="A23" s="797">
        <f t="shared" si="3"/>
        <v>16</v>
      </c>
      <c r="B23" s="663" t="s">
        <v>2713</v>
      </c>
      <c r="C23" s="647">
        <v>0</v>
      </c>
      <c r="D23" s="647">
        <v>300000000</v>
      </c>
      <c r="E23" s="799">
        <f t="shared" si="0"/>
        <v>6091220000</v>
      </c>
      <c r="F23" s="797">
        <v>8</v>
      </c>
      <c r="G23" s="800">
        <f t="shared" si="1"/>
        <v>4</v>
      </c>
      <c r="H23" s="801">
        <f t="shared" si="2"/>
        <v>5340247.6712328764</v>
      </c>
      <c r="I23" s="797"/>
      <c r="J23" s="797"/>
      <c r="L23" s="792"/>
    </row>
    <row r="24" spans="1:12" s="790" customFormat="1">
      <c r="A24" s="797">
        <f t="shared" si="3"/>
        <v>17</v>
      </c>
      <c r="B24" s="663" t="s">
        <v>2684</v>
      </c>
      <c r="C24" s="647">
        <v>0</v>
      </c>
      <c r="D24" s="647">
        <v>200000000</v>
      </c>
      <c r="E24" s="799">
        <f t="shared" si="0"/>
        <v>6291220000</v>
      </c>
      <c r="F24" s="797">
        <v>8</v>
      </c>
      <c r="G24" s="800">
        <f t="shared" si="1"/>
        <v>2</v>
      </c>
      <c r="H24" s="801">
        <f t="shared" si="2"/>
        <v>2757795.0684931506</v>
      </c>
      <c r="I24" s="797"/>
      <c r="J24" s="797"/>
      <c r="L24" s="792"/>
    </row>
    <row r="25" spans="1:12" s="790" customFormat="1">
      <c r="A25" s="797">
        <f t="shared" si="3"/>
        <v>18</v>
      </c>
      <c r="B25" s="663" t="s">
        <v>2714</v>
      </c>
      <c r="C25" s="647">
        <v>300000000</v>
      </c>
      <c r="D25" s="647">
        <v>0</v>
      </c>
      <c r="E25" s="799">
        <f t="shared" si="0"/>
        <v>5991220000</v>
      </c>
      <c r="F25" s="797">
        <v>8</v>
      </c>
      <c r="G25" s="800">
        <f t="shared" si="1"/>
        <v>0</v>
      </c>
      <c r="H25" s="801">
        <f t="shared" si="2"/>
        <v>0</v>
      </c>
      <c r="I25" s="797"/>
      <c r="J25" s="797"/>
      <c r="L25" s="792"/>
    </row>
    <row r="26" spans="1:12" s="790" customFormat="1">
      <c r="A26" s="797">
        <f t="shared" si="3"/>
        <v>19</v>
      </c>
      <c r="B26" s="663" t="s">
        <v>2714</v>
      </c>
      <c r="C26" s="647">
        <v>2700000</v>
      </c>
      <c r="D26" s="647">
        <v>0</v>
      </c>
      <c r="E26" s="799">
        <f t="shared" si="0"/>
        <v>5988520000</v>
      </c>
      <c r="F26" s="797">
        <v>8</v>
      </c>
      <c r="G26" s="800">
        <f t="shared" si="1"/>
        <v>0</v>
      </c>
      <c r="H26" s="801">
        <f t="shared" si="2"/>
        <v>0</v>
      </c>
      <c r="I26" s="797"/>
      <c r="J26" s="797"/>
      <c r="L26" s="792"/>
    </row>
    <row r="27" spans="1:12" s="790" customFormat="1">
      <c r="A27" s="797">
        <f t="shared" si="3"/>
        <v>20</v>
      </c>
      <c r="B27" s="663" t="s">
        <v>2714</v>
      </c>
      <c r="C27" s="647">
        <v>0</v>
      </c>
      <c r="D27" s="647">
        <v>200000000</v>
      </c>
      <c r="E27" s="799">
        <f t="shared" si="0"/>
        <v>6188520000</v>
      </c>
      <c r="F27" s="797">
        <v>8</v>
      </c>
      <c r="G27" s="800">
        <f t="shared" si="1"/>
        <v>1</v>
      </c>
      <c r="H27" s="801">
        <f t="shared" si="2"/>
        <v>1356387.9452054794</v>
      </c>
      <c r="I27" s="797"/>
      <c r="J27" s="797"/>
      <c r="L27" s="792"/>
    </row>
    <row r="28" spans="1:12" s="790" customFormat="1">
      <c r="A28" s="797">
        <f t="shared" si="3"/>
        <v>21</v>
      </c>
      <c r="B28" s="663" t="s">
        <v>2715</v>
      </c>
      <c r="C28" s="647">
        <v>0</v>
      </c>
      <c r="D28" s="647">
        <v>200000000</v>
      </c>
      <c r="E28" s="799">
        <f t="shared" si="0"/>
        <v>6388520000</v>
      </c>
      <c r="F28" s="797">
        <v>8</v>
      </c>
      <c r="G28" s="800">
        <f t="shared" si="1"/>
        <v>7</v>
      </c>
      <c r="H28" s="801">
        <f t="shared" si="2"/>
        <v>9801564.9315068498</v>
      </c>
      <c r="I28" s="797"/>
      <c r="J28" s="797"/>
      <c r="L28" s="792"/>
    </row>
    <row r="29" spans="1:12" s="790" customFormat="1">
      <c r="A29" s="797">
        <f t="shared" si="3"/>
        <v>22</v>
      </c>
      <c r="B29" s="663" t="s">
        <v>2716</v>
      </c>
      <c r="C29" s="647">
        <v>3000000000</v>
      </c>
      <c r="D29" s="647">
        <v>0</v>
      </c>
      <c r="E29" s="799">
        <f t="shared" si="0"/>
        <v>3388520000</v>
      </c>
      <c r="F29" s="797">
        <v>8</v>
      </c>
      <c r="G29" s="800">
        <f t="shared" si="1"/>
        <v>1</v>
      </c>
      <c r="H29" s="801">
        <f t="shared" si="2"/>
        <v>742689.31506849313</v>
      </c>
      <c r="I29" s="797"/>
      <c r="J29" s="797"/>
      <c r="L29" s="792"/>
    </row>
    <row r="30" spans="1:12" s="790" customFormat="1">
      <c r="A30" s="797">
        <f t="shared" si="3"/>
        <v>23</v>
      </c>
      <c r="B30" s="663" t="s">
        <v>2717</v>
      </c>
      <c r="C30" s="647">
        <v>500000000</v>
      </c>
      <c r="D30" s="647">
        <v>0</v>
      </c>
      <c r="E30" s="799">
        <f t="shared" si="0"/>
        <v>2888520000</v>
      </c>
      <c r="F30" s="797">
        <v>8</v>
      </c>
      <c r="G30" s="800">
        <f t="shared" si="1"/>
        <v>0</v>
      </c>
      <c r="H30" s="801">
        <f t="shared" si="2"/>
        <v>0</v>
      </c>
      <c r="I30" s="797"/>
      <c r="J30" s="797"/>
      <c r="L30" s="792"/>
    </row>
    <row r="31" spans="1:12" s="790" customFormat="1">
      <c r="A31" s="797">
        <f t="shared" si="3"/>
        <v>24</v>
      </c>
      <c r="B31" s="663" t="s">
        <v>2717</v>
      </c>
      <c r="C31" s="647">
        <v>0</v>
      </c>
      <c r="D31" s="647">
        <v>800000000</v>
      </c>
      <c r="E31" s="799">
        <f t="shared" si="0"/>
        <v>3688520000</v>
      </c>
      <c r="F31" s="797">
        <v>8</v>
      </c>
      <c r="G31" s="800">
        <f t="shared" si="1"/>
        <v>1</v>
      </c>
      <c r="H31" s="801">
        <f t="shared" si="2"/>
        <v>808442.73972602736</v>
      </c>
      <c r="I31" s="797"/>
      <c r="J31" s="797"/>
      <c r="L31" s="792"/>
    </row>
    <row r="32" spans="1:12" s="790" customFormat="1">
      <c r="A32" s="797">
        <f t="shared" si="3"/>
        <v>25</v>
      </c>
      <c r="B32" s="663" t="s">
        <v>2718</v>
      </c>
      <c r="C32" s="647">
        <v>0</v>
      </c>
      <c r="D32" s="647">
        <v>200000000</v>
      </c>
      <c r="E32" s="799">
        <f t="shared" si="0"/>
        <v>3888520000</v>
      </c>
      <c r="F32" s="797">
        <v>8</v>
      </c>
      <c r="G32" s="800">
        <f t="shared" si="1"/>
        <v>2</v>
      </c>
      <c r="H32" s="801">
        <f t="shared" si="2"/>
        <v>1704556.7123287672</v>
      </c>
      <c r="I32" s="797"/>
      <c r="J32" s="797"/>
      <c r="L32" s="792"/>
    </row>
    <row r="33" spans="1:12" s="790" customFormat="1">
      <c r="A33" s="797">
        <f t="shared" si="3"/>
        <v>26</v>
      </c>
      <c r="B33" s="663" t="s">
        <v>2719</v>
      </c>
      <c r="C33" s="647">
        <v>0</v>
      </c>
      <c r="D33" s="647">
        <v>200000000</v>
      </c>
      <c r="E33" s="799">
        <f t="shared" si="0"/>
        <v>4088520000</v>
      </c>
      <c r="F33" s="797">
        <v>8</v>
      </c>
      <c r="G33" s="800">
        <f t="shared" si="1"/>
        <v>1</v>
      </c>
      <c r="H33" s="801">
        <f t="shared" si="2"/>
        <v>896113.9726027397</v>
      </c>
      <c r="I33" s="797"/>
      <c r="J33" s="797"/>
      <c r="L33" s="792"/>
    </row>
    <row r="34" spans="1:12" s="790" customFormat="1">
      <c r="A34" s="797">
        <f t="shared" si="3"/>
        <v>27</v>
      </c>
      <c r="B34" s="663" t="s">
        <v>2690</v>
      </c>
      <c r="C34" s="647">
        <v>0</v>
      </c>
      <c r="D34" s="647">
        <v>1200000000</v>
      </c>
      <c r="E34" s="799">
        <f t="shared" si="0"/>
        <v>5288520000</v>
      </c>
      <c r="F34" s="797">
        <v>8</v>
      </c>
      <c r="G34" s="800">
        <f t="shared" si="1"/>
        <v>1</v>
      </c>
      <c r="H34" s="801">
        <f t="shared" si="2"/>
        <v>1159127.6712328766</v>
      </c>
      <c r="I34" s="797"/>
      <c r="J34" s="797"/>
      <c r="L34" s="792"/>
    </row>
    <row r="35" spans="1:12" s="790" customFormat="1">
      <c r="A35" s="797">
        <f t="shared" si="3"/>
        <v>28</v>
      </c>
      <c r="B35" s="663" t="s">
        <v>2720</v>
      </c>
      <c r="C35" s="647">
        <v>0</v>
      </c>
      <c r="D35" s="647">
        <v>400000000</v>
      </c>
      <c r="E35" s="799">
        <f t="shared" si="0"/>
        <v>5688520000</v>
      </c>
      <c r="F35" s="797">
        <v>8</v>
      </c>
      <c r="G35" s="800">
        <f t="shared" si="1"/>
        <v>0</v>
      </c>
      <c r="H35" s="801">
        <f t="shared" si="2"/>
        <v>0</v>
      </c>
      <c r="I35" s="797"/>
      <c r="J35" s="797"/>
      <c r="L35" s="792"/>
    </row>
    <row r="36" spans="1:12" s="790" customFormat="1">
      <c r="A36" s="797">
        <f t="shared" si="3"/>
        <v>29</v>
      </c>
      <c r="B36" s="663" t="s">
        <v>2720</v>
      </c>
      <c r="C36" s="647">
        <v>900000000</v>
      </c>
      <c r="D36" s="647">
        <v>0</v>
      </c>
      <c r="E36" s="799">
        <f t="shared" si="0"/>
        <v>4788520000</v>
      </c>
      <c r="F36" s="797">
        <v>8</v>
      </c>
      <c r="G36" s="800">
        <f t="shared" si="1"/>
        <v>1</v>
      </c>
      <c r="H36" s="801">
        <f t="shared" si="2"/>
        <v>1049538.6301369863</v>
      </c>
      <c r="I36" s="797"/>
      <c r="J36" s="797"/>
      <c r="L36" s="792"/>
    </row>
    <row r="37" spans="1:12" s="790" customFormat="1">
      <c r="A37" s="797">
        <f t="shared" si="3"/>
        <v>30</v>
      </c>
      <c r="B37" s="663" t="s">
        <v>2721</v>
      </c>
      <c r="C37" s="647">
        <v>0</v>
      </c>
      <c r="D37" s="647">
        <v>400000000</v>
      </c>
      <c r="E37" s="799">
        <f t="shared" si="0"/>
        <v>5188520000</v>
      </c>
      <c r="F37" s="797">
        <v>8</v>
      </c>
      <c r="G37" s="800">
        <f t="shared" si="1"/>
        <v>0</v>
      </c>
      <c r="H37" s="801">
        <f t="shared" si="2"/>
        <v>0</v>
      </c>
      <c r="I37" s="797"/>
      <c r="J37" s="797"/>
      <c r="L37" s="792"/>
    </row>
    <row r="38" spans="1:12" s="790" customFormat="1">
      <c r="A38" s="797">
        <f t="shared" si="3"/>
        <v>31</v>
      </c>
      <c r="B38" s="663" t="s">
        <v>2721</v>
      </c>
      <c r="C38" s="647">
        <v>0</v>
      </c>
      <c r="D38" s="647">
        <v>200000000</v>
      </c>
      <c r="E38" s="799">
        <f t="shared" si="0"/>
        <v>5388520000</v>
      </c>
      <c r="F38" s="797">
        <v>8</v>
      </c>
      <c r="G38" s="800">
        <f t="shared" si="1"/>
        <v>1</v>
      </c>
      <c r="H38" s="801">
        <f t="shared" si="2"/>
        <v>1181045.4794520547</v>
      </c>
      <c r="I38" s="797"/>
      <c r="J38" s="797"/>
      <c r="L38" s="792"/>
    </row>
    <row r="39" spans="1:12" s="790" customFormat="1">
      <c r="A39" s="797">
        <f t="shared" si="3"/>
        <v>32</v>
      </c>
      <c r="B39" s="663" t="s">
        <v>2722</v>
      </c>
      <c r="C39" s="647">
        <v>0</v>
      </c>
      <c r="D39" s="647">
        <v>700000000</v>
      </c>
      <c r="E39" s="799">
        <f t="shared" si="0"/>
        <v>6088520000</v>
      </c>
      <c r="F39" s="797">
        <v>8</v>
      </c>
      <c r="G39" s="800">
        <f t="shared" si="1"/>
        <v>0</v>
      </c>
      <c r="H39" s="801">
        <f t="shared" si="2"/>
        <v>0</v>
      </c>
      <c r="I39" s="797"/>
      <c r="J39" s="797"/>
      <c r="L39" s="792"/>
    </row>
    <row r="40" spans="1:12" s="790" customFormat="1">
      <c r="A40" s="797">
        <f t="shared" si="3"/>
        <v>33</v>
      </c>
      <c r="B40" s="663" t="s">
        <v>2722</v>
      </c>
      <c r="C40" s="647">
        <v>3000000000</v>
      </c>
      <c r="D40" s="647">
        <v>0</v>
      </c>
      <c r="E40" s="799">
        <f t="shared" si="0"/>
        <v>3088520000</v>
      </c>
      <c r="F40" s="797">
        <v>8</v>
      </c>
      <c r="G40" s="800">
        <f t="shared" si="1"/>
        <v>0</v>
      </c>
      <c r="H40" s="801">
        <f t="shared" si="2"/>
        <v>0</v>
      </c>
      <c r="I40" s="797"/>
      <c r="J40" s="797"/>
      <c r="L40" s="792"/>
    </row>
    <row r="41" spans="1:12" s="790" customFormat="1">
      <c r="A41" s="797">
        <f t="shared" si="3"/>
        <v>34</v>
      </c>
      <c r="B41" s="663" t="s">
        <v>2722</v>
      </c>
      <c r="C41" s="647">
        <v>700000000</v>
      </c>
      <c r="D41" s="647">
        <v>0</v>
      </c>
      <c r="E41" s="799">
        <f t="shared" si="0"/>
        <v>2388520000</v>
      </c>
      <c r="F41" s="797">
        <v>8</v>
      </c>
      <c r="G41" s="800">
        <f t="shared" si="1"/>
        <v>3</v>
      </c>
      <c r="H41" s="801">
        <f t="shared" si="2"/>
        <v>1570533.6986301369</v>
      </c>
      <c r="I41" s="797"/>
      <c r="J41" s="797"/>
      <c r="L41" s="792"/>
    </row>
    <row r="42" spans="1:12" s="790" customFormat="1">
      <c r="A42" s="797">
        <f t="shared" si="3"/>
        <v>35</v>
      </c>
      <c r="B42" s="663" t="s">
        <v>2723</v>
      </c>
      <c r="C42" s="647">
        <v>0</v>
      </c>
      <c r="D42" s="647">
        <v>500000000</v>
      </c>
      <c r="E42" s="799">
        <f t="shared" si="0"/>
        <v>2888520000</v>
      </c>
      <c r="F42" s="797">
        <v>8</v>
      </c>
      <c r="G42" s="800">
        <f t="shared" si="1"/>
        <v>2</v>
      </c>
      <c r="H42" s="801">
        <f t="shared" si="2"/>
        <v>1266200.5479452056</v>
      </c>
      <c r="I42" s="797"/>
      <c r="J42" s="797"/>
      <c r="L42" s="792"/>
    </row>
    <row r="43" spans="1:12" s="790" customFormat="1">
      <c r="A43" s="797">
        <f t="shared" si="3"/>
        <v>36</v>
      </c>
      <c r="B43" s="663" t="s">
        <v>2724</v>
      </c>
      <c r="C43" s="647">
        <v>0</v>
      </c>
      <c r="D43" s="647">
        <v>900000000</v>
      </c>
      <c r="E43" s="799">
        <f t="shared" si="0"/>
        <v>3788520000</v>
      </c>
      <c r="F43" s="797">
        <v>8</v>
      </c>
      <c r="G43" s="800">
        <f t="shared" si="1"/>
        <v>0</v>
      </c>
      <c r="H43" s="801">
        <f t="shared" si="2"/>
        <v>0</v>
      </c>
      <c r="I43" s="797"/>
      <c r="J43" s="797"/>
      <c r="L43" s="792"/>
    </row>
    <row r="44" spans="1:12" s="790" customFormat="1">
      <c r="A44" s="797">
        <f t="shared" si="3"/>
        <v>37</v>
      </c>
      <c r="B44" s="663" t="s">
        <v>2724</v>
      </c>
      <c r="C44" s="647">
        <v>0</v>
      </c>
      <c r="D44" s="647">
        <v>400000000</v>
      </c>
      <c r="E44" s="799">
        <f t="shared" si="0"/>
        <v>4188520000</v>
      </c>
      <c r="F44" s="797">
        <v>8</v>
      </c>
      <c r="G44" s="800">
        <f t="shared" si="1"/>
        <v>1</v>
      </c>
      <c r="H44" s="801">
        <f t="shared" si="2"/>
        <v>918031.78082191781</v>
      </c>
      <c r="I44" s="797"/>
      <c r="J44" s="797"/>
      <c r="L44" s="792"/>
    </row>
    <row r="45" spans="1:12" s="790" customFormat="1">
      <c r="A45" s="797">
        <f t="shared" si="3"/>
        <v>38</v>
      </c>
      <c r="B45" s="663" t="s">
        <v>2725</v>
      </c>
      <c r="C45" s="647">
        <v>0</v>
      </c>
      <c r="D45" s="647">
        <v>400000000</v>
      </c>
      <c r="E45" s="799">
        <f t="shared" si="0"/>
        <v>4588520000</v>
      </c>
      <c r="F45" s="797">
        <v>8</v>
      </c>
      <c r="G45" s="800">
        <f t="shared" si="1"/>
        <v>1</v>
      </c>
      <c r="H45" s="801">
        <f t="shared" si="2"/>
        <v>1005703.0136986302</v>
      </c>
      <c r="I45" s="797"/>
      <c r="J45" s="797"/>
      <c r="L45" s="792"/>
    </row>
    <row r="46" spans="1:12" s="790" customFormat="1">
      <c r="A46" s="797">
        <f t="shared" si="3"/>
        <v>39</v>
      </c>
      <c r="B46" s="663" t="s">
        <v>2726</v>
      </c>
      <c r="C46" s="647">
        <v>0</v>
      </c>
      <c r="D46" s="647">
        <v>300000000</v>
      </c>
      <c r="E46" s="799">
        <f t="shared" si="0"/>
        <v>4888520000</v>
      </c>
      <c r="F46" s="797">
        <v>8</v>
      </c>
      <c r="G46" s="800">
        <f t="shared" si="1"/>
        <v>3</v>
      </c>
      <c r="H46" s="801">
        <f t="shared" si="2"/>
        <v>3214369.3150684931</v>
      </c>
      <c r="I46" s="797"/>
      <c r="J46" s="797"/>
      <c r="L46" s="792"/>
    </row>
    <row r="47" spans="1:12" s="790" customFormat="1">
      <c r="A47" s="797">
        <f t="shared" si="3"/>
        <v>40</v>
      </c>
      <c r="B47" s="663" t="s">
        <v>2686</v>
      </c>
      <c r="C47" s="647">
        <v>0</v>
      </c>
      <c r="D47" s="647">
        <v>900000000</v>
      </c>
      <c r="E47" s="799">
        <f t="shared" si="0"/>
        <v>5788520000</v>
      </c>
      <c r="F47" s="797">
        <v>8</v>
      </c>
      <c r="G47" s="800">
        <f t="shared" si="1"/>
        <v>1</v>
      </c>
      <c r="H47" s="801">
        <f t="shared" si="2"/>
        <v>1268716.7123287672</v>
      </c>
      <c r="I47" s="797"/>
      <c r="J47" s="797"/>
      <c r="L47" s="792"/>
    </row>
    <row r="48" spans="1:12" s="790" customFormat="1">
      <c r="A48" s="797">
        <f t="shared" si="3"/>
        <v>41</v>
      </c>
      <c r="B48" s="663" t="s">
        <v>2727</v>
      </c>
      <c r="C48" s="647">
        <v>0</v>
      </c>
      <c r="D48" s="647">
        <v>200000000</v>
      </c>
      <c r="E48" s="799">
        <f t="shared" si="0"/>
        <v>5988520000</v>
      </c>
      <c r="F48" s="797">
        <v>8</v>
      </c>
      <c r="G48" s="800">
        <f t="shared" si="1"/>
        <v>0</v>
      </c>
      <c r="H48" s="801">
        <f t="shared" si="2"/>
        <v>0</v>
      </c>
      <c r="I48" s="797"/>
      <c r="J48" s="797"/>
      <c r="L48" s="792"/>
    </row>
    <row r="49" spans="1:12" s="790" customFormat="1">
      <c r="A49" s="797">
        <f t="shared" si="3"/>
        <v>42</v>
      </c>
      <c r="B49" s="663" t="s">
        <v>2727</v>
      </c>
      <c r="C49" s="647">
        <v>200000000</v>
      </c>
      <c r="D49" s="647">
        <v>0</v>
      </c>
      <c r="E49" s="799">
        <f t="shared" si="0"/>
        <v>5788520000</v>
      </c>
      <c r="F49" s="797">
        <v>8</v>
      </c>
      <c r="G49" s="800">
        <f t="shared" si="1"/>
        <v>1</v>
      </c>
      <c r="H49" s="801">
        <f t="shared" si="2"/>
        <v>1268716.7123287672</v>
      </c>
      <c r="I49" s="797"/>
      <c r="J49" s="797"/>
      <c r="L49" s="792"/>
    </row>
    <row r="50" spans="1:12" s="790" customFormat="1">
      <c r="A50" s="797">
        <f t="shared" si="3"/>
        <v>43</v>
      </c>
      <c r="B50" s="663" t="s">
        <v>2728</v>
      </c>
      <c r="C50" s="647">
        <v>0</v>
      </c>
      <c r="D50" s="647">
        <v>200000000</v>
      </c>
      <c r="E50" s="799">
        <f t="shared" si="0"/>
        <v>5988520000</v>
      </c>
      <c r="F50" s="797">
        <v>8</v>
      </c>
      <c r="G50" s="800">
        <f t="shared" si="1"/>
        <v>1</v>
      </c>
      <c r="H50" s="801">
        <f t="shared" si="2"/>
        <v>1312552.3287671234</v>
      </c>
      <c r="I50" s="797"/>
      <c r="J50" s="797"/>
      <c r="L50" s="792"/>
    </row>
    <row r="51" spans="1:12" s="790" customFormat="1">
      <c r="A51" s="797">
        <f t="shared" si="3"/>
        <v>44</v>
      </c>
      <c r="B51" s="663" t="s">
        <v>2682</v>
      </c>
      <c r="C51" s="647">
        <v>400000000</v>
      </c>
      <c r="D51" s="647">
        <v>0</v>
      </c>
      <c r="E51" s="799">
        <f t="shared" si="0"/>
        <v>5588520000</v>
      </c>
      <c r="F51" s="797">
        <v>8</v>
      </c>
      <c r="G51" s="800">
        <f t="shared" si="1"/>
        <v>0</v>
      </c>
      <c r="H51" s="801">
        <f t="shared" si="2"/>
        <v>0</v>
      </c>
      <c r="I51" s="797"/>
      <c r="J51" s="797"/>
      <c r="L51" s="792"/>
    </row>
    <row r="52" spans="1:12" s="790" customFormat="1">
      <c r="A52" s="797">
        <f t="shared" si="3"/>
        <v>45</v>
      </c>
      <c r="B52" s="663" t="s">
        <v>2682</v>
      </c>
      <c r="C52" s="647">
        <v>0</v>
      </c>
      <c r="D52" s="647">
        <v>200000000</v>
      </c>
      <c r="E52" s="799">
        <f t="shared" si="0"/>
        <v>5788520000</v>
      </c>
      <c r="F52" s="797">
        <v>8</v>
      </c>
      <c r="G52" s="800">
        <f t="shared" si="1"/>
        <v>2</v>
      </c>
      <c r="H52" s="801">
        <f t="shared" si="2"/>
        <v>2537433.4246575343</v>
      </c>
      <c r="I52" s="797"/>
      <c r="J52" s="797"/>
      <c r="L52" s="792"/>
    </row>
    <row r="53" spans="1:12" s="790" customFormat="1">
      <c r="A53" s="797">
        <f t="shared" si="3"/>
        <v>46</v>
      </c>
      <c r="B53" s="663" t="s">
        <v>2729</v>
      </c>
      <c r="C53" s="647">
        <v>0</v>
      </c>
      <c r="D53" s="647">
        <v>100000000</v>
      </c>
      <c r="E53" s="799">
        <f t="shared" si="0"/>
        <v>5888520000</v>
      </c>
      <c r="F53" s="797">
        <v>8</v>
      </c>
      <c r="G53" s="800">
        <f t="shared" si="1"/>
        <v>3</v>
      </c>
      <c r="H53" s="801">
        <f t="shared" si="2"/>
        <v>3871903.5616438361</v>
      </c>
      <c r="I53" s="797"/>
      <c r="J53" s="797"/>
      <c r="L53" s="792"/>
    </row>
    <row r="54" spans="1:12" s="790" customFormat="1">
      <c r="A54" s="797">
        <f t="shared" si="3"/>
        <v>47</v>
      </c>
      <c r="B54" s="663" t="s">
        <v>2730</v>
      </c>
      <c r="C54" s="647">
        <v>0</v>
      </c>
      <c r="D54" s="647">
        <v>500000000</v>
      </c>
      <c r="E54" s="799">
        <f t="shared" si="0"/>
        <v>6388520000</v>
      </c>
      <c r="F54" s="797">
        <v>8</v>
      </c>
      <c r="G54" s="800">
        <f t="shared" si="1"/>
        <v>3</v>
      </c>
      <c r="H54" s="801">
        <f t="shared" si="2"/>
        <v>4200670.6849315073</v>
      </c>
      <c r="I54" s="797"/>
      <c r="J54" s="797"/>
      <c r="L54" s="792"/>
    </row>
    <row r="55" spans="1:12" s="790" customFormat="1">
      <c r="A55" s="797">
        <f t="shared" si="3"/>
        <v>48</v>
      </c>
      <c r="B55" s="663" t="s">
        <v>2731</v>
      </c>
      <c r="C55" s="647">
        <v>1500000000</v>
      </c>
      <c r="D55" s="647">
        <v>0</v>
      </c>
      <c r="E55" s="799">
        <f t="shared" si="0"/>
        <v>4888520000</v>
      </c>
      <c r="F55" s="797">
        <v>8</v>
      </c>
      <c r="G55" s="800">
        <f t="shared" si="1"/>
        <v>3</v>
      </c>
      <c r="H55" s="801">
        <f t="shared" si="2"/>
        <v>3214369.3150684931</v>
      </c>
      <c r="I55" s="797"/>
      <c r="J55" s="797"/>
      <c r="L55" s="792"/>
    </row>
    <row r="56" spans="1:12" s="790" customFormat="1">
      <c r="A56" s="797">
        <f t="shared" si="3"/>
        <v>49</v>
      </c>
      <c r="B56" s="663" t="s">
        <v>2698</v>
      </c>
      <c r="C56" s="647">
        <v>0</v>
      </c>
      <c r="D56" s="647">
        <v>1200000000</v>
      </c>
      <c r="E56" s="799">
        <f t="shared" si="0"/>
        <v>6088520000</v>
      </c>
      <c r="F56" s="797">
        <v>8</v>
      </c>
      <c r="G56" s="800">
        <f t="shared" si="1"/>
        <v>1</v>
      </c>
      <c r="H56" s="801">
        <f t="shared" si="2"/>
        <v>1334470.1369863013</v>
      </c>
      <c r="I56" s="797"/>
      <c r="J56" s="797"/>
      <c r="L56" s="792"/>
    </row>
    <row r="57" spans="1:12" s="790" customFormat="1">
      <c r="A57" s="797">
        <f t="shared" si="3"/>
        <v>50</v>
      </c>
      <c r="B57" s="663" t="s">
        <v>2732</v>
      </c>
      <c r="C57" s="647">
        <v>0</v>
      </c>
      <c r="D57" s="647">
        <v>300000000</v>
      </c>
      <c r="E57" s="799">
        <f t="shared" si="0"/>
        <v>6388520000</v>
      </c>
      <c r="F57" s="797">
        <v>8</v>
      </c>
      <c r="G57" s="800">
        <f t="shared" si="1"/>
        <v>0</v>
      </c>
      <c r="H57" s="801">
        <f t="shared" si="2"/>
        <v>0</v>
      </c>
      <c r="I57" s="797"/>
      <c r="J57" s="797"/>
      <c r="L57" s="792"/>
    </row>
    <row r="58" spans="1:12" s="790" customFormat="1">
      <c r="A58" s="797">
        <f t="shared" si="3"/>
        <v>51</v>
      </c>
      <c r="B58" s="663" t="s">
        <v>2732</v>
      </c>
      <c r="C58" s="647">
        <v>2000000000</v>
      </c>
      <c r="D58" s="647">
        <v>0</v>
      </c>
      <c r="E58" s="799">
        <f t="shared" si="0"/>
        <v>4388520000</v>
      </c>
      <c r="F58" s="797">
        <v>8</v>
      </c>
      <c r="G58" s="800">
        <f t="shared" si="1"/>
        <v>1</v>
      </c>
      <c r="H58" s="801">
        <f t="shared" si="2"/>
        <v>961867.39726027392</v>
      </c>
      <c r="I58" s="797"/>
      <c r="J58" s="797"/>
      <c r="L58" s="792"/>
    </row>
    <row r="59" spans="1:12" s="790" customFormat="1">
      <c r="A59" s="797">
        <f t="shared" si="3"/>
        <v>52</v>
      </c>
      <c r="B59" s="663" t="s">
        <v>2733</v>
      </c>
      <c r="C59" s="647">
        <v>0</v>
      </c>
      <c r="D59" s="647">
        <v>1000000000</v>
      </c>
      <c r="E59" s="799">
        <f t="shared" si="0"/>
        <v>5388520000</v>
      </c>
      <c r="F59" s="797">
        <v>8</v>
      </c>
      <c r="G59" s="800">
        <f t="shared" si="1"/>
        <v>1</v>
      </c>
      <c r="H59" s="801">
        <f t="shared" si="2"/>
        <v>1181045.4794520547</v>
      </c>
      <c r="I59" s="797"/>
      <c r="J59" s="797"/>
      <c r="L59" s="792"/>
    </row>
    <row r="60" spans="1:12" s="790" customFormat="1">
      <c r="A60" s="797">
        <f t="shared" si="3"/>
        <v>53</v>
      </c>
      <c r="B60" s="663" t="s">
        <v>2734</v>
      </c>
      <c r="C60" s="647">
        <v>2000000000</v>
      </c>
      <c r="D60" s="647">
        <v>0</v>
      </c>
      <c r="E60" s="799">
        <f t="shared" si="0"/>
        <v>3388520000</v>
      </c>
      <c r="F60" s="797">
        <v>8</v>
      </c>
      <c r="G60" s="800">
        <f t="shared" si="1"/>
        <v>0</v>
      </c>
      <c r="H60" s="801">
        <f>E60*F60%/365*G60</f>
        <v>0</v>
      </c>
      <c r="I60" s="797"/>
      <c r="J60" s="797"/>
      <c r="L60" s="792"/>
    </row>
    <row r="61" spans="1:12" s="790" customFormat="1">
      <c r="A61" s="797">
        <f t="shared" si="3"/>
        <v>54</v>
      </c>
      <c r="B61" s="663" t="s">
        <v>2734</v>
      </c>
      <c r="C61" s="647">
        <v>0</v>
      </c>
      <c r="D61" s="647">
        <v>200000000</v>
      </c>
      <c r="E61" s="799">
        <f t="shared" ref="E61:E97" si="4">E60-C61+D61</f>
        <v>3588520000</v>
      </c>
      <c r="F61" s="797">
        <v>8</v>
      </c>
      <c r="G61" s="800">
        <f t="shared" si="1"/>
        <v>1</v>
      </c>
      <c r="H61" s="801">
        <f t="shared" ref="H61:H97" si="5">E61*F61%/365*G61</f>
        <v>786524.93150684936</v>
      </c>
      <c r="I61" s="797"/>
      <c r="J61" s="797"/>
      <c r="L61" s="792"/>
    </row>
    <row r="62" spans="1:12" s="790" customFormat="1">
      <c r="A62" s="797">
        <f t="shared" si="3"/>
        <v>55</v>
      </c>
      <c r="B62" s="663" t="s">
        <v>2735</v>
      </c>
      <c r="C62" s="647">
        <v>0</v>
      </c>
      <c r="D62" s="647">
        <v>200000000</v>
      </c>
      <c r="E62" s="799">
        <f t="shared" si="4"/>
        <v>3788520000</v>
      </c>
      <c r="F62" s="797">
        <v>8</v>
      </c>
      <c r="G62" s="800">
        <f t="shared" si="1"/>
        <v>3</v>
      </c>
      <c r="H62" s="801">
        <f t="shared" si="5"/>
        <v>2491081.6438356163</v>
      </c>
      <c r="I62" s="797"/>
      <c r="J62" s="797"/>
      <c r="L62" s="792"/>
    </row>
    <row r="63" spans="1:12" s="790" customFormat="1">
      <c r="A63" s="797">
        <f t="shared" si="3"/>
        <v>56</v>
      </c>
      <c r="B63" s="663" t="s">
        <v>2736</v>
      </c>
      <c r="C63" s="647">
        <v>0</v>
      </c>
      <c r="D63" s="647">
        <v>900000000</v>
      </c>
      <c r="E63" s="799">
        <f t="shared" si="4"/>
        <v>4688520000</v>
      </c>
      <c r="F63" s="797">
        <v>8</v>
      </c>
      <c r="G63" s="800">
        <f t="shared" si="1"/>
        <v>0</v>
      </c>
      <c r="H63" s="801">
        <f t="shared" si="5"/>
        <v>0</v>
      </c>
      <c r="I63" s="797"/>
      <c r="J63" s="797"/>
      <c r="L63" s="792"/>
    </row>
    <row r="64" spans="1:12" s="790" customFormat="1">
      <c r="A64" s="797">
        <f t="shared" si="3"/>
        <v>57</v>
      </c>
      <c r="B64" s="663" t="s">
        <v>2736</v>
      </c>
      <c r="C64" s="647">
        <v>1200000000</v>
      </c>
      <c r="D64" s="647">
        <v>0</v>
      </c>
      <c r="E64" s="799">
        <f t="shared" si="4"/>
        <v>3488520000</v>
      </c>
      <c r="F64" s="797">
        <v>8</v>
      </c>
      <c r="G64" s="800">
        <f t="shared" si="1"/>
        <v>1</v>
      </c>
      <c r="H64" s="801">
        <f t="shared" si="5"/>
        <v>764607.12328767125</v>
      </c>
      <c r="I64" s="797"/>
      <c r="J64" s="797"/>
      <c r="L64" s="792"/>
    </row>
    <row r="65" spans="1:12" s="790" customFormat="1">
      <c r="A65" s="797">
        <f t="shared" si="3"/>
        <v>58</v>
      </c>
      <c r="B65" s="663" t="s">
        <v>2737</v>
      </c>
      <c r="C65" s="647">
        <v>0</v>
      </c>
      <c r="D65" s="647">
        <v>600000000</v>
      </c>
      <c r="E65" s="799">
        <f t="shared" si="4"/>
        <v>4088520000</v>
      </c>
      <c r="F65" s="797">
        <v>8</v>
      </c>
      <c r="G65" s="800">
        <f t="shared" si="1"/>
        <v>1</v>
      </c>
      <c r="H65" s="801">
        <f t="shared" si="5"/>
        <v>896113.9726027397</v>
      </c>
      <c r="I65" s="797"/>
      <c r="J65" s="797"/>
      <c r="L65" s="792"/>
    </row>
    <row r="66" spans="1:12" s="790" customFormat="1">
      <c r="A66" s="797">
        <f t="shared" si="3"/>
        <v>59</v>
      </c>
      <c r="B66" s="663" t="s">
        <v>2738</v>
      </c>
      <c r="C66" s="647">
        <v>0</v>
      </c>
      <c r="D66" s="647">
        <v>1000000000</v>
      </c>
      <c r="E66" s="799">
        <f t="shared" si="4"/>
        <v>5088520000</v>
      </c>
      <c r="F66" s="797">
        <v>8</v>
      </c>
      <c r="G66" s="800">
        <f t="shared" si="1"/>
        <v>1</v>
      </c>
      <c r="H66" s="801">
        <f t="shared" si="5"/>
        <v>1115292.0547945206</v>
      </c>
      <c r="I66" s="797"/>
      <c r="J66" s="797"/>
      <c r="L66" s="792"/>
    </row>
    <row r="67" spans="1:12" s="790" customFormat="1">
      <c r="A67" s="797">
        <f t="shared" si="3"/>
        <v>60</v>
      </c>
      <c r="B67" s="663" t="s">
        <v>2687</v>
      </c>
      <c r="C67" s="647">
        <v>0</v>
      </c>
      <c r="D67" s="647">
        <v>400000000</v>
      </c>
      <c r="E67" s="799">
        <f t="shared" si="4"/>
        <v>5488520000</v>
      </c>
      <c r="F67" s="797">
        <v>8</v>
      </c>
      <c r="G67" s="800">
        <f t="shared" si="1"/>
        <v>4</v>
      </c>
      <c r="H67" s="801">
        <f t="shared" si="5"/>
        <v>4811853.1506849313</v>
      </c>
      <c r="I67" s="797"/>
      <c r="J67" s="797"/>
      <c r="L67" s="792"/>
    </row>
    <row r="68" spans="1:12" s="790" customFormat="1">
      <c r="A68" s="797">
        <f t="shared" si="3"/>
        <v>61</v>
      </c>
      <c r="B68" s="663" t="s">
        <v>2699</v>
      </c>
      <c r="C68" s="647">
        <v>0</v>
      </c>
      <c r="D68" s="647">
        <v>400000000</v>
      </c>
      <c r="E68" s="799">
        <f t="shared" si="4"/>
        <v>5888520000</v>
      </c>
      <c r="F68" s="797">
        <v>8</v>
      </c>
      <c r="G68" s="800">
        <f t="shared" si="1"/>
        <v>5</v>
      </c>
      <c r="H68" s="801">
        <f t="shared" si="5"/>
        <v>6453172.6027397262</v>
      </c>
      <c r="I68" s="797"/>
      <c r="J68" s="797"/>
      <c r="L68" s="792"/>
    </row>
    <row r="69" spans="1:12" s="790" customFormat="1">
      <c r="A69" s="797">
        <f t="shared" si="3"/>
        <v>62</v>
      </c>
      <c r="B69" s="663" t="s">
        <v>2689</v>
      </c>
      <c r="C69" s="647">
        <v>0</v>
      </c>
      <c r="D69" s="647">
        <v>200000000</v>
      </c>
      <c r="E69" s="799">
        <f t="shared" si="4"/>
        <v>6088520000</v>
      </c>
      <c r="F69" s="797">
        <v>8</v>
      </c>
      <c r="G69" s="800">
        <f t="shared" si="1"/>
        <v>2</v>
      </c>
      <c r="H69" s="801">
        <f t="shared" si="5"/>
        <v>2668940.2739726026</v>
      </c>
      <c r="I69" s="797"/>
      <c r="J69" s="797"/>
      <c r="L69" s="792"/>
    </row>
    <row r="70" spans="1:12" s="790" customFormat="1">
      <c r="A70" s="797">
        <f t="shared" si="3"/>
        <v>63</v>
      </c>
      <c r="B70" s="663" t="s">
        <v>2683</v>
      </c>
      <c r="C70" s="647">
        <v>0</v>
      </c>
      <c r="D70" s="647">
        <v>300000000</v>
      </c>
      <c r="E70" s="799">
        <f t="shared" si="4"/>
        <v>6388520000</v>
      </c>
      <c r="F70" s="797">
        <v>8</v>
      </c>
      <c r="G70" s="800">
        <f t="shared" si="1"/>
        <v>1</v>
      </c>
      <c r="H70" s="801">
        <f t="shared" si="5"/>
        <v>1400223.5616438356</v>
      </c>
      <c r="I70" s="797"/>
      <c r="J70" s="797"/>
      <c r="L70" s="792"/>
    </row>
    <row r="71" spans="1:12" s="790" customFormat="1">
      <c r="A71" s="797">
        <f t="shared" si="3"/>
        <v>64</v>
      </c>
      <c r="B71" s="663" t="s">
        <v>2695</v>
      </c>
      <c r="C71" s="647">
        <v>0</v>
      </c>
      <c r="D71" s="647">
        <v>200000000</v>
      </c>
      <c r="E71" s="799">
        <f t="shared" si="4"/>
        <v>6588520000</v>
      </c>
      <c r="F71" s="797">
        <v>8</v>
      </c>
      <c r="G71" s="800">
        <f t="shared" si="1"/>
        <v>0</v>
      </c>
      <c r="H71" s="801">
        <f t="shared" si="5"/>
        <v>0</v>
      </c>
      <c r="I71" s="797"/>
      <c r="J71" s="797"/>
      <c r="L71" s="792"/>
    </row>
    <row r="72" spans="1:12" s="790" customFormat="1">
      <c r="A72" s="797">
        <f t="shared" si="3"/>
        <v>65</v>
      </c>
      <c r="B72" s="663" t="s">
        <v>2695</v>
      </c>
      <c r="C72" s="647">
        <v>275000000</v>
      </c>
      <c r="D72" s="647">
        <v>0</v>
      </c>
      <c r="E72" s="799">
        <f t="shared" si="4"/>
        <v>6313520000</v>
      </c>
      <c r="F72" s="797">
        <v>8</v>
      </c>
      <c r="G72" s="800">
        <f t="shared" si="1"/>
        <v>1</v>
      </c>
      <c r="H72" s="801">
        <f t="shared" si="5"/>
        <v>1383785.2054794522</v>
      </c>
      <c r="I72" s="797"/>
      <c r="J72" s="797"/>
      <c r="L72" s="792"/>
    </row>
    <row r="73" spans="1:12" s="790" customFormat="1">
      <c r="A73" s="797">
        <f t="shared" si="3"/>
        <v>66</v>
      </c>
      <c r="B73" s="663" t="s">
        <v>2739</v>
      </c>
      <c r="C73" s="647">
        <v>0</v>
      </c>
      <c r="D73" s="647">
        <v>300000000</v>
      </c>
      <c r="E73" s="799">
        <f t="shared" si="4"/>
        <v>6613520000</v>
      </c>
      <c r="F73" s="797">
        <v>8</v>
      </c>
      <c r="G73" s="800">
        <f t="shared" si="1"/>
        <v>0</v>
      </c>
      <c r="H73" s="801">
        <f t="shared" si="5"/>
        <v>0</v>
      </c>
      <c r="I73" s="797"/>
      <c r="J73" s="797"/>
      <c r="L73" s="792"/>
    </row>
    <row r="74" spans="1:12" s="790" customFormat="1">
      <c r="A74" s="797">
        <f t="shared" si="3"/>
        <v>67</v>
      </c>
      <c r="B74" s="663" t="s">
        <v>2739</v>
      </c>
      <c r="C74" s="647">
        <v>0</v>
      </c>
      <c r="D74" s="647">
        <v>200000000</v>
      </c>
      <c r="E74" s="799">
        <f t="shared" si="4"/>
        <v>6813520000</v>
      </c>
      <c r="F74" s="797">
        <v>8</v>
      </c>
      <c r="G74" s="800">
        <f t="shared" ref="G74:G96" si="6">B75-B74</f>
        <v>1</v>
      </c>
      <c r="H74" s="801">
        <f t="shared" si="5"/>
        <v>1493374.2465753425</v>
      </c>
      <c r="I74" s="797"/>
      <c r="J74" s="797"/>
      <c r="L74" s="792"/>
    </row>
    <row r="75" spans="1:12" s="790" customFormat="1">
      <c r="A75" s="797">
        <f t="shared" ref="A75:A97" si="7">+A74+1</f>
        <v>68</v>
      </c>
      <c r="B75" s="663" t="s">
        <v>2740</v>
      </c>
      <c r="C75" s="647">
        <v>2000000000</v>
      </c>
      <c r="D75" s="647">
        <v>0</v>
      </c>
      <c r="E75" s="799">
        <f t="shared" si="4"/>
        <v>4813520000</v>
      </c>
      <c r="F75" s="797">
        <v>8</v>
      </c>
      <c r="G75" s="800">
        <f t="shared" si="6"/>
        <v>1</v>
      </c>
      <c r="H75" s="801">
        <f t="shared" si="5"/>
        <v>1055018.0821917809</v>
      </c>
      <c r="I75" s="797"/>
      <c r="J75" s="797"/>
      <c r="L75" s="792"/>
    </row>
    <row r="76" spans="1:12" s="790" customFormat="1">
      <c r="A76" s="797">
        <f t="shared" si="7"/>
        <v>69</v>
      </c>
      <c r="B76" s="663" t="s">
        <v>2741</v>
      </c>
      <c r="C76" s="647">
        <v>0</v>
      </c>
      <c r="D76" s="647">
        <v>600000000</v>
      </c>
      <c r="E76" s="799">
        <f t="shared" si="4"/>
        <v>5413520000</v>
      </c>
      <c r="F76" s="797">
        <v>8</v>
      </c>
      <c r="G76" s="800">
        <f t="shared" si="6"/>
        <v>3</v>
      </c>
      <c r="H76" s="801">
        <f t="shared" si="5"/>
        <v>3559574.7945205481</v>
      </c>
      <c r="I76" s="797"/>
      <c r="J76" s="797"/>
      <c r="L76" s="792"/>
    </row>
    <row r="77" spans="1:12" s="790" customFormat="1">
      <c r="A77" s="797">
        <f t="shared" si="7"/>
        <v>70</v>
      </c>
      <c r="B77" s="663" t="s">
        <v>2742</v>
      </c>
      <c r="C77" s="647">
        <v>0</v>
      </c>
      <c r="D77" s="647">
        <v>800000000</v>
      </c>
      <c r="E77" s="799">
        <f t="shared" si="4"/>
        <v>6213520000</v>
      </c>
      <c r="F77" s="797">
        <v>8</v>
      </c>
      <c r="G77" s="800">
        <f t="shared" si="6"/>
        <v>0</v>
      </c>
      <c r="H77" s="801">
        <f t="shared" si="5"/>
        <v>0</v>
      </c>
      <c r="I77" s="797"/>
      <c r="J77" s="797"/>
      <c r="L77" s="792"/>
    </row>
    <row r="78" spans="1:12" s="790" customFormat="1">
      <c r="A78" s="797">
        <f t="shared" si="7"/>
        <v>71</v>
      </c>
      <c r="B78" s="663" t="s">
        <v>2742</v>
      </c>
      <c r="C78" s="647">
        <v>2000000000</v>
      </c>
      <c r="D78" s="647">
        <v>0</v>
      </c>
      <c r="E78" s="799">
        <f t="shared" si="4"/>
        <v>4213520000</v>
      </c>
      <c r="F78" s="797">
        <v>8</v>
      </c>
      <c r="G78" s="800">
        <f t="shared" si="6"/>
        <v>1</v>
      </c>
      <c r="H78" s="801">
        <f t="shared" si="5"/>
        <v>923511.23287671234</v>
      </c>
      <c r="I78" s="797"/>
      <c r="J78" s="797"/>
      <c r="L78" s="792"/>
    </row>
    <row r="79" spans="1:12" s="790" customFormat="1">
      <c r="A79" s="797">
        <f t="shared" si="7"/>
        <v>72</v>
      </c>
      <c r="B79" s="663" t="s">
        <v>2743</v>
      </c>
      <c r="C79" s="647">
        <v>0</v>
      </c>
      <c r="D79" s="647">
        <v>400000000</v>
      </c>
      <c r="E79" s="799">
        <f t="shared" si="4"/>
        <v>4613520000</v>
      </c>
      <c r="F79" s="797">
        <v>8</v>
      </c>
      <c r="G79" s="800">
        <f t="shared" si="6"/>
        <v>1</v>
      </c>
      <c r="H79" s="801">
        <f t="shared" si="5"/>
        <v>1011182.4657534247</v>
      </c>
      <c r="I79" s="797"/>
      <c r="J79" s="797"/>
      <c r="L79" s="792"/>
    </row>
    <row r="80" spans="1:12" s="790" customFormat="1">
      <c r="A80" s="797">
        <f t="shared" si="7"/>
        <v>73</v>
      </c>
      <c r="B80" s="663" t="s">
        <v>2744</v>
      </c>
      <c r="C80" s="647">
        <v>0</v>
      </c>
      <c r="D80" s="647">
        <v>100000000</v>
      </c>
      <c r="E80" s="799">
        <f t="shared" si="4"/>
        <v>4713520000</v>
      </c>
      <c r="F80" s="797">
        <v>8</v>
      </c>
      <c r="G80" s="800">
        <f t="shared" si="6"/>
        <v>2</v>
      </c>
      <c r="H80" s="801">
        <f t="shared" si="5"/>
        <v>2066200.5479452056</v>
      </c>
      <c r="I80" s="797"/>
      <c r="J80" s="797"/>
      <c r="L80" s="792"/>
    </row>
    <row r="81" spans="1:12" s="790" customFormat="1">
      <c r="A81" s="797">
        <f t="shared" si="7"/>
        <v>74</v>
      </c>
      <c r="B81" s="663" t="s">
        <v>2745</v>
      </c>
      <c r="C81" s="647">
        <v>2400000000</v>
      </c>
      <c r="D81" s="647">
        <v>0</v>
      </c>
      <c r="E81" s="799">
        <f t="shared" si="4"/>
        <v>2313520000</v>
      </c>
      <c r="F81" s="797">
        <v>8</v>
      </c>
      <c r="G81" s="800">
        <f t="shared" si="6"/>
        <v>3</v>
      </c>
      <c r="H81" s="801">
        <f t="shared" si="5"/>
        <v>1521218.6301369863</v>
      </c>
      <c r="I81" s="797"/>
      <c r="J81" s="797"/>
      <c r="L81" s="792"/>
    </row>
    <row r="82" spans="1:12" s="790" customFormat="1">
      <c r="A82" s="797">
        <f t="shared" si="7"/>
        <v>75</v>
      </c>
      <c r="B82" s="663" t="s">
        <v>2746</v>
      </c>
      <c r="C82" s="647">
        <v>0</v>
      </c>
      <c r="D82" s="647">
        <v>810000000</v>
      </c>
      <c r="E82" s="799">
        <f t="shared" si="4"/>
        <v>3123520000</v>
      </c>
      <c r="F82" s="797">
        <v>8</v>
      </c>
      <c r="G82" s="800">
        <f t="shared" si="6"/>
        <v>1</v>
      </c>
      <c r="H82" s="801">
        <f t="shared" si="5"/>
        <v>684607.12328767125</v>
      </c>
      <c r="I82" s="797"/>
      <c r="J82" s="797"/>
      <c r="L82" s="792"/>
    </row>
    <row r="83" spans="1:12" s="790" customFormat="1">
      <c r="A83" s="797">
        <f t="shared" si="7"/>
        <v>76</v>
      </c>
      <c r="B83" s="663" t="s">
        <v>2747</v>
      </c>
      <c r="C83" s="647">
        <v>0</v>
      </c>
      <c r="D83" s="647">
        <v>850000000</v>
      </c>
      <c r="E83" s="799">
        <f t="shared" si="4"/>
        <v>3973520000</v>
      </c>
      <c r="F83" s="797">
        <v>8</v>
      </c>
      <c r="G83" s="800">
        <f t="shared" si="6"/>
        <v>1</v>
      </c>
      <c r="H83" s="801">
        <f t="shared" si="5"/>
        <v>870908.49315068498</v>
      </c>
      <c r="I83" s="797"/>
      <c r="J83" s="797"/>
      <c r="L83" s="792"/>
    </row>
    <row r="84" spans="1:12" s="790" customFormat="1">
      <c r="A84" s="797">
        <f t="shared" si="7"/>
        <v>77</v>
      </c>
      <c r="B84" s="663" t="s">
        <v>2697</v>
      </c>
      <c r="C84" s="647">
        <v>0</v>
      </c>
      <c r="D84" s="647">
        <v>600000000</v>
      </c>
      <c r="E84" s="799">
        <f t="shared" si="4"/>
        <v>4573520000</v>
      </c>
      <c r="F84" s="797">
        <v>8</v>
      </c>
      <c r="G84" s="800">
        <f t="shared" si="6"/>
        <v>1</v>
      </c>
      <c r="H84" s="801">
        <f t="shared" si="5"/>
        <v>1002415.3424657534</v>
      </c>
      <c r="I84" s="797"/>
      <c r="J84" s="797"/>
      <c r="L84" s="792"/>
    </row>
    <row r="85" spans="1:12" s="790" customFormat="1">
      <c r="A85" s="797">
        <f t="shared" si="7"/>
        <v>78</v>
      </c>
      <c r="B85" s="663" t="s">
        <v>2748</v>
      </c>
      <c r="C85" s="647">
        <v>0</v>
      </c>
      <c r="D85" s="647">
        <v>505000000</v>
      </c>
      <c r="E85" s="799">
        <f t="shared" si="4"/>
        <v>5078520000</v>
      </c>
      <c r="F85" s="797">
        <v>8</v>
      </c>
      <c r="G85" s="800">
        <f t="shared" si="6"/>
        <v>1</v>
      </c>
      <c r="H85" s="801">
        <f t="shared" si="5"/>
        <v>1113100.2739726028</v>
      </c>
      <c r="I85" s="797"/>
      <c r="J85" s="797"/>
      <c r="L85" s="792"/>
    </row>
    <row r="86" spans="1:12" s="790" customFormat="1">
      <c r="A86" s="797">
        <f t="shared" si="7"/>
        <v>79</v>
      </c>
      <c r="B86" s="663" t="s">
        <v>2693</v>
      </c>
      <c r="C86" s="647">
        <v>0</v>
      </c>
      <c r="D86" s="647">
        <v>100000000</v>
      </c>
      <c r="E86" s="799">
        <f t="shared" si="4"/>
        <v>5178520000</v>
      </c>
      <c r="F86" s="797">
        <v>8</v>
      </c>
      <c r="G86" s="800">
        <f t="shared" si="6"/>
        <v>1</v>
      </c>
      <c r="H86" s="801">
        <f t="shared" si="5"/>
        <v>1135018.0821917809</v>
      </c>
      <c r="I86" s="797"/>
      <c r="J86" s="797"/>
      <c r="L86" s="792"/>
    </row>
    <row r="87" spans="1:12" s="790" customFormat="1">
      <c r="A87" s="797">
        <f t="shared" si="7"/>
        <v>80</v>
      </c>
      <c r="B87" s="663" t="s">
        <v>2749</v>
      </c>
      <c r="C87" s="647">
        <v>0</v>
      </c>
      <c r="D87" s="647">
        <v>150000000</v>
      </c>
      <c r="E87" s="799">
        <f t="shared" si="4"/>
        <v>5328520000</v>
      </c>
      <c r="F87" s="797">
        <v>8</v>
      </c>
      <c r="G87" s="800">
        <f t="shared" si="6"/>
        <v>8</v>
      </c>
      <c r="H87" s="801">
        <f t="shared" si="5"/>
        <v>9343158.3561643828</v>
      </c>
      <c r="I87" s="797"/>
      <c r="J87" s="797"/>
      <c r="L87" s="792"/>
    </row>
    <row r="88" spans="1:12" s="790" customFormat="1">
      <c r="A88" s="797">
        <f t="shared" si="7"/>
        <v>81</v>
      </c>
      <c r="B88" s="663" t="s">
        <v>2688</v>
      </c>
      <c r="C88" s="647">
        <v>0</v>
      </c>
      <c r="D88" s="647">
        <v>100000000</v>
      </c>
      <c r="E88" s="799">
        <f t="shared" si="4"/>
        <v>5428520000</v>
      </c>
      <c r="F88" s="797">
        <v>8</v>
      </c>
      <c r="G88" s="800">
        <f t="shared" si="6"/>
        <v>2</v>
      </c>
      <c r="H88" s="801">
        <f t="shared" si="5"/>
        <v>2379625.2054794519</v>
      </c>
      <c r="I88" s="797"/>
      <c r="J88" s="797"/>
      <c r="L88" s="792"/>
    </row>
    <row r="89" spans="1:12" s="790" customFormat="1">
      <c r="A89" s="797">
        <f t="shared" si="7"/>
        <v>82</v>
      </c>
      <c r="B89" s="663" t="s">
        <v>2694</v>
      </c>
      <c r="C89" s="647">
        <v>0</v>
      </c>
      <c r="D89" s="647">
        <v>200000000</v>
      </c>
      <c r="E89" s="799">
        <f t="shared" si="4"/>
        <v>5628520000</v>
      </c>
      <c r="F89" s="797">
        <v>8</v>
      </c>
      <c r="G89" s="800">
        <f t="shared" si="6"/>
        <v>1</v>
      </c>
      <c r="H89" s="801">
        <f t="shared" si="5"/>
        <v>1233648.2191780822</v>
      </c>
      <c r="I89" s="797"/>
      <c r="J89" s="797"/>
      <c r="L89" s="792"/>
    </row>
    <row r="90" spans="1:12" s="790" customFormat="1">
      <c r="A90" s="797">
        <f t="shared" si="7"/>
        <v>83</v>
      </c>
      <c r="B90" s="663" t="s">
        <v>2750</v>
      </c>
      <c r="C90" s="647">
        <v>0</v>
      </c>
      <c r="D90" s="647">
        <v>200000000</v>
      </c>
      <c r="E90" s="799">
        <f t="shared" si="4"/>
        <v>5828520000</v>
      </c>
      <c r="F90" s="797">
        <v>8</v>
      </c>
      <c r="G90" s="800">
        <f t="shared" si="6"/>
        <v>0</v>
      </c>
      <c r="H90" s="801">
        <f t="shared" si="5"/>
        <v>0</v>
      </c>
      <c r="I90" s="797"/>
      <c r="J90" s="797"/>
      <c r="L90" s="792"/>
    </row>
    <row r="91" spans="1:12" s="790" customFormat="1">
      <c r="A91" s="797">
        <f t="shared" si="7"/>
        <v>84</v>
      </c>
      <c r="B91" s="663" t="s">
        <v>2750</v>
      </c>
      <c r="C91" s="647">
        <v>150000000</v>
      </c>
      <c r="D91" s="647">
        <v>0</v>
      </c>
      <c r="E91" s="799">
        <f t="shared" si="4"/>
        <v>5678520000</v>
      </c>
      <c r="F91" s="797">
        <v>8</v>
      </c>
      <c r="G91" s="800">
        <f t="shared" si="6"/>
        <v>1</v>
      </c>
      <c r="H91" s="801">
        <f t="shared" si="5"/>
        <v>1244607.1232876712</v>
      </c>
      <c r="I91" s="797"/>
      <c r="J91" s="797"/>
      <c r="L91" s="792"/>
    </row>
    <row r="92" spans="1:12" s="790" customFormat="1">
      <c r="A92" s="797">
        <f t="shared" si="7"/>
        <v>85</v>
      </c>
      <c r="B92" s="663" t="s">
        <v>2692</v>
      </c>
      <c r="C92" s="647">
        <v>0</v>
      </c>
      <c r="D92" s="647">
        <v>200000000</v>
      </c>
      <c r="E92" s="799">
        <f t="shared" si="4"/>
        <v>5878520000</v>
      </c>
      <c r="F92" s="797">
        <v>8</v>
      </c>
      <c r="G92" s="800">
        <f t="shared" si="6"/>
        <v>0</v>
      </c>
      <c r="H92" s="801">
        <f t="shared" si="5"/>
        <v>0</v>
      </c>
      <c r="I92" s="797"/>
      <c r="J92" s="797"/>
      <c r="L92" s="792"/>
    </row>
    <row r="93" spans="1:12" s="790" customFormat="1">
      <c r="A93" s="797">
        <f t="shared" si="7"/>
        <v>86</v>
      </c>
      <c r="B93" s="663" t="s">
        <v>2692</v>
      </c>
      <c r="C93" s="647">
        <v>99000000</v>
      </c>
      <c r="D93" s="647">
        <v>0</v>
      </c>
      <c r="E93" s="799">
        <f t="shared" si="4"/>
        <v>5779520000</v>
      </c>
      <c r="F93" s="797">
        <v>8</v>
      </c>
      <c r="G93" s="800">
        <f t="shared" si="6"/>
        <v>1</v>
      </c>
      <c r="H93" s="801">
        <f t="shared" si="5"/>
        <v>1266744.1095890412</v>
      </c>
      <c r="I93" s="797"/>
      <c r="J93" s="797"/>
      <c r="L93" s="792"/>
    </row>
    <row r="94" spans="1:12" s="790" customFormat="1">
      <c r="A94" s="797">
        <f t="shared" si="7"/>
        <v>87</v>
      </c>
      <c r="B94" s="663" t="s">
        <v>2751</v>
      </c>
      <c r="C94" s="647">
        <v>300000000</v>
      </c>
      <c r="D94" s="647">
        <v>0</v>
      </c>
      <c r="E94" s="799">
        <f t="shared" si="4"/>
        <v>5479520000</v>
      </c>
      <c r="F94" s="797">
        <v>8</v>
      </c>
      <c r="G94" s="800">
        <f t="shared" si="6"/>
        <v>0</v>
      </c>
      <c r="H94" s="801">
        <f t="shared" si="5"/>
        <v>0</v>
      </c>
      <c r="I94" s="797"/>
      <c r="J94" s="797"/>
      <c r="L94" s="792"/>
    </row>
    <row r="95" spans="1:12" s="790" customFormat="1">
      <c r="A95" s="797">
        <f t="shared" si="7"/>
        <v>88</v>
      </c>
      <c r="B95" s="663" t="s">
        <v>2751</v>
      </c>
      <c r="C95" s="647">
        <v>0</v>
      </c>
      <c r="D95" s="647">
        <v>200000000</v>
      </c>
      <c r="E95" s="799">
        <f t="shared" si="4"/>
        <v>5679520000</v>
      </c>
      <c r="F95" s="797">
        <v>8</v>
      </c>
      <c r="G95" s="800">
        <f t="shared" si="6"/>
        <v>0</v>
      </c>
      <c r="H95" s="801">
        <f t="shared" si="5"/>
        <v>0</v>
      </c>
      <c r="I95" s="797"/>
      <c r="J95" s="797"/>
      <c r="L95" s="792"/>
    </row>
    <row r="96" spans="1:12" s="790" customFormat="1">
      <c r="A96" s="797">
        <f t="shared" si="7"/>
        <v>89</v>
      </c>
      <c r="B96" s="663" t="s">
        <v>2751</v>
      </c>
      <c r="C96" s="647">
        <v>0</v>
      </c>
      <c r="D96" s="647">
        <v>200000000</v>
      </c>
      <c r="E96" s="799">
        <f t="shared" si="4"/>
        <v>5879520000</v>
      </c>
      <c r="F96" s="797">
        <v>8</v>
      </c>
      <c r="G96" s="800">
        <f t="shared" si="6"/>
        <v>1</v>
      </c>
      <c r="H96" s="801">
        <f t="shared" si="5"/>
        <v>1288661.9178082191</v>
      </c>
      <c r="I96" s="797"/>
      <c r="J96" s="797"/>
      <c r="L96" s="792"/>
    </row>
    <row r="97" spans="1:12" s="790" customFormat="1">
      <c r="A97" s="797">
        <f t="shared" si="7"/>
        <v>90</v>
      </c>
      <c r="B97" s="663" t="s">
        <v>2752</v>
      </c>
      <c r="C97" s="647">
        <v>0</v>
      </c>
      <c r="D97" s="647">
        <v>300000000</v>
      </c>
      <c r="E97" s="799">
        <f t="shared" si="4"/>
        <v>6179520000</v>
      </c>
      <c r="F97" s="797">
        <v>8</v>
      </c>
      <c r="G97" s="800" t="s">
        <v>372</v>
      </c>
      <c r="H97" s="801">
        <f t="shared" si="5"/>
        <v>1354415.3424657534</v>
      </c>
      <c r="I97" s="797"/>
      <c r="J97" s="797"/>
      <c r="L97" s="792"/>
    </row>
    <row r="98" spans="1:12" s="790" customFormat="1">
      <c r="A98" s="797">
        <f>+A60+1</f>
        <v>54</v>
      </c>
      <c r="B98" s="798"/>
      <c r="C98" s="823"/>
      <c r="D98" s="647"/>
      <c r="E98" s="799"/>
      <c r="F98" s="797"/>
      <c r="G98" s="800"/>
      <c r="H98" s="801">
        <f>E98*F98%/365*G98</f>
        <v>0</v>
      </c>
      <c r="I98" s="797"/>
      <c r="J98" s="797"/>
      <c r="L98" s="792"/>
    </row>
    <row r="99" spans="1:12" s="787" customFormat="1">
      <c r="A99" s="1024" t="s">
        <v>2009</v>
      </c>
      <c r="B99" s="1025"/>
      <c r="C99" s="1025"/>
      <c r="D99" s="1025"/>
      <c r="E99" s="1025"/>
      <c r="F99" s="1025"/>
      <c r="G99" s="1026"/>
      <c r="H99" s="802">
        <f>SUM(H8:H97)</f>
        <v>128042546.84931511</v>
      </c>
      <c r="I99" s="802">
        <v>128042546.84999999</v>
      </c>
      <c r="J99" s="803">
        <f>I99-H99</f>
        <v>6.8488717079162598E-4</v>
      </c>
      <c r="L99" s="791"/>
    </row>
    <row r="102" spans="1:12">
      <c r="B102" s="196" t="str">
        <f>+'2.Мол.ёр.16102-1'!B38</f>
        <v>АТ "Халқ банк"нинг Ички аудит</v>
      </c>
    </row>
    <row r="103" spans="1:12">
      <c r="B103" s="196" t="str">
        <f>+'2.Мол.ёр.16102-1'!B39</f>
        <v>департаменти бўлим бошлиғи:</v>
      </c>
      <c r="D103" s="196"/>
      <c r="F103" s="196" t="str">
        <f>+'2.Мол.ёр.16102-1'!F39</f>
        <v>А.Ҳазратқулов</v>
      </c>
      <c r="H103" s="196"/>
    </row>
    <row r="104" spans="1:12">
      <c r="D104" s="196"/>
      <c r="F104" s="196"/>
      <c r="H104" s="196"/>
    </row>
    <row r="105" spans="1:12">
      <c r="B105" s="196" t="str">
        <f>+'2.Мол.ёр.16102-1'!B41</f>
        <v>АТ "Халқ банк" Фаргона вилояти</v>
      </c>
      <c r="D105" s="196"/>
      <c r="F105" s="196"/>
      <c r="H105" s="196"/>
    </row>
    <row r="106" spans="1:12">
      <c r="B106" s="196" t="str">
        <f>+'2.Мол.ёр.16102-1'!B42</f>
        <v>Бешариқ филиали бошқарувчиси:</v>
      </c>
      <c r="D106" s="196"/>
      <c r="F106" s="196" t="str">
        <f>+'2.Мол.ёр.16102-1'!F42</f>
        <v>_____________</v>
      </c>
      <c r="H106" s="196"/>
    </row>
    <row r="107" spans="1:12">
      <c r="D107" s="196"/>
      <c r="F107" s="196"/>
      <c r="H107" s="196"/>
    </row>
    <row r="108" spans="1:12">
      <c r="B108" s="196" t="str">
        <f>+'2.Мол.ёр.16102-1'!B44</f>
        <v>Бош бухгалтери:</v>
      </c>
      <c r="D108" s="196"/>
      <c r="F108" s="196" t="str">
        <f>+'2.Мол.ёр.16102-1'!F44</f>
        <v>_____________</v>
      </c>
      <c r="H108" s="196"/>
    </row>
  </sheetData>
  <autoFilter ref="A5:P99" xr:uid="{00000000-0009-0000-0000-000008000000}"/>
  <mergeCells count="4">
    <mergeCell ref="B2:J2"/>
    <mergeCell ref="B3:K3"/>
    <mergeCell ref="A99:G99"/>
    <mergeCell ref="A7:J7"/>
  </mergeCells>
  <pageMargins left="0.74803149606299213" right="0.19685039370078741" top="0.51" bottom="0.23622047244094491" header="0.55000000000000004" footer="0.23622047244094491"/>
  <pageSetup paperSize="9" scale="72" fitToHeight="100" orientation="landscape" r:id="rId1"/>
  <headerFooter alignWithMargins="0"/>
  <ignoredErrors>
    <ignoredError sqref="G9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V208"/>
  <sheetViews>
    <sheetView workbookViewId="0">
      <selection activeCell="E15" sqref="E15"/>
    </sheetView>
  </sheetViews>
  <sheetFormatPr defaultColWidth="9.109375" defaultRowHeight="13.8"/>
  <cols>
    <col min="1" max="1" width="3.88671875" style="475" customWidth="1"/>
    <col min="2" max="2" width="19.88671875" style="476" customWidth="1"/>
    <col min="3" max="3" width="18.33203125" style="477" customWidth="1"/>
    <col min="4" max="4" width="17" style="478" bestFit="1" customWidth="1"/>
    <col min="5" max="5" width="18" style="475" customWidth="1"/>
    <col min="6" max="6" width="13.33203125" style="478" customWidth="1"/>
    <col min="7" max="7" width="7.44140625" style="475" customWidth="1"/>
    <col min="8" max="8" width="15.33203125" style="478" customWidth="1"/>
    <col min="9" max="9" width="16.5546875" style="475" customWidth="1"/>
    <col min="10" max="10" width="12.5546875" style="478" customWidth="1"/>
    <col min="11" max="11" width="12" style="478" customWidth="1"/>
    <col min="12" max="12" width="14" style="475" customWidth="1"/>
    <col min="13" max="13" width="14.44140625" style="475" bestFit="1" customWidth="1"/>
    <col min="14" max="16384" width="9.109375" style="475"/>
  </cols>
  <sheetData>
    <row r="1" spans="1:13">
      <c r="F1" s="479"/>
      <c r="G1" s="480"/>
      <c r="L1" s="481" t="s">
        <v>717</v>
      </c>
    </row>
    <row r="2" spans="1:13" ht="31.5" customHeight="1">
      <c r="A2" s="1028" t="s">
        <v>1030</v>
      </c>
      <c r="B2" s="1028"/>
      <c r="C2" s="1028"/>
      <c r="D2" s="1028"/>
      <c r="E2" s="1028"/>
      <c r="F2" s="1028"/>
      <c r="G2" s="1028"/>
      <c r="H2" s="1028"/>
      <c r="I2" s="1028"/>
      <c r="J2" s="1028"/>
      <c r="K2" s="1028"/>
      <c r="L2" s="1028"/>
    </row>
    <row r="3" spans="1:13">
      <c r="B3" s="1029" t="s">
        <v>385</v>
      </c>
      <c r="C3" s="1029"/>
      <c r="D3" s="1029"/>
      <c r="E3" s="1029"/>
      <c r="F3" s="1029"/>
      <c r="G3" s="1029"/>
      <c r="H3" s="1029"/>
      <c r="I3" s="1029"/>
      <c r="J3" s="1029"/>
      <c r="K3" s="1029"/>
    </row>
    <row r="4" spans="1:13" ht="14.4" thickBot="1">
      <c r="L4" s="479" t="s">
        <v>491</v>
      </c>
    </row>
    <row r="5" spans="1:13">
      <c r="A5" s="1030" t="s">
        <v>176</v>
      </c>
      <c r="B5" s="1033" t="s">
        <v>386</v>
      </c>
      <c r="C5" s="1033" t="s">
        <v>476</v>
      </c>
      <c r="D5" s="1030" t="s">
        <v>178</v>
      </c>
      <c r="E5" s="1030" t="s">
        <v>247</v>
      </c>
      <c r="F5" s="1039" t="s">
        <v>388</v>
      </c>
      <c r="G5" s="1036" t="s">
        <v>387</v>
      </c>
      <c r="H5" s="1036" t="s">
        <v>472</v>
      </c>
      <c r="I5" s="1036" t="s">
        <v>492</v>
      </c>
      <c r="J5" s="1036" t="s">
        <v>389</v>
      </c>
      <c r="K5" s="1039" t="s">
        <v>262</v>
      </c>
      <c r="L5" s="1039" t="s">
        <v>736</v>
      </c>
    </row>
    <row r="6" spans="1:13">
      <c r="A6" s="1031"/>
      <c r="B6" s="1034"/>
      <c r="C6" s="1034"/>
      <c r="D6" s="1031"/>
      <c r="E6" s="1031"/>
      <c r="F6" s="1040"/>
      <c r="G6" s="1037"/>
      <c r="H6" s="1037"/>
      <c r="I6" s="1037"/>
      <c r="J6" s="1037"/>
      <c r="K6" s="1040"/>
      <c r="L6" s="1040"/>
    </row>
    <row r="7" spans="1:13">
      <c r="A7" s="1031"/>
      <c r="B7" s="1034"/>
      <c r="C7" s="1034"/>
      <c r="D7" s="1031"/>
      <c r="E7" s="1031"/>
      <c r="F7" s="1040"/>
      <c r="G7" s="1037"/>
      <c r="H7" s="1037"/>
      <c r="I7" s="1037"/>
      <c r="J7" s="1037"/>
      <c r="K7" s="1040"/>
      <c r="L7" s="1040"/>
    </row>
    <row r="8" spans="1:13" ht="14.4" thickBot="1">
      <c r="A8" s="1032"/>
      <c r="B8" s="1035"/>
      <c r="C8" s="1035"/>
      <c r="D8" s="1032"/>
      <c r="E8" s="1032"/>
      <c r="F8" s="1041"/>
      <c r="G8" s="1038"/>
      <c r="H8" s="1038"/>
      <c r="I8" s="1038"/>
      <c r="J8" s="1038"/>
      <c r="K8" s="1041"/>
      <c r="L8" s="1041"/>
    </row>
    <row r="9" spans="1:13">
      <c r="A9" s="536" t="s">
        <v>208</v>
      </c>
      <c r="B9" s="537" t="s">
        <v>209</v>
      </c>
      <c r="C9" s="537">
        <v>1</v>
      </c>
      <c r="D9" s="537">
        <f t="shared" ref="D9:I9" si="0">+C9+1</f>
        <v>2</v>
      </c>
      <c r="E9" s="537">
        <f t="shared" si="0"/>
        <v>3</v>
      </c>
      <c r="F9" s="537">
        <f t="shared" si="0"/>
        <v>4</v>
      </c>
      <c r="G9" s="537">
        <f t="shared" si="0"/>
        <v>5</v>
      </c>
      <c r="H9" s="537">
        <f t="shared" si="0"/>
        <v>6</v>
      </c>
      <c r="I9" s="537">
        <f t="shared" si="0"/>
        <v>7</v>
      </c>
      <c r="J9" s="537">
        <v>8</v>
      </c>
      <c r="K9" s="537">
        <v>9</v>
      </c>
      <c r="L9" s="538">
        <v>10</v>
      </c>
    </row>
    <row r="10" spans="1:13" s="662" customFormat="1">
      <c r="A10" s="1019" t="s">
        <v>1024</v>
      </c>
      <c r="B10" s="1019"/>
      <c r="C10" s="1019"/>
      <c r="D10" s="1019"/>
      <c r="E10" s="1019"/>
      <c r="F10" s="1019"/>
      <c r="G10" s="1019"/>
      <c r="H10" s="1019"/>
      <c r="I10" s="1019"/>
      <c r="J10" s="1019"/>
      <c r="K10" s="660"/>
      <c r="L10" s="661"/>
    </row>
    <row r="11" spans="1:13" s="662" customFormat="1">
      <c r="A11" s="652">
        <v>1</v>
      </c>
      <c r="B11" s="645" t="s">
        <v>1025</v>
      </c>
      <c r="C11" s="646">
        <v>0</v>
      </c>
      <c r="D11" s="646">
        <v>500000000</v>
      </c>
      <c r="E11" s="646">
        <f>+D11-C11</f>
        <v>500000000</v>
      </c>
      <c r="F11" s="652">
        <v>6</v>
      </c>
      <c r="G11" s="653">
        <f>+B12-B11</f>
        <v>68</v>
      </c>
      <c r="H11" s="654">
        <f>E11*F11%/365*G11</f>
        <v>5589041.0958904112</v>
      </c>
      <c r="I11" s="652"/>
      <c r="J11" s="652"/>
      <c r="K11" s="660"/>
      <c r="L11" s="661"/>
    </row>
    <row r="12" spans="1:13" s="662" customFormat="1">
      <c r="A12" s="652">
        <f>+A11+1</f>
        <v>2</v>
      </c>
      <c r="B12" s="645" t="s">
        <v>1023</v>
      </c>
      <c r="C12" s="646">
        <v>300000000</v>
      </c>
      <c r="D12" s="646">
        <v>0</v>
      </c>
      <c r="E12" s="655">
        <f>E11-C12+D12</f>
        <v>200000000</v>
      </c>
      <c r="F12" s="652">
        <v>6</v>
      </c>
      <c r="G12" s="653">
        <f>+B13-B12</f>
        <v>64</v>
      </c>
      <c r="H12" s="654">
        <f>E12*F12%/365*G12</f>
        <v>2104109.5890410957</v>
      </c>
      <c r="I12" s="652"/>
      <c r="J12" s="652"/>
      <c r="K12" s="660"/>
      <c r="L12" s="661"/>
    </row>
    <row r="13" spans="1:13" s="662" customFormat="1">
      <c r="A13" s="652">
        <f>+A12+1</f>
        <v>3</v>
      </c>
      <c r="B13" s="645" t="s">
        <v>1026</v>
      </c>
      <c r="C13" s="646">
        <v>100000000</v>
      </c>
      <c r="D13" s="646">
        <v>0</v>
      </c>
      <c r="E13" s="655">
        <f>E12-C13+D13</f>
        <v>100000000</v>
      </c>
      <c r="F13" s="652">
        <v>6</v>
      </c>
      <c r="G13" s="653">
        <f>+B14-B13</f>
        <v>5</v>
      </c>
      <c r="H13" s="654">
        <f>E13*F13%/365*G13</f>
        <v>82191.780821917797</v>
      </c>
      <c r="I13" s="652"/>
      <c r="J13" s="652"/>
      <c r="K13" s="660"/>
      <c r="L13" s="661"/>
    </row>
    <row r="14" spans="1:13" s="662" customFormat="1">
      <c r="A14" s="652">
        <f>+A13+1</f>
        <v>4</v>
      </c>
      <c r="B14" s="645" t="s">
        <v>1027</v>
      </c>
      <c r="C14" s="646">
        <v>100000000</v>
      </c>
      <c r="D14" s="646">
        <v>0</v>
      </c>
      <c r="E14" s="655">
        <f>E13-C14+D14</f>
        <v>0</v>
      </c>
      <c r="F14" s="652">
        <v>6</v>
      </c>
      <c r="G14" s="653"/>
      <c r="H14" s="654">
        <f>E14*F14%/365*G14</f>
        <v>0</v>
      </c>
      <c r="I14" s="652"/>
      <c r="J14" s="652"/>
      <c r="K14" s="660"/>
      <c r="L14" s="661"/>
    </row>
    <row r="15" spans="1:13" s="662" customFormat="1">
      <c r="A15" s="659"/>
      <c r="B15" s="660"/>
      <c r="C15" s="660"/>
      <c r="D15" s="660"/>
      <c r="E15" s="660"/>
      <c r="F15" s="660"/>
      <c r="G15" s="660"/>
      <c r="H15" s="660"/>
      <c r="I15" s="660"/>
      <c r="J15" s="660"/>
      <c r="K15" s="660"/>
      <c r="L15" s="661"/>
    </row>
    <row r="16" spans="1:13" s="124" customFormat="1">
      <c r="A16" s="482">
        <v>3</v>
      </c>
      <c r="B16" s="1045" t="s">
        <v>730</v>
      </c>
      <c r="C16" s="1045"/>
      <c r="D16" s="1045"/>
      <c r="E16" s="483" t="s">
        <v>285</v>
      </c>
      <c r="F16" s="484" t="e">
        <f>SUM(#REF!)</f>
        <v>#REF!</v>
      </c>
      <c r="G16" s="484" t="e">
        <f>SUM(#REF!)</f>
        <v>#REF!</v>
      </c>
      <c r="H16" s="484" t="e">
        <f>SUM(#REF!)</f>
        <v>#REF!</v>
      </c>
      <c r="I16" s="484" t="e">
        <f>SUM(#REF!)</f>
        <v>#REF!</v>
      </c>
      <c r="J16" s="484" t="e">
        <f>SUM(#REF!)</f>
        <v>#REF!</v>
      </c>
      <c r="K16" s="483" t="s">
        <v>285</v>
      </c>
      <c r="L16" s="484" t="e">
        <f>SUM(#REF!)</f>
        <v>#REF!</v>
      </c>
      <c r="M16" s="539"/>
    </row>
    <row r="17" spans="1:22" s="486" customFormat="1" ht="13.2">
      <c r="A17" s="485" t="e">
        <f>+A16+#REF!+#REF!+#REF!+#REF!+#REF!+#REF!</f>
        <v>#REF!</v>
      </c>
      <c r="B17" s="1042" t="s">
        <v>473</v>
      </c>
      <c r="C17" s="1043"/>
      <c r="D17" s="1044"/>
      <c r="E17" s="485"/>
      <c r="F17" s="485" t="e">
        <f>+F16+#REF!+#REF!+#REF!+#REF!+#REF!+#REF!</f>
        <v>#REF!</v>
      </c>
      <c r="G17" s="485" t="e">
        <f>+G16+#REF!+#REF!+#REF!+#REF!+#REF!+#REF!</f>
        <v>#REF!</v>
      </c>
      <c r="H17" s="485" t="e">
        <f>+H16+#REF!+#REF!+#REF!+#REF!+#REF!+#REF!</f>
        <v>#REF!</v>
      </c>
      <c r="I17" s="485" t="e">
        <f>+I16+#REF!+#REF!+#REF!+#REF!+#REF!+#REF!</f>
        <v>#REF!</v>
      </c>
      <c r="J17" s="485" t="e">
        <f>+J16+#REF!+#REF!+#REF!+#REF!+#REF!+#REF!</f>
        <v>#REF!</v>
      </c>
      <c r="K17" s="507"/>
      <c r="L17" s="485" t="e">
        <f>+L16+#REF!+#REF!+#REF!</f>
        <v>#REF!</v>
      </c>
    </row>
    <row r="18" spans="1:22">
      <c r="B18" s="487"/>
      <c r="C18" s="488"/>
      <c r="D18" s="479"/>
      <c r="E18" s="489"/>
      <c r="H18" s="490"/>
      <c r="J18" s="490"/>
    </row>
    <row r="19" spans="1:22">
      <c r="B19" s="491"/>
      <c r="C19" s="492" t="s">
        <v>474</v>
      </c>
      <c r="D19" s="491"/>
      <c r="E19" s="493"/>
      <c r="F19" s="493"/>
      <c r="G19" s="494"/>
      <c r="H19" s="492"/>
      <c r="I19" s="493"/>
      <c r="U19" s="476"/>
      <c r="V19" s="476"/>
    </row>
    <row r="20" spans="1:22">
      <c r="B20" s="105"/>
      <c r="C20" s="492" t="s">
        <v>493</v>
      </c>
      <c r="D20" s="491"/>
      <c r="E20" s="493"/>
      <c r="F20" s="494"/>
      <c r="G20" s="494"/>
      <c r="H20" s="493"/>
      <c r="I20" s="493" t="s">
        <v>475</v>
      </c>
    </row>
    <row r="21" spans="1:22">
      <c r="B21" s="491"/>
      <c r="C21" s="479"/>
      <c r="D21" s="491"/>
      <c r="E21" s="493"/>
      <c r="F21" s="494"/>
      <c r="G21" s="494"/>
      <c r="H21" s="493"/>
      <c r="I21" s="493"/>
    </row>
    <row r="22" spans="1:22" ht="15.6">
      <c r="C22" s="495" t="s">
        <v>737</v>
      </c>
      <c r="D22" s="491"/>
      <c r="E22" s="493"/>
      <c r="F22" s="494"/>
      <c r="G22" s="494"/>
      <c r="H22" s="494"/>
      <c r="I22" s="496"/>
    </row>
    <row r="23" spans="1:22" ht="15.6">
      <c r="B23" s="491"/>
      <c r="C23" s="493" t="s">
        <v>738</v>
      </c>
      <c r="D23" s="491"/>
      <c r="E23" s="493"/>
      <c r="F23" s="494"/>
      <c r="G23" s="494"/>
      <c r="H23" s="493"/>
      <c r="I23" s="496" t="s">
        <v>734</v>
      </c>
    </row>
    <row r="24" spans="1:22" ht="15.6">
      <c r="B24" s="491"/>
      <c r="C24" s="105"/>
      <c r="D24" s="491"/>
      <c r="E24" s="493"/>
      <c r="F24" s="494"/>
      <c r="G24" s="494"/>
      <c r="H24" s="493"/>
      <c r="I24" s="496"/>
    </row>
    <row r="25" spans="1:22">
      <c r="B25" s="491"/>
      <c r="C25" s="105" t="s">
        <v>323</v>
      </c>
      <c r="D25" s="479"/>
      <c r="E25" s="489"/>
      <c r="F25" s="479"/>
      <c r="G25" s="489"/>
      <c r="H25" s="479"/>
      <c r="I25" s="489" t="s">
        <v>735</v>
      </c>
    </row>
    <row r="26" spans="1:22">
      <c r="B26" s="475"/>
      <c r="C26" s="513"/>
    </row>
    <row r="27" spans="1:22">
      <c r="C27" s="488"/>
      <c r="D27" s="497"/>
    </row>
    <row r="28" spans="1:22">
      <c r="C28" s="488"/>
      <c r="D28" s="497"/>
    </row>
    <row r="29" spans="1:22">
      <c r="C29" s="488"/>
      <c r="D29" s="497"/>
    </row>
    <row r="30" spans="1:22">
      <c r="C30" s="488"/>
      <c r="D30" s="497"/>
    </row>
    <row r="31" spans="1:22">
      <c r="C31" s="488"/>
      <c r="D31" s="497"/>
    </row>
    <row r="32" spans="1:22">
      <c r="C32" s="488"/>
      <c r="D32" s="497"/>
    </row>
    <row r="33" spans="3:4">
      <c r="C33" s="488"/>
      <c r="D33" s="497"/>
    </row>
    <row r="34" spans="3:4">
      <c r="C34" s="488"/>
      <c r="D34" s="497"/>
    </row>
    <row r="35" spans="3:4">
      <c r="C35" s="488"/>
      <c r="D35" s="497"/>
    </row>
    <row r="36" spans="3:4">
      <c r="C36" s="488"/>
      <c r="D36" s="497"/>
    </row>
    <row r="37" spans="3:4">
      <c r="C37" s="488"/>
      <c r="D37" s="497"/>
    </row>
    <row r="38" spans="3:4">
      <c r="C38" s="488"/>
      <c r="D38" s="497"/>
    </row>
    <row r="39" spans="3:4">
      <c r="C39" s="488"/>
      <c r="D39" s="497"/>
    </row>
    <row r="40" spans="3:4">
      <c r="C40" s="488"/>
      <c r="D40" s="497"/>
    </row>
    <row r="41" spans="3:4">
      <c r="C41" s="488"/>
      <c r="D41" s="497"/>
    </row>
    <row r="42" spans="3:4">
      <c r="C42" s="488"/>
      <c r="D42" s="497"/>
    </row>
    <row r="43" spans="3:4">
      <c r="C43" s="488"/>
      <c r="D43" s="497"/>
    </row>
    <row r="44" spans="3:4">
      <c r="C44" s="488"/>
      <c r="D44" s="497"/>
    </row>
    <row r="45" spans="3:4">
      <c r="C45" s="488"/>
      <c r="D45" s="497"/>
    </row>
    <row r="46" spans="3:4">
      <c r="C46" s="488"/>
      <c r="D46" s="497"/>
    </row>
    <row r="47" spans="3:4">
      <c r="C47" s="488"/>
      <c r="D47" s="497"/>
    </row>
    <row r="48" spans="3:4">
      <c r="C48" s="488"/>
      <c r="D48" s="497"/>
    </row>
    <row r="49" spans="3:4">
      <c r="C49" s="488"/>
      <c r="D49" s="497"/>
    </row>
    <row r="50" spans="3:4">
      <c r="C50" s="488"/>
      <c r="D50" s="497"/>
    </row>
    <row r="51" spans="3:4">
      <c r="C51" s="488"/>
      <c r="D51" s="497"/>
    </row>
    <row r="52" spans="3:4">
      <c r="C52" s="488"/>
      <c r="D52" s="497"/>
    </row>
    <row r="53" spans="3:4">
      <c r="C53" s="488"/>
      <c r="D53" s="497"/>
    </row>
    <row r="54" spans="3:4">
      <c r="D54" s="497"/>
    </row>
    <row r="55" spans="3:4">
      <c r="D55" s="497"/>
    </row>
    <row r="56" spans="3:4">
      <c r="D56" s="497"/>
    </row>
    <row r="57" spans="3:4">
      <c r="D57" s="497"/>
    </row>
    <row r="58" spans="3:4">
      <c r="D58" s="497"/>
    </row>
    <row r="59" spans="3:4">
      <c r="D59" s="497"/>
    </row>
    <row r="60" spans="3:4">
      <c r="D60" s="497"/>
    </row>
    <row r="61" spans="3:4">
      <c r="D61" s="497"/>
    </row>
    <row r="62" spans="3:4">
      <c r="D62" s="497"/>
    </row>
    <row r="63" spans="3:4">
      <c r="D63" s="497"/>
    </row>
    <row r="64" spans="3:4">
      <c r="D64" s="497"/>
    </row>
    <row r="65" spans="4:4">
      <c r="D65" s="497"/>
    </row>
    <row r="66" spans="4:4">
      <c r="D66" s="497"/>
    </row>
    <row r="67" spans="4:4">
      <c r="D67" s="497"/>
    </row>
    <row r="68" spans="4:4">
      <c r="D68" s="497"/>
    </row>
    <row r="69" spans="4:4">
      <c r="D69" s="497"/>
    </row>
    <row r="70" spans="4:4">
      <c r="D70" s="497"/>
    </row>
    <row r="71" spans="4:4">
      <c r="D71" s="497"/>
    </row>
    <row r="72" spans="4:4">
      <c r="D72" s="497"/>
    </row>
    <row r="73" spans="4:4">
      <c r="D73" s="497"/>
    </row>
    <row r="74" spans="4:4">
      <c r="D74" s="497"/>
    </row>
    <row r="75" spans="4:4">
      <c r="D75" s="497"/>
    </row>
    <row r="76" spans="4:4">
      <c r="D76" s="497"/>
    </row>
    <row r="77" spans="4:4">
      <c r="D77" s="497"/>
    </row>
    <row r="78" spans="4:4">
      <c r="D78" s="497"/>
    </row>
    <row r="79" spans="4:4">
      <c r="D79" s="497"/>
    </row>
    <row r="80" spans="4:4">
      <c r="D80" s="497"/>
    </row>
    <row r="81" spans="4:4">
      <c r="D81" s="497"/>
    </row>
    <row r="82" spans="4:4">
      <c r="D82" s="497"/>
    </row>
    <row r="83" spans="4:4">
      <c r="D83" s="497"/>
    </row>
    <row r="84" spans="4:4">
      <c r="D84" s="497"/>
    </row>
    <row r="85" spans="4:4">
      <c r="D85" s="497"/>
    </row>
    <row r="86" spans="4:4">
      <c r="D86" s="497"/>
    </row>
    <row r="87" spans="4:4">
      <c r="D87" s="497"/>
    </row>
    <row r="88" spans="4:4">
      <c r="D88" s="497"/>
    </row>
    <row r="89" spans="4:4">
      <c r="D89" s="497"/>
    </row>
    <row r="90" spans="4:4">
      <c r="D90" s="497"/>
    </row>
    <row r="91" spans="4:4">
      <c r="D91" s="497"/>
    </row>
    <row r="92" spans="4:4">
      <c r="D92" s="497"/>
    </row>
    <row r="93" spans="4:4">
      <c r="D93" s="497"/>
    </row>
    <row r="94" spans="4:4">
      <c r="D94" s="497"/>
    </row>
    <row r="95" spans="4:4">
      <c r="D95" s="497"/>
    </row>
    <row r="96" spans="4:4">
      <c r="D96" s="497"/>
    </row>
    <row r="97" spans="4:4">
      <c r="D97" s="497"/>
    </row>
    <row r="98" spans="4:4">
      <c r="D98" s="497"/>
    </row>
    <row r="99" spans="4:4">
      <c r="D99" s="497"/>
    </row>
    <row r="100" spans="4:4">
      <c r="D100" s="497"/>
    </row>
    <row r="101" spans="4:4">
      <c r="D101" s="497"/>
    </row>
    <row r="102" spans="4:4">
      <c r="D102" s="497"/>
    </row>
    <row r="103" spans="4:4">
      <c r="D103" s="497"/>
    </row>
    <row r="104" spans="4:4">
      <c r="D104" s="497"/>
    </row>
    <row r="105" spans="4:4">
      <c r="D105" s="497"/>
    </row>
    <row r="106" spans="4:4">
      <c r="D106" s="497"/>
    </row>
    <row r="107" spans="4:4">
      <c r="D107" s="497"/>
    </row>
    <row r="108" spans="4:4">
      <c r="D108" s="497"/>
    </row>
    <row r="109" spans="4:4">
      <c r="D109" s="497"/>
    </row>
    <row r="110" spans="4:4">
      <c r="D110" s="497"/>
    </row>
    <row r="111" spans="4:4">
      <c r="D111" s="497"/>
    </row>
    <row r="112" spans="4:4">
      <c r="D112" s="497"/>
    </row>
    <row r="113" spans="4:4">
      <c r="D113" s="497"/>
    </row>
    <row r="114" spans="4:4">
      <c r="D114" s="497"/>
    </row>
    <row r="115" spans="4:4">
      <c r="D115" s="497"/>
    </row>
    <row r="116" spans="4:4">
      <c r="D116" s="497"/>
    </row>
    <row r="117" spans="4:4">
      <c r="D117" s="497"/>
    </row>
    <row r="118" spans="4:4">
      <c r="D118" s="497"/>
    </row>
    <row r="119" spans="4:4">
      <c r="D119" s="497"/>
    </row>
    <row r="120" spans="4:4">
      <c r="D120" s="497"/>
    </row>
    <row r="121" spans="4:4">
      <c r="D121" s="497"/>
    </row>
    <row r="122" spans="4:4">
      <c r="D122" s="497"/>
    </row>
    <row r="123" spans="4:4">
      <c r="D123" s="497"/>
    </row>
    <row r="124" spans="4:4">
      <c r="D124" s="497"/>
    </row>
    <row r="125" spans="4:4">
      <c r="D125" s="497"/>
    </row>
    <row r="126" spans="4:4">
      <c r="D126" s="497"/>
    </row>
    <row r="127" spans="4:4">
      <c r="D127" s="497"/>
    </row>
    <row r="128" spans="4:4">
      <c r="D128" s="497"/>
    </row>
    <row r="129" spans="4:4">
      <c r="D129" s="497"/>
    </row>
    <row r="130" spans="4:4">
      <c r="D130" s="497"/>
    </row>
    <row r="131" spans="4:4">
      <c r="D131" s="497"/>
    </row>
    <row r="132" spans="4:4">
      <c r="D132" s="497"/>
    </row>
    <row r="133" spans="4:4">
      <c r="D133" s="497"/>
    </row>
    <row r="134" spans="4:4">
      <c r="D134" s="497"/>
    </row>
    <row r="135" spans="4:4">
      <c r="D135" s="497"/>
    </row>
    <row r="136" spans="4:4">
      <c r="D136" s="497"/>
    </row>
    <row r="137" spans="4:4">
      <c r="D137" s="497"/>
    </row>
    <row r="138" spans="4:4">
      <c r="D138" s="497"/>
    </row>
    <row r="139" spans="4:4">
      <c r="D139" s="497"/>
    </row>
    <row r="140" spans="4:4">
      <c r="D140" s="497"/>
    </row>
    <row r="141" spans="4:4">
      <c r="D141" s="497"/>
    </row>
    <row r="142" spans="4:4">
      <c r="D142" s="497"/>
    </row>
    <row r="143" spans="4:4">
      <c r="D143" s="497"/>
    </row>
    <row r="144" spans="4:4">
      <c r="D144" s="497"/>
    </row>
    <row r="145" spans="4:4">
      <c r="D145" s="497"/>
    </row>
    <row r="146" spans="4:4">
      <c r="D146" s="497"/>
    </row>
    <row r="147" spans="4:4">
      <c r="D147" s="497"/>
    </row>
    <row r="148" spans="4:4">
      <c r="D148" s="497"/>
    </row>
    <row r="149" spans="4:4">
      <c r="D149" s="497"/>
    </row>
    <row r="150" spans="4:4">
      <c r="D150" s="497"/>
    </row>
    <row r="151" spans="4:4">
      <c r="D151" s="497"/>
    </row>
    <row r="152" spans="4:4">
      <c r="D152" s="497"/>
    </row>
    <row r="153" spans="4:4">
      <c r="D153" s="497"/>
    </row>
    <row r="154" spans="4:4">
      <c r="D154" s="497"/>
    </row>
    <row r="155" spans="4:4">
      <c r="D155" s="497"/>
    </row>
    <row r="156" spans="4:4">
      <c r="D156" s="497"/>
    </row>
    <row r="157" spans="4:4">
      <c r="D157" s="497"/>
    </row>
    <row r="158" spans="4:4">
      <c r="D158" s="497"/>
    </row>
    <row r="159" spans="4:4">
      <c r="D159" s="497"/>
    </row>
    <row r="160" spans="4:4">
      <c r="D160" s="497"/>
    </row>
    <row r="161" spans="4:4">
      <c r="D161" s="497"/>
    </row>
    <row r="162" spans="4:4">
      <c r="D162" s="497"/>
    </row>
    <row r="163" spans="4:4">
      <c r="D163" s="497"/>
    </row>
    <row r="164" spans="4:4">
      <c r="D164" s="497"/>
    </row>
    <row r="165" spans="4:4">
      <c r="D165" s="497"/>
    </row>
    <row r="166" spans="4:4">
      <c r="D166" s="497"/>
    </row>
    <row r="167" spans="4:4">
      <c r="D167" s="497"/>
    </row>
    <row r="168" spans="4:4">
      <c r="D168" s="497"/>
    </row>
    <row r="169" spans="4:4">
      <c r="D169" s="497"/>
    </row>
    <row r="170" spans="4:4">
      <c r="D170" s="497"/>
    </row>
    <row r="171" spans="4:4">
      <c r="D171" s="497"/>
    </row>
    <row r="172" spans="4:4">
      <c r="D172" s="497"/>
    </row>
    <row r="173" spans="4:4">
      <c r="D173" s="497"/>
    </row>
    <row r="174" spans="4:4">
      <c r="D174" s="497"/>
    </row>
    <row r="175" spans="4:4">
      <c r="D175" s="497"/>
    </row>
    <row r="176" spans="4:4">
      <c r="D176" s="497"/>
    </row>
    <row r="177" spans="4:4">
      <c r="D177" s="497"/>
    </row>
    <row r="178" spans="4:4">
      <c r="D178" s="497"/>
    </row>
    <row r="179" spans="4:4">
      <c r="D179" s="497"/>
    </row>
    <row r="180" spans="4:4">
      <c r="D180" s="497"/>
    </row>
    <row r="181" spans="4:4">
      <c r="D181" s="497"/>
    </row>
    <row r="182" spans="4:4">
      <c r="D182" s="497"/>
    </row>
    <row r="183" spans="4:4">
      <c r="D183" s="497"/>
    </row>
    <row r="184" spans="4:4">
      <c r="D184" s="497"/>
    </row>
    <row r="185" spans="4:4">
      <c r="D185" s="497"/>
    </row>
    <row r="186" spans="4:4">
      <c r="D186" s="497"/>
    </row>
    <row r="187" spans="4:4">
      <c r="D187" s="497"/>
    </row>
    <row r="188" spans="4:4">
      <c r="D188" s="497"/>
    </row>
    <row r="189" spans="4:4">
      <c r="D189" s="497"/>
    </row>
    <row r="190" spans="4:4">
      <c r="D190" s="497"/>
    </row>
    <row r="191" spans="4:4">
      <c r="D191" s="497"/>
    </row>
    <row r="192" spans="4:4">
      <c r="D192" s="497"/>
    </row>
    <row r="193" spans="4:4">
      <c r="D193" s="497"/>
    </row>
    <row r="194" spans="4:4">
      <c r="D194" s="497"/>
    </row>
    <row r="195" spans="4:4">
      <c r="D195" s="497"/>
    </row>
    <row r="196" spans="4:4">
      <c r="D196" s="497"/>
    </row>
    <row r="197" spans="4:4">
      <c r="D197" s="497"/>
    </row>
    <row r="198" spans="4:4">
      <c r="D198" s="497"/>
    </row>
    <row r="199" spans="4:4">
      <c r="D199" s="497"/>
    </row>
    <row r="200" spans="4:4">
      <c r="D200" s="497"/>
    </row>
    <row r="201" spans="4:4">
      <c r="D201" s="497"/>
    </row>
    <row r="202" spans="4:4">
      <c r="D202" s="497"/>
    </row>
    <row r="203" spans="4:4">
      <c r="D203" s="497"/>
    </row>
    <row r="204" spans="4:4">
      <c r="D204" s="497"/>
    </row>
    <row r="205" spans="4:4">
      <c r="D205" s="497"/>
    </row>
    <row r="206" spans="4:4">
      <c r="D206" s="497"/>
    </row>
    <row r="207" spans="4:4">
      <c r="D207" s="497"/>
    </row>
    <row r="208" spans="4:4">
      <c r="D208" s="497"/>
    </row>
  </sheetData>
  <mergeCells count="17">
    <mergeCell ref="B17:D17"/>
    <mergeCell ref="B16:D16"/>
    <mergeCell ref="L5:L8"/>
    <mergeCell ref="H5:H8"/>
    <mergeCell ref="E5:E8"/>
    <mergeCell ref="F5:F8"/>
    <mergeCell ref="A10:J10"/>
    <mergeCell ref="A2:L2"/>
    <mergeCell ref="B3:K3"/>
    <mergeCell ref="A5:A8"/>
    <mergeCell ref="B5:B8"/>
    <mergeCell ref="C5:C8"/>
    <mergeCell ref="I5:I8"/>
    <mergeCell ref="J5:J8"/>
    <mergeCell ref="G5:G8"/>
    <mergeCell ref="D5:D8"/>
    <mergeCell ref="K5:K8"/>
  </mergeCells>
  <phoneticPr fontId="41" type="noConversion"/>
  <printOptions horizontalCentered="1"/>
  <pageMargins left="0.70866141732283472" right="0.70866141732283472" top="0.47244094488188981" bottom="0.43" header="0.31496062992125984" footer="0.43"/>
  <pageSetup paperSize="9" scale="80"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0">
    <tabColor rgb="FFFFFF00"/>
    <pageSetUpPr fitToPage="1"/>
  </sheetPr>
  <dimension ref="A1:H24"/>
  <sheetViews>
    <sheetView topLeftCell="A4" workbookViewId="0">
      <selection activeCell="B18" sqref="B18:F24"/>
    </sheetView>
  </sheetViews>
  <sheetFormatPr defaultColWidth="12.5546875" defaultRowHeight="13.8"/>
  <cols>
    <col min="1" max="1" width="4.5546875" style="101" customWidth="1"/>
    <col min="2" max="2" width="35" style="101" customWidth="1"/>
    <col min="3" max="3" width="14.33203125" style="101" customWidth="1"/>
    <col min="4" max="4" width="15.88671875" style="101" customWidth="1"/>
    <col min="5" max="5" width="14.44140625" style="101" customWidth="1"/>
    <col min="6" max="6" width="15.33203125" style="101" customWidth="1"/>
    <col min="7" max="7" width="24" style="101" customWidth="1"/>
    <col min="8" max="16384" width="12.5546875" style="101"/>
  </cols>
  <sheetData>
    <row r="1" spans="1:7">
      <c r="G1" s="271" t="s">
        <v>116</v>
      </c>
    </row>
    <row r="2" spans="1:7" ht="55.5" customHeight="1">
      <c r="A2" s="1050" t="str">
        <f>""&amp;(Шаблон!B1)&amp;"нинг "&amp;(Шаблон!B2)&amp;" шахар "&amp;(Шаблон!B3)&amp;" филиалида мижозлар ҳисобварақлари орқали амалга оширилган дебет айланма учун улар билан тузилган Банк ҳисобварақ шартномасида белгиланган                                                   фоиз ставкасидан кам ёки ортиқча фоиз ҳисобланган ҳолатлар бўйича"</f>
        <v>АТ "Халқ банк"нинг Фаргона вилояти шахар Бешариқ филиали филиалида мижозлар ҳисобварақлари орқали амалга оширилган дебет айланма учун улар билан тузилган Банк ҳисобварақ шартномасида белгиланган                                                   фоиз ставкасидан кам ёки ортиқча фоиз ҳисобланган ҳолатлар бўйича</v>
      </c>
      <c r="B2" s="1050"/>
      <c r="C2" s="1050"/>
      <c r="D2" s="1050"/>
      <c r="E2" s="1050"/>
      <c r="F2" s="1050"/>
      <c r="G2" s="1050"/>
    </row>
    <row r="3" spans="1:7">
      <c r="A3" s="102"/>
      <c r="D3" s="103" t="s">
        <v>355</v>
      </c>
    </row>
    <row r="4" spans="1:7" ht="14.4" thickBot="1">
      <c r="G4" s="271" t="s">
        <v>248</v>
      </c>
    </row>
    <row r="5" spans="1:7" ht="14.4" thickBot="1">
      <c r="A5" s="1051" t="s">
        <v>237</v>
      </c>
      <c r="B5" s="1054" t="s">
        <v>206</v>
      </c>
      <c r="C5" s="1057" t="s">
        <v>113</v>
      </c>
      <c r="D5" s="1058"/>
      <c r="E5" s="1058"/>
      <c r="F5" s="1059"/>
      <c r="G5" s="1060" t="s">
        <v>295</v>
      </c>
    </row>
    <row r="6" spans="1:7" ht="32.25" customHeight="1">
      <c r="A6" s="1052"/>
      <c r="B6" s="1055"/>
      <c r="C6" s="1062" t="s">
        <v>352</v>
      </c>
      <c r="D6" s="1048" t="s">
        <v>353</v>
      </c>
      <c r="E6" s="1048" t="s">
        <v>251</v>
      </c>
      <c r="F6" s="540" t="s">
        <v>354</v>
      </c>
      <c r="G6" s="1061"/>
    </row>
    <row r="7" spans="1:7" ht="14.4" thickBot="1">
      <c r="A7" s="1053"/>
      <c r="B7" s="1056"/>
      <c r="C7" s="1063"/>
      <c r="D7" s="1049"/>
      <c r="E7" s="1049"/>
      <c r="F7" s="544" t="s">
        <v>275</v>
      </c>
      <c r="G7" s="1061"/>
    </row>
    <row r="8" spans="1:7" s="157" customFormat="1" ht="10.199999999999999">
      <c r="A8" s="153" t="s">
        <v>208</v>
      </c>
      <c r="B8" s="154" t="s">
        <v>209</v>
      </c>
      <c r="C8" s="155">
        <v>1</v>
      </c>
      <c r="D8" s="155">
        <v>2</v>
      </c>
      <c r="E8" s="155">
        <v>3</v>
      </c>
      <c r="F8" s="155">
        <v>4</v>
      </c>
      <c r="G8" s="156">
        <v>5</v>
      </c>
    </row>
    <row r="9" spans="1:7" ht="21" customHeight="1">
      <c r="A9" s="110">
        <v>1</v>
      </c>
      <c r="B9" s="465" t="s">
        <v>909</v>
      </c>
      <c r="C9" s="580">
        <v>0.03</v>
      </c>
      <c r="D9" s="423">
        <f>(450000*3%)/1000</f>
        <v>13.5</v>
      </c>
      <c r="E9" s="423">
        <f>(450000*0.7%)/1000</f>
        <v>3.1499999999999995</v>
      </c>
      <c r="F9" s="629">
        <f t="shared" ref="F9:F14" si="0">+E9-D9</f>
        <v>-10.350000000000001</v>
      </c>
      <c r="G9" s="1046" t="s">
        <v>719</v>
      </c>
    </row>
    <row r="10" spans="1:7" ht="21" customHeight="1">
      <c r="A10" s="110">
        <f>+A9+1</f>
        <v>2</v>
      </c>
      <c r="B10" s="465" t="s">
        <v>910</v>
      </c>
      <c r="C10" s="580">
        <v>0.02</v>
      </c>
      <c r="D10" s="423">
        <f>(24894367.74*C10)/1000</f>
        <v>497.88735479999997</v>
      </c>
      <c r="E10" s="423">
        <f>(24894367.74*0.7%)/1000</f>
        <v>174.26057417999996</v>
      </c>
      <c r="F10" s="629">
        <f t="shared" si="0"/>
        <v>-323.62678061999998</v>
      </c>
      <c r="G10" s="1047"/>
    </row>
    <row r="11" spans="1:7" ht="21" customHeight="1">
      <c r="A11" s="110">
        <f>+A10+1</f>
        <v>3</v>
      </c>
      <c r="B11" s="465" t="s">
        <v>911</v>
      </c>
      <c r="C11" s="580">
        <v>0.01</v>
      </c>
      <c r="D11" s="423">
        <f>(10441439.13*C11)/1000</f>
        <v>104.41439130000002</v>
      </c>
      <c r="E11" s="423">
        <f>(10441439.13*0.7%)/1000</f>
        <v>73.090073909999987</v>
      </c>
      <c r="F11" s="629">
        <f t="shared" si="0"/>
        <v>-31.324317390000033</v>
      </c>
      <c r="G11" s="1047"/>
    </row>
    <row r="12" spans="1:7" ht="21" customHeight="1">
      <c r="A12" s="110">
        <v>4</v>
      </c>
      <c r="B12" s="465" t="s">
        <v>912</v>
      </c>
      <c r="C12" s="580">
        <v>0.03</v>
      </c>
      <c r="D12" s="423">
        <f>2682700*3%/1000</f>
        <v>80.480999999999995</v>
      </c>
      <c r="E12" s="423">
        <f>2682.7*0.7%</f>
        <v>18.778899999999997</v>
      </c>
      <c r="F12" s="629">
        <f t="shared" si="0"/>
        <v>-61.702100000000002</v>
      </c>
      <c r="G12" s="1047"/>
    </row>
    <row r="13" spans="1:7" ht="21" customHeight="1">
      <c r="A13" s="110">
        <v>5</v>
      </c>
      <c r="B13" s="465" t="s">
        <v>913</v>
      </c>
      <c r="C13" s="580">
        <v>0.02</v>
      </c>
      <c r="D13" s="423">
        <f>48291749.69*2%/1000</f>
        <v>965.83499379999989</v>
      </c>
      <c r="E13" s="423">
        <f>48291749.69*0.7%/1000</f>
        <v>338.04224782999995</v>
      </c>
      <c r="F13" s="629">
        <f t="shared" si="0"/>
        <v>-627.79274596999994</v>
      </c>
      <c r="G13" s="1047"/>
    </row>
    <row r="14" spans="1:7" ht="21" customHeight="1">
      <c r="A14" s="110">
        <v>6</v>
      </c>
      <c r="B14" s="465" t="s">
        <v>914</v>
      </c>
      <c r="C14" s="580">
        <v>0.03</v>
      </c>
      <c r="D14" s="423">
        <f>2809.2*3%</f>
        <v>84.275999999999996</v>
      </c>
      <c r="E14" s="423">
        <v>0</v>
      </c>
      <c r="F14" s="629">
        <f t="shared" si="0"/>
        <v>-84.275999999999996</v>
      </c>
      <c r="G14" s="1047"/>
    </row>
    <row r="15" spans="1:7" s="103" customFormat="1" ht="42" thickBot="1">
      <c r="A15" s="107" t="s">
        <v>915</v>
      </c>
      <c r="B15" s="108" t="s">
        <v>216</v>
      </c>
      <c r="C15" s="108"/>
      <c r="D15" s="586">
        <f>SUM(D9:D14)</f>
        <v>1746.3937398999999</v>
      </c>
      <c r="E15" s="586">
        <f>SUM(E9:E14)</f>
        <v>607.32179591999989</v>
      </c>
      <c r="F15" s="586">
        <f>SUM(F9:F14)</f>
        <v>-1139.07194398</v>
      </c>
      <c r="G15" s="109"/>
    </row>
    <row r="16" spans="1:7">
      <c r="A16" s="104"/>
      <c r="D16" s="106"/>
      <c r="E16" s="106"/>
      <c r="F16" s="106"/>
    </row>
    <row r="17" spans="1:8">
      <c r="A17" s="104"/>
    </row>
    <row r="18" spans="1:8">
      <c r="B18" s="6" t="str">
        <f>""&amp;(Шаблон!B1)&amp;"нинг Ички Аудит"</f>
        <v>АТ "Халқ банк"нинг Ички Аудит</v>
      </c>
      <c r="C18" s="1"/>
      <c r="D18" s="1"/>
      <c r="E18" s="1"/>
      <c r="F18" s="6"/>
      <c r="G18" s="27"/>
      <c r="H18" s="28"/>
    </row>
    <row r="19" spans="1:8">
      <c r="B19" s="6" t="s">
        <v>493</v>
      </c>
      <c r="C19" s="1"/>
      <c r="D19" s="1"/>
      <c r="E19" s="1"/>
      <c r="F19" s="6" t="str">
        <f>Шаблон!B13</f>
        <v>А.Ҳазратқулов</v>
      </c>
      <c r="G19" s="43"/>
    </row>
    <row r="20" spans="1:8">
      <c r="B20" s="6"/>
      <c r="C20" s="1"/>
      <c r="D20" s="1"/>
      <c r="E20" s="1"/>
      <c r="F20" s="6"/>
      <c r="G20" s="43"/>
    </row>
    <row r="21" spans="1:8">
      <c r="B21" s="6" t="str">
        <f>""&amp;(Шаблон!B1)&amp;" "&amp;(Шаблон!B2)&amp;" вилояти"</f>
        <v>АТ "Халқ банк" Фаргона вилояти вилояти</v>
      </c>
      <c r="C21" s="1"/>
      <c r="D21" s="1"/>
      <c r="E21" s="1"/>
      <c r="F21" s="1"/>
      <c r="G21" s="43"/>
    </row>
    <row r="22" spans="1:8">
      <c r="B22" s="6" t="str">
        <f>""&amp;(Шаблон!B3)&amp;" филиали бошқарувчиси:"</f>
        <v>Бешариқ филиали филиали бошқарувчиси:</v>
      </c>
      <c r="C22" s="1"/>
      <c r="D22" s="1"/>
      <c r="E22" s="1"/>
      <c r="F22" s="6" t="str">
        <f>Шаблон!B5</f>
        <v>_____________</v>
      </c>
      <c r="G22" s="27"/>
    </row>
    <row r="23" spans="1:8">
      <c r="B23" s="6"/>
      <c r="C23" s="1"/>
      <c r="D23" s="1"/>
      <c r="E23" s="1"/>
      <c r="F23" s="1"/>
      <c r="G23" s="27"/>
    </row>
    <row r="24" spans="1:8">
      <c r="B24" s="105" t="s">
        <v>323</v>
      </c>
      <c r="C24" s="1"/>
      <c r="D24" s="1"/>
      <c r="E24" s="1"/>
      <c r="F24" s="6" t="str">
        <f>Шаблон!B8</f>
        <v>_____________</v>
      </c>
      <c r="G24" s="27"/>
    </row>
  </sheetData>
  <mergeCells count="9">
    <mergeCell ref="G9:G14"/>
    <mergeCell ref="D6:D7"/>
    <mergeCell ref="E6:E7"/>
    <mergeCell ref="A2:G2"/>
    <mergeCell ref="A5:A7"/>
    <mergeCell ref="B5:B7"/>
    <mergeCell ref="C5:F5"/>
    <mergeCell ref="G5:G7"/>
    <mergeCell ref="C6:C7"/>
  </mergeCells>
  <phoneticPr fontId="0" type="noConversion"/>
  <printOptions horizontalCentered="1"/>
  <pageMargins left="0.78740157480314965" right="0.78740157480314965" top="0.98425196850393704" bottom="0.98425196850393704" header="0.51181102362204722" footer="0.51181102362204722"/>
  <pageSetup paperSize="9" scale="97" orientation="landscape"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rgb="FFFFFF00"/>
  </sheetPr>
  <dimension ref="A2:AY2020"/>
  <sheetViews>
    <sheetView topLeftCell="A2" workbookViewId="0">
      <pane xSplit="5" ySplit="3" topLeftCell="AK349" activePane="bottomRight" state="frozen"/>
      <selection activeCell="A2" sqref="A2"/>
      <selection pane="topRight" activeCell="F2" sqref="F2"/>
      <selection pane="bottomLeft" activeCell="A5" sqref="A5"/>
      <selection pane="bottomRight" activeCell="D395" sqref="D395"/>
    </sheetView>
  </sheetViews>
  <sheetFormatPr defaultColWidth="9.109375" defaultRowHeight="13.2"/>
  <cols>
    <col min="1" max="1" width="3.5546875" style="696" bestFit="1" customWidth="1"/>
    <col min="2" max="2" width="5" style="696" customWidth="1"/>
    <col min="3" max="3" width="7.44140625" style="696" customWidth="1"/>
    <col min="4" max="4" width="30.44140625" style="696" customWidth="1"/>
    <col min="5" max="5" width="9.6640625" style="696" customWidth="1"/>
    <col min="6" max="7" width="10" style="696" customWidth="1"/>
    <col min="8" max="8" width="9" style="696" customWidth="1"/>
    <col min="9" max="9" width="10" style="696" bestFit="1" customWidth="1"/>
    <col min="10" max="11" width="9.33203125" style="696" customWidth="1"/>
    <col min="12" max="13" width="8.6640625" style="696" customWidth="1"/>
    <col min="14" max="15" width="9.44140625" style="696" customWidth="1"/>
    <col min="16" max="17" width="9.109375" style="696" customWidth="1"/>
    <col min="18" max="19" width="9.33203125" style="696" customWidth="1"/>
    <col min="20" max="21" width="9.5546875" style="696" customWidth="1"/>
    <col min="22" max="23" width="8" style="696" customWidth="1"/>
    <col min="24" max="24" width="8" style="696" bestFit="1" customWidth="1"/>
    <col min="25" max="25" width="8" style="696" customWidth="1"/>
    <col min="26" max="27" width="9.6640625" style="696" customWidth="1"/>
    <col min="28" max="28" width="8" style="696" bestFit="1" customWidth="1"/>
    <col min="29" max="29" width="8" style="696" customWidth="1"/>
    <col min="30" max="31" width="9.44140625" style="696" customWidth="1"/>
    <col min="32" max="32" width="8" style="696" bestFit="1" customWidth="1"/>
    <col min="33" max="43" width="8" style="696" customWidth="1"/>
    <col min="44" max="44" width="8" style="696" bestFit="1" customWidth="1"/>
    <col min="45" max="45" width="8" style="696" customWidth="1"/>
    <col min="46" max="46" width="10.109375" style="696" customWidth="1"/>
    <col min="47" max="47" width="10.33203125" style="696" customWidth="1"/>
    <col min="48" max="48" width="10.5546875" style="696" bestFit="1" customWidth="1"/>
    <col min="49" max="49" width="7" style="696" bestFit="1" customWidth="1"/>
    <col min="50" max="50" width="9.109375" style="696"/>
    <col min="51" max="51" width="10" style="696" bestFit="1" customWidth="1"/>
    <col min="52" max="16384" width="9.109375" style="696"/>
  </cols>
  <sheetData>
    <row r="2" spans="1:51" ht="14.25" customHeight="1">
      <c r="C2" s="1064" t="s">
        <v>1110</v>
      </c>
      <c r="D2" s="1064"/>
      <c r="E2" s="1064"/>
      <c r="F2" s="1064"/>
      <c r="G2" s="1064"/>
      <c r="H2" s="1064"/>
      <c r="I2" s="1064"/>
      <c r="J2" s="1064"/>
      <c r="K2" s="1064"/>
      <c r="L2" s="1064"/>
      <c r="M2" s="1064"/>
      <c r="N2" s="1064"/>
      <c r="O2" s="1064"/>
      <c r="P2" s="1064"/>
      <c r="Q2" s="1064"/>
      <c r="R2" s="1064"/>
      <c r="S2" s="1064"/>
      <c r="T2" s="1064"/>
      <c r="U2" s="1064"/>
      <c r="V2" s="1064"/>
      <c r="W2" s="1064"/>
      <c r="X2" s="1064"/>
      <c r="Y2" s="1064"/>
      <c r="Z2" s="1064"/>
      <c r="AA2" s="1064"/>
      <c r="AB2" s="1064"/>
      <c r="AC2" s="1064"/>
      <c r="AD2" s="1064"/>
      <c r="AE2" s="1064"/>
      <c r="AF2" s="1064"/>
      <c r="AG2" s="710"/>
      <c r="AH2" s="710"/>
      <c r="AI2" s="710"/>
      <c r="AJ2" s="710"/>
      <c r="AK2" s="710"/>
      <c r="AL2" s="710"/>
      <c r="AM2" s="710"/>
      <c r="AN2" s="710"/>
      <c r="AO2" s="710"/>
      <c r="AP2" s="710"/>
      <c r="AQ2" s="710"/>
    </row>
    <row r="3" spans="1:51">
      <c r="C3" s="711"/>
    </row>
    <row r="4" spans="1:51" ht="52.8">
      <c r="A4" s="681" t="s">
        <v>245</v>
      </c>
      <c r="B4" s="681" t="s">
        <v>1047</v>
      </c>
      <c r="C4" s="681" t="s">
        <v>1048</v>
      </c>
      <c r="D4" s="681" t="s">
        <v>206</v>
      </c>
      <c r="E4" s="681" t="s">
        <v>216</v>
      </c>
      <c r="F4" s="681" t="s">
        <v>1033</v>
      </c>
      <c r="G4" s="681"/>
      <c r="H4" s="681" t="s">
        <v>1034</v>
      </c>
      <c r="I4" s="681"/>
      <c r="J4" s="681" t="s">
        <v>1035</v>
      </c>
      <c r="K4" s="681"/>
      <c r="L4" s="681" t="s">
        <v>1036</v>
      </c>
      <c r="M4" s="681"/>
      <c r="N4" s="681" t="s">
        <v>1037</v>
      </c>
      <c r="O4" s="681"/>
      <c r="P4" s="681" t="s">
        <v>1038</v>
      </c>
      <c r="Q4" s="681"/>
      <c r="R4" s="681" t="s">
        <v>1039</v>
      </c>
      <c r="S4" s="681"/>
      <c r="T4" s="681" t="s">
        <v>1040</v>
      </c>
      <c r="U4" s="681"/>
      <c r="V4" s="681" t="s">
        <v>1041</v>
      </c>
      <c r="W4" s="681"/>
      <c r="X4" s="681" t="s">
        <v>1042</v>
      </c>
      <c r="Y4" s="681"/>
      <c r="Z4" s="681" t="s">
        <v>1043</v>
      </c>
      <c r="AA4" s="681"/>
      <c r="AB4" s="681" t="s">
        <v>1044</v>
      </c>
      <c r="AC4" s="681"/>
      <c r="AD4" s="681" t="s">
        <v>1045</v>
      </c>
      <c r="AE4" s="681"/>
      <c r="AF4" s="681" t="s">
        <v>1034</v>
      </c>
      <c r="AG4" s="681"/>
      <c r="AH4" s="681" t="s">
        <v>1046</v>
      </c>
      <c r="AI4" s="681"/>
      <c r="AJ4" s="681" t="s">
        <v>1036</v>
      </c>
      <c r="AK4" s="681"/>
      <c r="AL4" s="681" t="s">
        <v>1037</v>
      </c>
      <c r="AM4" s="681"/>
      <c r="AN4" s="681" t="s">
        <v>1038</v>
      </c>
      <c r="AO4" s="681"/>
      <c r="AP4" s="681" t="s">
        <v>1039</v>
      </c>
      <c r="AQ4" s="681"/>
      <c r="AR4" s="681" t="s">
        <v>1040</v>
      </c>
      <c r="AS4" s="681"/>
      <c r="AT4" s="681" t="s">
        <v>1796</v>
      </c>
      <c r="AU4" s="681" t="s">
        <v>1051</v>
      </c>
      <c r="AV4" s="770" t="s">
        <v>2048</v>
      </c>
    </row>
    <row r="5" spans="1:51" hidden="1">
      <c r="A5" s="712">
        <v>1</v>
      </c>
      <c r="B5" s="713"/>
      <c r="C5" s="714" t="s">
        <v>1111</v>
      </c>
      <c r="D5" s="663" t="s">
        <v>1194</v>
      </c>
      <c r="E5" s="714">
        <f>+SUM(F5:AR5)</f>
        <v>450000</v>
      </c>
      <c r="F5" s="721">
        <v>50000</v>
      </c>
      <c r="G5" s="737"/>
      <c r="H5" s="680">
        <v>50000</v>
      </c>
      <c r="I5" s="680"/>
      <c r="J5" s="680">
        <v>50000</v>
      </c>
      <c r="K5" s="680"/>
      <c r="L5" s="680">
        <v>50000</v>
      </c>
      <c r="M5" s="680"/>
      <c r="N5" s="680">
        <v>50000</v>
      </c>
      <c r="O5" s="680"/>
      <c r="P5" s="680">
        <v>50000</v>
      </c>
      <c r="Q5" s="680"/>
      <c r="R5" s="680">
        <v>50000</v>
      </c>
      <c r="S5" s="680"/>
      <c r="T5" s="680">
        <v>50000</v>
      </c>
      <c r="U5" s="680"/>
      <c r="V5" s="680">
        <v>50000</v>
      </c>
      <c r="W5" s="680"/>
      <c r="X5" s="680">
        <v>0</v>
      </c>
      <c r="Y5" s="680"/>
      <c r="Z5" s="680">
        <v>0</v>
      </c>
      <c r="AA5" s="680"/>
      <c r="AB5" s="680">
        <v>0</v>
      </c>
      <c r="AC5" s="680"/>
      <c r="AD5" s="680">
        <v>0</v>
      </c>
      <c r="AE5" s="680"/>
      <c r="AF5" s="680">
        <v>0</v>
      </c>
      <c r="AG5" s="680"/>
      <c r="AH5" s="680"/>
      <c r="AI5" s="680"/>
      <c r="AJ5" s="680">
        <v>0</v>
      </c>
      <c r="AK5" s="680"/>
      <c r="AL5" s="680">
        <v>0</v>
      </c>
      <c r="AM5" s="680"/>
      <c r="AN5" s="680">
        <v>0</v>
      </c>
      <c r="AO5" s="680"/>
      <c r="AP5" s="680">
        <v>0</v>
      </c>
      <c r="AQ5" s="680"/>
      <c r="AR5" s="680">
        <v>0</v>
      </c>
      <c r="AS5" s="680"/>
      <c r="AT5" s="769">
        <f>+AS5+AQ5+AO5+AM5+AK5+AI5+AG5+AE5+AC5+AA5+Y5+W5+U5+S5+Q5+O5+M5+K5+I5+G5</f>
        <v>0</v>
      </c>
      <c r="AU5" s="677">
        <f>+E5-AT5</f>
        <v>450000</v>
      </c>
      <c r="AV5" s="769">
        <f>+AT5-AW5</f>
        <v>0</v>
      </c>
      <c r="AW5" s="696">
        <f t="shared" ref="AW5:AW68" si="0">SUMIF(AX:AX,C5,AY:AY)</f>
        <v>0</v>
      </c>
      <c r="AX5" s="696" t="s">
        <v>1130</v>
      </c>
      <c r="AY5" s="696">
        <v>40000</v>
      </c>
    </row>
    <row r="6" spans="1:51" s="725" customFormat="1" hidden="1">
      <c r="A6" s="738">
        <f>+A5+1</f>
        <v>2</v>
      </c>
      <c r="B6" s="716"/>
      <c r="C6" s="717" t="s">
        <v>1112</v>
      </c>
      <c r="D6" s="731" t="s">
        <v>1195</v>
      </c>
      <c r="E6" s="727">
        <f t="shared" ref="E6:E69" si="1">+SUM(F6:AR6)</f>
        <v>960000</v>
      </c>
      <c r="F6" s="739">
        <v>50000</v>
      </c>
      <c r="G6" s="740"/>
      <c r="H6" s="729">
        <v>50000</v>
      </c>
      <c r="I6" s="729"/>
      <c r="J6" s="729">
        <v>50000</v>
      </c>
      <c r="K6" s="729"/>
      <c r="L6" s="729">
        <v>50000</v>
      </c>
      <c r="M6" s="729"/>
      <c r="N6" s="729">
        <v>50000</v>
      </c>
      <c r="O6" s="729"/>
      <c r="P6" s="729">
        <v>50000</v>
      </c>
      <c r="Q6" s="729"/>
      <c r="R6" s="729">
        <v>50000</v>
      </c>
      <c r="S6" s="729"/>
      <c r="T6" s="729">
        <v>50000</v>
      </c>
      <c r="U6" s="729"/>
      <c r="V6" s="729">
        <v>50000</v>
      </c>
      <c r="W6" s="729"/>
      <c r="X6" s="729">
        <v>50000</v>
      </c>
      <c r="Y6" s="729"/>
      <c r="Z6" s="729">
        <v>50000</v>
      </c>
      <c r="AA6" s="729"/>
      <c r="AB6" s="729">
        <v>50000</v>
      </c>
      <c r="AC6" s="729"/>
      <c r="AD6" s="729">
        <v>150000</v>
      </c>
      <c r="AE6" s="729"/>
      <c r="AF6" s="729">
        <v>50000</v>
      </c>
      <c r="AG6" s="729"/>
      <c r="AH6" s="741">
        <v>0</v>
      </c>
      <c r="AI6" s="741"/>
      <c r="AJ6" s="741">
        <v>0</v>
      </c>
      <c r="AK6" s="741"/>
      <c r="AL6" s="729">
        <v>40000</v>
      </c>
      <c r="AM6" s="729"/>
      <c r="AN6" s="729">
        <v>40000</v>
      </c>
      <c r="AO6" s="729"/>
      <c r="AP6" s="729">
        <v>40000</v>
      </c>
      <c r="AQ6" s="729"/>
      <c r="AR6" s="729">
        <v>40000</v>
      </c>
      <c r="AS6" s="729"/>
      <c r="AT6" s="769">
        <f t="shared" ref="AT6:AT69" si="2">+AS6+AQ6+AO6+AM6+AK6+AI6+AG6+AE6+AC6+AA6+Y6+W6+U6+S6+Q6+O6+M6+K6+I6+G6</f>
        <v>0</v>
      </c>
      <c r="AU6" s="729">
        <f t="shared" ref="AU6:AU69" si="3">+E6-AT6</f>
        <v>960000</v>
      </c>
      <c r="AV6" s="769">
        <f t="shared" ref="AV6:AV69" si="4">+AT6-AW6</f>
        <v>0</v>
      </c>
      <c r="AW6" s="725">
        <f t="shared" si="0"/>
        <v>0</v>
      </c>
      <c r="AX6" s="725" t="s">
        <v>1174</v>
      </c>
      <c r="AY6" s="696">
        <v>40000</v>
      </c>
    </row>
    <row r="7" spans="1:51" s="725" customFormat="1" hidden="1">
      <c r="A7" s="738">
        <f t="shared" ref="A7:A70" si="5">+A6+1</f>
        <v>3</v>
      </c>
      <c r="B7" s="716"/>
      <c r="C7" s="717" t="s">
        <v>1113</v>
      </c>
      <c r="D7" s="731" t="s">
        <v>1196</v>
      </c>
      <c r="E7" s="727">
        <f t="shared" si="1"/>
        <v>1010000</v>
      </c>
      <c r="F7" s="739">
        <v>50000</v>
      </c>
      <c r="G7" s="740"/>
      <c r="H7" s="729">
        <v>50000</v>
      </c>
      <c r="I7" s="729"/>
      <c r="J7" s="729">
        <v>50000</v>
      </c>
      <c r="K7" s="729"/>
      <c r="L7" s="729">
        <v>50000</v>
      </c>
      <c r="M7" s="729"/>
      <c r="N7" s="729">
        <v>50000</v>
      </c>
      <c r="O7" s="729"/>
      <c r="P7" s="729">
        <v>50000</v>
      </c>
      <c r="Q7" s="729"/>
      <c r="R7" s="729">
        <v>50000</v>
      </c>
      <c r="S7" s="729"/>
      <c r="T7" s="729">
        <v>50000</v>
      </c>
      <c r="U7" s="729"/>
      <c r="V7" s="729">
        <v>50000</v>
      </c>
      <c r="W7" s="729"/>
      <c r="X7" s="729">
        <v>50000</v>
      </c>
      <c r="Y7" s="729"/>
      <c r="Z7" s="729">
        <v>50000</v>
      </c>
      <c r="AA7" s="729"/>
      <c r="AB7" s="729">
        <v>50000</v>
      </c>
      <c r="AC7" s="729"/>
      <c r="AD7" s="729">
        <v>150000</v>
      </c>
      <c r="AE7" s="729"/>
      <c r="AF7" s="729">
        <v>50000</v>
      </c>
      <c r="AG7" s="729"/>
      <c r="AH7" s="741">
        <v>0</v>
      </c>
      <c r="AI7" s="741"/>
      <c r="AJ7" s="729">
        <v>50000</v>
      </c>
      <c r="AK7" s="729"/>
      <c r="AL7" s="729">
        <v>40000</v>
      </c>
      <c r="AM7" s="729"/>
      <c r="AN7" s="729">
        <v>40000</v>
      </c>
      <c r="AO7" s="729"/>
      <c r="AP7" s="729">
        <v>40000</v>
      </c>
      <c r="AQ7" s="729"/>
      <c r="AR7" s="729">
        <v>40000</v>
      </c>
      <c r="AS7" s="729"/>
      <c r="AT7" s="769">
        <f t="shared" si="2"/>
        <v>0</v>
      </c>
      <c r="AU7" s="729">
        <f t="shared" si="3"/>
        <v>1010000</v>
      </c>
      <c r="AV7" s="769">
        <f t="shared" si="4"/>
        <v>0</v>
      </c>
      <c r="AW7" s="725">
        <f t="shared" si="0"/>
        <v>0</v>
      </c>
      <c r="AX7" s="725" t="s">
        <v>1316</v>
      </c>
      <c r="AY7" s="696">
        <v>40000</v>
      </c>
    </row>
    <row r="8" spans="1:51" s="725" customFormat="1" hidden="1">
      <c r="A8" s="738">
        <f t="shared" si="5"/>
        <v>4</v>
      </c>
      <c r="B8" s="716"/>
      <c r="C8" s="717" t="s">
        <v>1114</v>
      </c>
      <c r="D8" s="731" t="s">
        <v>1197</v>
      </c>
      <c r="E8" s="727">
        <f t="shared" si="1"/>
        <v>970000</v>
      </c>
      <c r="F8" s="739">
        <v>50000</v>
      </c>
      <c r="G8" s="740"/>
      <c r="H8" s="729">
        <v>50000</v>
      </c>
      <c r="I8" s="729"/>
      <c r="J8" s="729">
        <v>50000</v>
      </c>
      <c r="K8" s="729"/>
      <c r="L8" s="729">
        <v>50000</v>
      </c>
      <c r="M8" s="729"/>
      <c r="N8" s="729">
        <v>50000</v>
      </c>
      <c r="O8" s="729"/>
      <c r="P8" s="729">
        <v>50000</v>
      </c>
      <c r="Q8" s="729"/>
      <c r="R8" s="729">
        <v>50000</v>
      </c>
      <c r="S8" s="729"/>
      <c r="T8" s="729">
        <v>50000</v>
      </c>
      <c r="U8" s="729"/>
      <c r="V8" s="729">
        <v>50000</v>
      </c>
      <c r="W8" s="729"/>
      <c r="X8" s="729">
        <v>50000</v>
      </c>
      <c r="Y8" s="729"/>
      <c r="Z8" s="729">
        <v>50000</v>
      </c>
      <c r="AA8" s="729"/>
      <c r="AB8" s="729">
        <v>50000</v>
      </c>
      <c r="AC8" s="729"/>
      <c r="AD8" s="729">
        <v>150000</v>
      </c>
      <c r="AE8" s="729"/>
      <c r="AF8" s="729">
        <v>50000</v>
      </c>
      <c r="AG8" s="729"/>
      <c r="AH8" s="729">
        <v>0</v>
      </c>
      <c r="AI8" s="729"/>
      <c r="AJ8" s="729">
        <v>50000</v>
      </c>
      <c r="AK8" s="729"/>
      <c r="AL8" s="729">
        <v>40000</v>
      </c>
      <c r="AM8" s="729"/>
      <c r="AN8" s="729">
        <v>40000</v>
      </c>
      <c r="AO8" s="729"/>
      <c r="AP8" s="729">
        <v>40000</v>
      </c>
      <c r="AQ8" s="729"/>
      <c r="AR8" s="729">
        <v>0</v>
      </c>
      <c r="AS8" s="729"/>
      <c r="AT8" s="769">
        <f t="shared" si="2"/>
        <v>0</v>
      </c>
      <c r="AU8" s="729">
        <f t="shared" si="3"/>
        <v>970000</v>
      </c>
      <c r="AV8" s="769">
        <f t="shared" si="4"/>
        <v>0</v>
      </c>
      <c r="AW8" s="725">
        <f t="shared" si="0"/>
        <v>0</v>
      </c>
      <c r="AX8" s="725" t="s">
        <v>1881</v>
      </c>
      <c r="AY8" s="696">
        <v>40000</v>
      </c>
    </row>
    <row r="9" spans="1:51" s="725" customFormat="1" hidden="1">
      <c r="A9" s="738">
        <f t="shared" si="5"/>
        <v>5</v>
      </c>
      <c r="B9" s="716"/>
      <c r="C9" s="717" t="s">
        <v>1115</v>
      </c>
      <c r="D9" s="731" t="s">
        <v>1198</v>
      </c>
      <c r="E9" s="727">
        <f t="shared" si="1"/>
        <v>350000</v>
      </c>
      <c r="F9" s="739">
        <v>50000</v>
      </c>
      <c r="G9" s="740"/>
      <c r="H9" s="729">
        <v>50000</v>
      </c>
      <c r="I9" s="729"/>
      <c r="J9" s="729">
        <v>50000</v>
      </c>
      <c r="K9" s="729"/>
      <c r="L9" s="729">
        <v>50000</v>
      </c>
      <c r="M9" s="729"/>
      <c r="N9" s="729">
        <v>0</v>
      </c>
      <c r="O9" s="729"/>
      <c r="P9" s="729">
        <v>50000</v>
      </c>
      <c r="Q9" s="729"/>
      <c r="R9" s="729">
        <v>50000</v>
      </c>
      <c r="S9" s="729"/>
      <c r="T9" s="729">
        <v>50000</v>
      </c>
      <c r="U9" s="729"/>
      <c r="V9" s="729">
        <v>0</v>
      </c>
      <c r="W9" s="729"/>
      <c r="X9" s="729">
        <v>0</v>
      </c>
      <c r="Y9" s="729"/>
      <c r="Z9" s="729">
        <v>0</v>
      </c>
      <c r="AA9" s="729"/>
      <c r="AB9" s="729">
        <v>0</v>
      </c>
      <c r="AC9" s="729"/>
      <c r="AD9" s="729">
        <v>0</v>
      </c>
      <c r="AE9" s="729"/>
      <c r="AF9" s="729">
        <v>0</v>
      </c>
      <c r="AG9" s="729"/>
      <c r="AH9" s="729"/>
      <c r="AI9" s="729"/>
      <c r="AJ9" s="729">
        <v>0</v>
      </c>
      <c r="AK9" s="729"/>
      <c r="AL9" s="729">
        <v>0</v>
      </c>
      <c r="AM9" s="729"/>
      <c r="AN9" s="729">
        <v>0</v>
      </c>
      <c r="AO9" s="729"/>
      <c r="AP9" s="729">
        <v>0</v>
      </c>
      <c r="AQ9" s="729"/>
      <c r="AR9" s="729">
        <v>0</v>
      </c>
      <c r="AS9" s="729"/>
      <c r="AT9" s="769">
        <f t="shared" si="2"/>
        <v>0</v>
      </c>
      <c r="AU9" s="729">
        <f t="shared" si="3"/>
        <v>350000</v>
      </c>
      <c r="AV9" s="769">
        <f t="shared" si="4"/>
        <v>0</v>
      </c>
      <c r="AW9" s="725">
        <f t="shared" si="0"/>
        <v>0</v>
      </c>
      <c r="AX9" s="725" t="s">
        <v>1931</v>
      </c>
      <c r="AY9" s="696">
        <v>40000</v>
      </c>
    </row>
    <row r="10" spans="1:51" s="725" customFormat="1" hidden="1">
      <c r="A10" s="738">
        <f t="shared" si="5"/>
        <v>6</v>
      </c>
      <c r="B10" s="716"/>
      <c r="C10" s="717" t="s">
        <v>1116</v>
      </c>
      <c r="D10" s="731" t="s">
        <v>1199</v>
      </c>
      <c r="E10" s="727">
        <f t="shared" si="1"/>
        <v>400000</v>
      </c>
      <c r="F10" s="739">
        <v>50000</v>
      </c>
      <c r="G10" s="740"/>
      <c r="H10" s="729">
        <v>50000</v>
      </c>
      <c r="I10" s="729"/>
      <c r="J10" s="729">
        <v>50000</v>
      </c>
      <c r="K10" s="729"/>
      <c r="L10" s="729">
        <v>50000</v>
      </c>
      <c r="M10" s="729"/>
      <c r="N10" s="729">
        <v>50000</v>
      </c>
      <c r="O10" s="729"/>
      <c r="P10" s="729">
        <v>50000</v>
      </c>
      <c r="Q10" s="729"/>
      <c r="R10" s="729">
        <v>50000</v>
      </c>
      <c r="S10" s="729"/>
      <c r="T10" s="729">
        <v>50000</v>
      </c>
      <c r="U10" s="729"/>
      <c r="V10" s="729">
        <v>0</v>
      </c>
      <c r="W10" s="729"/>
      <c r="X10" s="729">
        <v>0</v>
      </c>
      <c r="Y10" s="729"/>
      <c r="Z10" s="729">
        <v>0</v>
      </c>
      <c r="AA10" s="729"/>
      <c r="AB10" s="729">
        <v>0</v>
      </c>
      <c r="AC10" s="729"/>
      <c r="AD10" s="729">
        <v>0</v>
      </c>
      <c r="AE10" s="729"/>
      <c r="AF10" s="729">
        <v>0</v>
      </c>
      <c r="AG10" s="729"/>
      <c r="AH10" s="729"/>
      <c r="AI10" s="729"/>
      <c r="AJ10" s="729">
        <v>0</v>
      </c>
      <c r="AK10" s="729"/>
      <c r="AL10" s="729">
        <v>0</v>
      </c>
      <c r="AM10" s="729"/>
      <c r="AN10" s="729">
        <v>0</v>
      </c>
      <c r="AO10" s="729"/>
      <c r="AP10" s="729">
        <v>0</v>
      </c>
      <c r="AQ10" s="729"/>
      <c r="AR10" s="729">
        <v>0</v>
      </c>
      <c r="AS10" s="729"/>
      <c r="AT10" s="769">
        <f t="shared" si="2"/>
        <v>0</v>
      </c>
      <c r="AU10" s="729">
        <f t="shared" si="3"/>
        <v>400000</v>
      </c>
      <c r="AV10" s="769">
        <f t="shared" si="4"/>
        <v>0</v>
      </c>
      <c r="AW10" s="725">
        <f t="shared" si="0"/>
        <v>0</v>
      </c>
      <c r="AX10" s="725" t="s">
        <v>1934</v>
      </c>
      <c r="AY10" s="696">
        <v>40000</v>
      </c>
    </row>
    <row r="11" spans="1:51" s="725" customFormat="1" hidden="1">
      <c r="A11" s="738">
        <f t="shared" si="5"/>
        <v>7</v>
      </c>
      <c r="B11" s="716"/>
      <c r="C11" s="717" t="s">
        <v>1117</v>
      </c>
      <c r="D11" s="731" t="s">
        <v>1200</v>
      </c>
      <c r="E11" s="727">
        <f t="shared" si="1"/>
        <v>960000</v>
      </c>
      <c r="F11" s="739">
        <v>50000</v>
      </c>
      <c r="G11" s="740"/>
      <c r="H11" s="729">
        <v>50000</v>
      </c>
      <c r="I11" s="729"/>
      <c r="J11" s="729">
        <v>50000</v>
      </c>
      <c r="K11" s="729"/>
      <c r="L11" s="729">
        <v>50000</v>
      </c>
      <c r="M11" s="729"/>
      <c r="N11" s="729">
        <v>50000</v>
      </c>
      <c r="O11" s="729"/>
      <c r="P11" s="729">
        <v>50000</v>
      </c>
      <c r="Q11" s="729"/>
      <c r="R11" s="729">
        <v>50000</v>
      </c>
      <c r="S11" s="729"/>
      <c r="T11" s="729">
        <v>50000</v>
      </c>
      <c r="U11" s="729"/>
      <c r="V11" s="729">
        <v>50000</v>
      </c>
      <c r="W11" s="729"/>
      <c r="X11" s="729">
        <v>50000</v>
      </c>
      <c r="Y11" s="729"/>
      <c r="Z11" s="729">
        <v>50000</v>
      </c>
      <c r="AA11" s="729"/>
      <c r="AB11" s="729">
        <v>50000</v>
      </c>
      <c r="AC11" s="729"/>
      <c r="AD11" s="729">
        <v>150000</v>
      </c>
      <c r="AE11" s="729"/>
      <c r="AF11" s="729">
        <v>50000</v>
      </c>
      <c r="AG11" s="729"/>
      <c r="AH11" s="741">
        <v>0</v>
      </c>
      <c r="AI11" s="741"/>
      <c r="AJ11" s="741">
        <v>0</v>
      </c>
      <c r="AK11" s="741"/>
      <c r="AL11" s="729">
        <v>40000</v>
      </c>
      <c r="AM11" s="729"/>
      <c r="AN11" s="729">
        <v>40000</v>
      </c>
      <c r="AO11" s="729"/>
      <c r="AP11" s="729">
        <v>40000</v>
      </c>
      <c r="AQ11" s="729"/>
      <c r="AR11" s="729">
        <v>40000</v>
      </c>
      <c r="AS11" s="729"/>
      <c r="AT11" s="769">
        <f t="shared" si="2"/>
        <v>0</v>
      </c>
      <c r="AU11" s="729">
        <f t="shared" si="3"/>
        <v>960000</v>
      </c>
      <c r="AV11" s="769">
        <f t="shared" si="4"/>
        <v>0</v>
      </c>
      <c r="AW11" s="725">
        <f t="shared" si="0"/>
        <v>0</v>
      </c>
      <c r="AX11" s="725" t="s">
        <v>1122</v>
      </c>
      <c r="AY11" s="696">
        <v>50000</v>
      </c>
    </row>
    <row r="12" spans="1:51" s="725" customFormat="1">
      <c r="A12" s="738">
        <f t="shared" si="5"/>
        <v>8</v>
      </c>
      <c r="B12" s="716"/>
      <c r="C12" s="717" t="s">
        <v>1118</v>
      </c>
      <c r="D12" s="731" t="s">
        <v>1201</v>
      </c>
      <c r="E12" s="727">
        <f t="shared" si="1"/>
        <v>400000</v>
      </c>
      <c r="F12" s="739">
        <v>50000</v>
      </c>
      <c r="G12" s="740"/>
      <c r="H12" s="729">
        <v>50000</v>
      </c>
      <c r="I12" s="729"/>
      <c r="J12" s="729">
        <v>50000</v>
      </c>
      <c r="K12" s="729"/>
      <c r="L12" s="729">
        <v>50000</v>
      </c>
      <c r="M12" s="729"/>
      <c r="N12" s="729">
        <v>50000</v>
      </c>
      <c r="O12" s="729"/>
      <c r="P12" s="729">
        <v>50000</v>
      </c>
      <c r="Q12" s="729"/>
      <c r="R12" s="729">
        <v>50000</v>
      </c>
      <c r="S12" s="729"/>
      <c r="T12" s="729">
        <v>0</v>
      </c>
      <c r="U12" s="729"/>
      <c r="V12" s="729">
        <v>0</v>
      </c>
      <c r="W12" s="729"/>
      <c r="X12" s="729">
        <v>0</v>
      </c>
      <c r="Y12" s="729"/>
      <c r="Z12" s="729">
        <v>0</v>
      </c>
      <c r="AA12" s="729"/>
      <c r="AB12" s="729">
        <v>0</v>
      </c>
      <c r="AC12" s="729"/>
      <c r="AD12" s="741">
        <v>0</v>
      </c>
      <c r="AE12" s="741">
        <v>50000</v>
      </c>
      <c r="AF12" s="729">
        <v>0</v>
      </c>
      <c r="AG12" s="729"/>
      <c r="AH12" s="729"/>
      <c r="AI12" s="729"/>
      <c r="AJ12" s="729">
        <v>0</v>
      </c>
      <c r="AK12" s="729"/>
      <c r="AL12" s="729">
        <v>0</v>
      </c>
      <c r="AM12" s="729"/>
      <c r="AN12" s="729">
        <v>0</v>
      </c>
      <c r="AO12" s="729"/>
      <c r="AP12" s="729">
        <v>0</v>
      </c>
      <c r="AQ12" s="729"/>
      <c r="AR12" s="729">
        <v>0</v>
      </c>
      <c r="AS12" s="729"/>
      <c r="AT12" s="769">
        <f t="shared" si="2"/>
        <v>50000</v>
      </c>
      <c r="AU12" s="729">
        <f t="shared" si="3"/>
        <v>350000</v>
      </c>
      <c r="AV12" s="771">
        <f t="shared" si="4"/>
        <v>50000</v>
      </c>
      <c r="AW12" s="725">
        <f t="shared" si="0"/>
        <v>0</v>
      </c>
      <c r="AX12" s="725" t="s">
        <v>1127</v>
      </c>
      <c r="AY12" s="696">
        <v>50000</v>
      </c>
    </row>
    <row r="13" spans="1:51" s="725" customFormat="1" hidden="1">
      <c r="A13" s="738">
        <f t="shared" si="5"/>
        <v>9</v>
      </c>
      <c r="B13" s="716"/>
      <c r="C13" s="717" t="s">
        <v>1119</v>
      </c>
      <c r="D13" s="731" t="s">
        <v>1202</v>
      </c>
      <c r="E13" s="727">
        <f t="shared" si="1"/>
        <v>960000</v>
      </c>
      <c r="F13" s="739">
        <v>50000</v>
      </c>
      <c r="G13" s="740"/>
      <c r="H13" s="729">
        <v>50000</v>
      </c>
      <c r="I13" s="729"/>
      <c r="J13" s="729">
        <v>50000</v>
      </c>
      <c r="K13" s="729"/>
      <c r="L13" s="729">
        <v>50000</v>
      </c>
      <c r="M13" s="729"/>
      <c r="N13" s="729">
        <v>50000</v>
      </c>
      <c r="O13" s="729"/>
      <c r="P13" s="729">
        <v>50000</v>
      </c>
      <c r="Q13" s="729"/>
      <c r="R13" s="729">
        <v>50000</v>
      </c>
      <c r="S13" s="729"/>
      <c r="T13" s="729">
        <v>50000</v>
      </c>
      <c r="U13" s="729"/>
      <c r="V13" s="729">
        <v>50000</v>
      </c>
      <c r="W13" s="729"/>
      <c r="X13" s="729">
        <v>50000</v>
      </c>
      <c r="Y13" s="729"/>
      <c r="Z13" s="729">
        <v>50000</v>
      </c>
      <c r="AA13" s="729"/>
      <c r="AB13" s="729">
        <v>50000</v>
      </c>
      <c r="AC13" s="729"/>
      <c r="AD13" s="729">
        <v>150000</v>
      </c>
      <c r="AE13" s="729"/>
      <c r="AF13" s="729">
        <v>50000</v>
      </c>
      <c r="AG13" s="729"/>
      <c r="AH13" s="741">
        <v>0</v>
      </c>
      <c r="AI13" s="741"/>
      <c r="AJ13" s="741">
        <v>0</v>
      </c>
      <c r="AK13" s="741"/>
      <c r="AL13" s="729">
        <v>40000</v>
      </c>
      <c r="AM13" s="729"/>
      <c r="AN13" s="729">
        <v>40000</v>
      </c>
      <c r="AO13" s="729"/>
      <c r="AP13" s="729">
        <v>40000</v>
      </c>
      <c r="AQ13" s="729"/>
      <c r="AR13" s="729">
        <v>40000</v>
      </c>
      <c r="AS13" s="729"/>
      <c r="AT13" s="769">
        <f t="shared" si="2"/>
        <v>0</v>
      </c>
      <c r="AU13" s="729">
        <f t="shared" si="3"/>
        <v>960000</v>
      </c>
      <c r="AV13" s="769">
        <f t="shared" si="4"/>
        <v>0</v>
      </c>
      <c r="AW13" s="725">
        <f t="shared" si="0"/>
        <v>0</v>
      </c>
      <c r="AX13" s="725" t="s">
        <v>1131</v>
      </c>
      <c r="AY13" s="696">
        <v>50000</v>
      </c>
    </row>
    <row r="14" spans="1:51" s="725" customFormat="1">
      <c r="A14" s="738">
        <f t="shared" si="5"/>
        <v>10</v>
      </c>
      <c r="B14" s="716"/>
      <c r="C14" s="717" t="s">
        <v>1120</v>
      </c>
      <c r="D14" s="731" t="s">
        <v>2031</v>
      </c>
      <c r="E14" s="727">
        <f t="shared" si="1"/>
        <v>550000</v>
      </c>
      <c r="F14" s="739">
        <v>50000</v>
      </c>
      <c r="G14" s="740"/>
      <c r="H14" s="729">
        <v>50000</v>
      </c>
      <c r="I14" s="729"/>
      <c r="J14" s="729">
        <v>50000</v>
      </c>
      <c r="K14" s="729"/>
      <c r="L14" s="729">
        <v>50000</v>
      </c>
      <c r="M14" s="729"/>
      <c r="N14" s="729">
        <v>50000</v>
      </c>
      <c r="O14" s="729"/>
      <c r="P14" s="729">
        <v>50000</v>
      </c>
      <c r="Q14" s="729"/>
      <c r="R14" s="729">
        <v>50000</v>
      </c>
      <c r="S14" s="729"/>
      <c r="T14" s="729">
        <v>50000</v>
      </c>
      <c r="U14" s="729"/>
      <c r="V14" s="729">
        <v>0</v>
      </c>
      <c r="W14" s="729"/>
      <c r="X14" s="729">
        <v>0</v>
      </c>
      <c r="Y14" s="729"/>
      <c r="Z14" s="729">
        <v>50000</v>
      </c>
      <c r="AA14" s="729"/>
      <c r="AB14" s="729">
        <v>0</v>
      </c>
      <c r="AC14" s="729"/>
      <c r="AD14" s="741">
        <v>0</v>
      </c>
      <c r="AE14" s="741">
        <v>50000</v>
      </c>
      <c r="AF14" s="741">
        <v>0</v>
      </c>
      <c r="AG14" s="741">
        <v>50000</v>
      </c>
      <c r="AH14" s="729"/>
      <c r="AI14" s="729"/>
      <c r="AJ14" s="729">
        <v>0</v>
      </c>
      <c r="AK14" s="729"/>
      <c r="AL14" s="729">
        <v>0</v>
      </c>
      <c r="AM14" s="729"/>
      <c r="AN14" s="729">
        <v>0</v>
      </c>
      <c r="AO14" s="729"/>
      <c r="AP14" s="729">
        <v>0</v>
      </c>
      <c r="AQ14" s="729"/>
      <c r="AR14" s="729">
        <v>0</v>
      </c>
      <c r="AS14" s="729"/>
      <c r="AT14" s="769">
        <f t="shared" si="2"/>
        <v>100000</v>
      </c>
      <c r="AU14" s="729">
        <f t="shared" si="3"/>
        <v>450000</v>
      </c>
      <c r="AV14" s="771">
        <f t="shared" si="4"/>
        <v>100000</v>
      </c>
      <c r="AW14" s="725">
        <f t="shared" si="0"/>
        <v>0</v>
      </c>
      <c r="AX14" s="725" t="s">
        <v>1138</v>
      </c>
      <c r="AY14" s="696">
        <v>50000</v>
      </c>
    </row>
    <row r="15" spans="1:51" s="752" customFormat="1">
      <c r="A15" s="743">
        <f t="shared" si="5"/>
        <v>11</v>
      </c>
      <c r="B15" s="744"/>
      <c r="C15" s="745" t="s">
        <v>1121</v>
      </c>
      <c r="D15" s="746" t="s">
        <v>1203</v>
      </c>
      <c r="E15" s="747">
        <f t="shared" si="1"/>
        <v>400000</v>
      </c>
      <c r="F15" s="748">
        <v>50000</v>
      </c>
      <c r="G15" s="749"/>
      <c r="H15" s="750">
        <v>50000</v>
      </c>
      <c r="I15" s="750"/>
      <c r="J15" s="750">
        <v>50000</v>
      </c>
      <c r="K15" s="750"/>
      <c r="L15" s="750">
        <v>50000</v>
      </c>
      <c r="M15" s="750"/>
      <c r="N15" s="750">
        <v>50000</v>
      </c>
      <c r="O15" s="750"/>
      <c r="P15" s="750">
        <v>50000</v>
      </c>
      <c r="Q15" s="750"/>
      <c r="R15" s="751">
        <v>0</v>
      </c>
      <c r="S15" s="751">
        <v>50000</v>
      </c>
      <c r="T15" s="750">
        <v>0</v>
      </c>
      <c r="U15" s="750"/>
      <c r="V15" s="750">
        <v>0</v>
      </c>
      <c r="W15" s="750"/>
      <c r="X15" s="750">
        <v>0</v>
      </c>
      <c r="Y15" s="750"/>
      <c r="Z15" s="750">
        <v>50000</v>
      </c>
      <c r="AA15" s="750"/>
      <c r="AB15" s="750">
        <v>0</v>
      </c>
      <c r="AC15" s="750"/>
      <c r="AD15" s="750">
        <v>0</v>
      </c>
      <c r="AE15" s="750"/>
      <c r="AF15" s="751">
        <v>0</v>
      </c>
      <c r="AG15" s="751"/>
      <c r="AH15" s="750"/>
      <c r="AI15" s="750"/>
      <c r="AJ15" s="750">
        <v>0</v>
      </c>
      <c r="AK15" s="750"/>
      <c r="AL15" s="750">
        <v>0</v>
      </c>
      <c r="AM15" s="750"/>
      <c r="AN15" s="750">
        <v>0</v>
      </c>
      <c r="AO15" s="750"/>
      <c r="AP15" s="750">
        <v>0</v>
      </c>
      <c r="AQ15" s="750"/>
      <c r="AR15" s="750">
        <v>0</v>
      </c>
      <c r="AS15" s="750"/>
      <c r="AT15" s="769">
        <f t="shared" si="2"/>
        <v>50000</v>
      </c>
      <c r="AU15" s="750">
        <f t="shared" si="3"/>
        <v>350000</v>
      </c>
      <c r="AV15" s="771">
        <f t="shared" si="4"/>
        <v>50000</v>
      </c>
      <c r="AW15" s="752">
        <f t="shared" si="0"/>
        <v>0</v>
      </c>
      <c r="AX15" s="752" t="s">
        <v>1139</v>
      </c>
      <c r="AY15" s="696">
        <v>50000</v>
      </c>
    </row>
    <row r="16" spans="1:51" s="752" customFormat="1" hidden="1">
      <c r="A16" s="743">
        <f t="shared" si="5"/>
        <v>12</v>
      </c>
      <c r="B16" s="744"/>
      <c r="C16" s="745" t="s">
        <v>1122</v>
      </c>
      <c r="D16" s="746" t="s">
        <v>1204</v>
      </c>
      <c r="E16" s="747">
        <f t="shared" si="1"/>
        <v>960000</v>
      </c>
      <c r="F16" s="748">
        <v>50000</v>
      </c>
      <c r="G16" s="749"/>
      <c r="H16" s="750">
        <v>50000</v>
      </c>
      <c r="I16" s="750"/>
      <c r="J16" s="750">
        <v>50000</v>
      </c>
      <c r="K16" s="750"/>
      <c r="L16" s="750">
        <v>50000</v>
      </c>
      <c r="M16" s="750"/>
      <c r="N16" s="750">
        <v>50000</v>
      </c>
      <c r="O16" s="750"/>
      <c r="P16" s="750">
        <v>50000</v>
      </c>
      <c r="Q16" s="750"/>
      <c r="R16" s="750">
        <v>50000</v>
      </c>
      <c r="S16" s="750"/>
      <c r="T16" s="750">
        <v>50000</v>
      </c>
      <c r="U16" s="750"/>
      <c r="V16" s="750">
        <v>50000</v>
      </c>
      <c r="W16" s="750"/>
      <c r="X16" s="750">
        <v>50000</v>
      </c>
      <c r="Y16" s="750"/>
      <c r="Z16" s="750">
        <v>50000</v>
      </c>
      <c r="AA16" s="750"/>
      <c r="AB16" s="750">
        <v>50000</v>
      </c>
      <c r="AC16" s="750"/>
      <c r="AD16" s="750">
        <v>100000</v>
      </c>
      <c r="AE16" s="750"/>
      <c r="AF16" s="750">
        <v>50000</v>
      </c>
      <c r="AG16" s="750"/>
      <c r="AH16" s="751">
        <v>0</v>
      </c>
      <c r="AI16" s="751"/>
      <c r="AJ16" s="751">
        <v>0</v>
      </c>
      <c r="AK16" s="751">
        <v>50000</v>
      </c>
      <c r="AL16" s="750">
        <v>40000</v>
      </c>
      <c r="AM16" s="750"/>
      <c r="AN16" s="750">
        <v>40000</v>
      </c>
      <c r="AO16" s="750"/>
      <c r="AP16" s="750">
        <v>40000</v>
      </c>
      <c r="AQ16" s="750"/>
      <c r="AR16" s="750">
        <v>40000</v>
      </c>
      <c r="AS16" s="750"/>
      <c r="AT16" s="769">
        <f t="shared" si="2"/>
        <v>50000</v>
      </c>
      <c r="AU16" s="750">
        <f t="shared" si="3"/>
        <v>910000</v>
      </c>
      <c r="AV16" s="769">
        <f t="shared" si="4"/>
        <v>0</v>
      </c>
      <c r="AW16" s="752">
        <f t="shared" si="0"/>
        <v>50000</v>
      </c>
      <c r="AX16" s="752" t="s">
        <v>1144</v>
      </c>
      <c r="AY16" s="696">
        <v>50000</v>
      </c>
    </row>
    <row r="17" spans="1:51" s="752" customFormat="1">
      <c r="A17" s="743">
        <f t="shared" si="5"/>
        <v>13</v>
      </c>
      <c r="B17" s="744"/>
      <c r="C17" s="745" t="s">
        <v>1123</v>
      </c>
      <c r="D17" s="746" t="s">
        <v>1205</v>
      </c>
      <c r="E17" s="747">
        <f t="shared" si="1"/>
        <v>550000</v>
      </c>
      <c r="F17" s="748">
        <v>50000</v>
      </c>
      <c r="G17" s="749"/>
      <c r="H17" s="750">
        <v>50000</v>
      </c>
      <c r="I17" s="750"/>
      <c r="J17" s="750">
        <v>50000</v>
      </c>
      <c r="K17" s="750"/>
      <c r="L17" s="750">
        <v>50000</v>
      </c>
      <c r="M17" s="750"/>
      <c r="N17" s="750">
        <v>50000</v>
      </c>
      <c r="O17" s="750"/>
      <c r="P17" s="750">
        <v>50000</v>
      </c>
      <c r="Q17" s="750"/>
      <c r="R17" s="750">
        <v>50000</v>
      </c>
      <c r="S17" s="750"/>
      <c r="T17" s="750">
        <v>50000</v>
      </c>
      <c r="U17" s="750"/>
      <c r="V17" s="751">
        <v>0</v>
      </c>
      <c r="W17" s="751">
        <v>50000</v>
      </c>
      <c r="X17" s="751">
        <v>0</v>
      </c>
      <c r="Y17" s="751">
        <v>50000</v>
      </c>
      <c r="Z17" s="750">
        <v>50000</v>
      </c>
      <c r="AA17" s="750"/>
      <c r="AB17" s="750">
        <v>0</v>
      </c>
      <c r="AC17" s="750"/>
      <c r="AD17" s="750">
        <v>0</v>
      </c>
      <c r="AE17" s="750"/>
      <c r="AF17" s="750">
        <v>0</v>
      </c>
      <c r="AG17" s="750"/>
      <c r="AH17" s="750"/>
      <c r="AI17" s="750"/>
      <c r="AJ17" s="750">
        <v>0</v>
      </c>
      <c r="AK17" s="750"/>
      <c r="AL17" s="750">
        <v>0</v>
      </c>
      <c r="AM17" s="750"/>
      <c r="AN17" s="750">
        <v>0</v>
      </c>
      <c r="AO17" s="750"/>
      <c r="AP17" s="750">
        <v>0</v>
      </c>
      <c r="AQ17" s="750"/>
      <c r="AR17" s="750">
        <v>0</v>
      </c>
      <c r="AS17" s="750"/>
      <c r="AT17" s="769">
        <f t="shared" si="2"/>
        <v>100000</v>
      </c>
      <c r="AU17" s="750">
        <f t="shared" si="3"/>
        <v>450000</v>
      </c>
      <c r="AV17" s="771">
        <f t="shared" si="4"/>
        <v>100000</v>
      </c>
      <c r="AW17" s="752">
        <f t="shared" si="0"/>
        <v>0</v>
      </c>
      <c r="AX17" s="752" t="s">
        <v>1145</v>
      </c>
      <c r="AY17" s="696">
        <v>50000</v>
      </c>
    </row>
    <row r="18" spans="1:51" s="752" customFormat="1" hidden="1">
      <c r="A18" s="743">
        <f t="shared" si="5"/>
        <v>14</v>
      </c>
      <c r="B18" s="744"/>
      <c r="C18" s="745" t="s">
        <v>1124</v>
      </c>
      <c r="D18" s="746" t="s">
        <v>1206</v>
      </c>
      <c r="E18" s="747">
        <f t="shared" si="1"/>
        <v>960000</v>
      </c>
      <c r="F18" s="748">
        <v>50000</v>
      </c>
      <c r="G18" s="749"/>
      <c r="H18" s="750">
        <v>50000</v>
      </c>
      <c r="I18" s="750"/>
      <c r="J18" s="750">
        <v>50000</v>
      </c>
      <c r="K18" s="750"/>
      <c r="L18" s="750">
        <v>50000</v>
      </c>
      <c r="M18" s="750"/>
      <c r="N18" s="750">
        <v>50000</v>
      </c>
      <c r="O18" s="750"/>
      <c r="P18" s="750">
        <v>50000</v>
      </c>
      <c r="Q18" s="750"/>
      <c r="R18" s="750">
        <v>50000</v>
      </c>
      <c r="S18" s="750"/>
      <c r="T18" s="750">
        <v>50000</v>
      </c>
      <c r="U18" s="750"/>
      <c r="V18" s="750">
        <v>50000</v>
      </c>
      <c r="W18" s="750"/>
      <c r="X18" s="750">
        <v>50000</v>
      </c>
      <c r="Y18" s="750"/>
      <c r="Z18" s="750">
        <v>100000</v>
      </c>
      <c r="AA18" s="750"/>
      <c r="AB18" s="750">
        <v>100000</v>
      </c>
      <c r="AC18" s="750"/>
      <c r="AD18" s="751">
        <v>0</v>
      </c>
      <c r="AE18" s="751"/>
      <c r="AF18" s="751">
        <v>0</v>
      </c>
      <c r="AG18" s="751"/>
      <c r="AH18" s="751">
        <v>0</v>
      </c>
      <c r="AI18" s="751">
        <v>50000</v>
      </c>
      <c r="AJ18" s="751">
        <v>0</v>
      </c>
      <c r="AK18" s="751">
        <v>50000</v>
      </c>
      <c r="AL18" s="750">
        <v>40000</v>
      </c>
      <c r="AM18" s="750"/>
      <c r="AN18" s="750">
        <v>40000</v>
      </c>
      <c r="AO18" s="750"/>
      <c r="AP18" s="750">
        <v>40000</v>
      </c>
      <c r="AQ18" s="750"/>
      <c r="AR18" s="750">
        <v>40000</v>
      </c>
      <c r="AS18" s="750"/>
      <c r="AT18" s="769">
        <f t="shared" si="2"/>
        <v>100000</v>
      </c>
      <c r="AU18" s="750">
        <f t="shared" si="3"/>
        <v>860000</v>
      </c>
      <c r="AV18" s="769">
        <f t="shared" si="4"/>
        <v>0</v>
      </c>
      <c r="AW18" s="752">
        <f t="shared" si="0"/>
        <v>100000</v>
      </c>
      <c r="AX18" s="752" t="s">
        <v>1148</v>
      </c>
      <c r="AY18" s="696">
        <v>50000</v>
      </c>
    </row>
    <row r="19" spans="1:51" s="752" customFormat="1" hidden="1">
      <c r="A19" s="743">
        <f t="shared" si="5"/>
        <v>15</v>
      </c>
      <c r="B19" s="744"/>
      <c r="C19" s="745" t="s">
        <v>1125</v>
      </c>
      <c r="D19" s="746" t="s">
        <v>1207</v>
      </c>
      <c r="E19" s="747">
        <f t="shared" si="1"/>
        <v>600000</v>
      </c>
      <c r="F19" s="748">
        <v>50000</v>
      </c>
      <c r="G19" s="749"/>
      <c r="H19" s="750">
        <v>50000</v>
      </c>
      <c r="I19" s="750"/>
      <c r="J19" s="750">
        <v>50000</v>
      </c>
      <c r="K19" s="750"/>
      <c r="L19" s="750">
        <v>50000</v>
      </c>
      <c r="M19" s="750"/>
      <c r="N19" s="750">
        <v>50000</v>
      </c>
      <c r="O19" s="750"/>
      <c r="P19" s="750">
        <v>50000</v>
      </c>
      <c r="Q19" s="750"/>
      <c r="R19" s="750">
        <v>50000</v>
      </c>
      <c r="S19" s="750"/>
      <c r="T19" s="750">
        <v>50000</v>
      </c>
      <c r="U19" s="750"/>
      <c r="V19" s="750">
        <v>50000</v>
      </c>
      <c r="W19" s="750"/>
      <c r="X19" s="750">
        <v>50000</v>
      </c>
      <c r="Y19" s="750"/>
      <c r="Z19" s="750">
        <v>50000</v>
      </c>
      <c r="AA19" s="750"/>
      <c r="AB19" s="750">
        <v>50000</v>
      </c>
      <c r="AC19" s="750"/>
      <c r="AD19" s="750">
        <v>0</v>
      </c>
      <c r="AE19" s="750"/>
      <c r="AF19" s="750">
        <v>0</v>
      </c>
      <c r="AG19" s="750"/>
      <c r="AH19" s="750"/>
      <c r="AI19" s="750"/>
      <c r="AJ19" s="750">
        <v>0</v>
      </c>
      <c r="AK19" s="750"/>
      <c r="AL19" s="750">
        <v>0</v>
      </c>
      <c r="AM19" s="750"/>
      <c r="AN19" s="750">
        <v>0</v>
      </c>
      <c r="AO19" s="750"/>
      <c r="AP19" s="750">
        <v>0</v>
      </c>
      <c r="AQ19" s="750"/>
      <c r="AR19" s="750">
        <v>0</v>
      </c>
      <c r="AS19" s="750"/>
      <c r="AT19" s="769">
        <f t="shared" si="2"/>
        <v>0</v>
      </c>
      <c r="AU19" s="750">
        <f t="shared" si="3"/>
        <v>600000</v>
      </c>
      <c r="AV19" s="769">
        <f t="shared" si="4"/>
        <v>0</v>
      </c>
      <c r="AW19" s="752">
        <f t="shared" si="0"/>
        <v>0</v>
      </c>
      <c r="AX19" s="752" t="s">
        <v>1149</v>
      </c>
      <c r="AY19" s="696">
        <v>50000</v>
      </c>
    </row>
    <row r="20" spans="1:51" s="752" customFormat="1" hidden="1">
      <c r="A20" s="743">
        <f t="shared" si="5"/>
        <v>16</v>
      </c>
      <c r="B20" s="744"/>
      <c r="C20" s="745" t="s">
        <v>1126</v>
      </c>
      <c r="D20" s="746" t="s">
        <v>1208</v>
      </c>
      <c r="E20" s="747">
        <f t="shared" si="1"/>
        <v>960000</v>
      </c>
      <c r="F20" s="748">
        <v>50000</v>
      </c>
      <c r="G20" s="749"/>
      <c r="H20" s="750">
        <v>50000</v>
      </c>
      <c r="I20" s="750"/>
      <c r="J20" s="750">
        <v>50000</v>
      </c>
      <c r="K20" s="750"/>
      <c r="L20" s="750">
        <v>50000</v>
      </c>
      <c r="M20" s="750"/>
      <c r="N20" s="750">
        <v>50000</v>
      </c>
      <c r="O20" s="750"/>
      <c r="P20" s="750">
        <v>50000</v>
      </c>
      <c r="Q20" s="750"/>
      <c r="R20" s="750">
        <v>50000</v>
      </c>
      <c r="S20" s="750"/>
      <c r="T20" s="750">
        <v>50000</v>
      </c>
      <c r="U20" s="750"/>
      <c r="V20" s="750">
        <v>50000</v>
      </c>
      <c r="W20" s="750"/>
      <c r="X20" s="750">
        <v>50000</v>
      </c>
      <c r="Y20" s="750"/>
      <c r="Z20" s="750">
        <v>50000</v>
      </c>
      <c r="AA20" s="750"/>
      <c r="AB20" s="750">
        <v>50000</v>
      </c>
      <c r="AC20" s="750"/>
      <c r="AD20" s="750">
        <v>150000</v>
      </c>
      <c r="AE20" s="750"/>
      <c r="AF20" s="750">
        <v>50000</v>
      </c>
      <c r="AG20" s="750"/>
      <c r="AH20" s="751">
        <v>0</v>
      </c>
      <c r="AI20" s="751"/>
      <c r="AJ20" s="751">
        <v>0</v>
      </c>
      <c r="AK20" s="751"/>
      <c r="AL20" s="750">
        <v>40000</v>
      </c>
      <c r="AM20" s="750"/>
      <c r="AN20" s="750">
        <v>40000</v>
      </c>
      <c r="AO20" s="750"/>
      <c r="AP20" s="750">
        <v>40000</v>
      </c>
      <c r="AQ20" s="750"/>
      <c r="AR20" s="750">
        <v>40000</v>
      </c>
      <c r="AS20" s="750"/>
      <c r="AT20" s="769">
        <f t="shared" si="2"/>
        <v>0</v>
      </c>
      <c r="AU20" s="750">
        <f t="shared" si="3"/>
        <v>960000</v>
      </c>
      <c r="AV20" s="769">
        <f t="shared" si="4"/>
        <v>0</v>
      </c>
      <c r="AW20" s="752">
        <f t="shared" si="0"/>
        <v>0</v>
      </c>
      <c r="AX20" s="752" t="s">
        <v>1150</v>
      </c>
      <c r="AY20" s="696">
        <v>50000</v>
      </c>
    </row>
    <row r="21" spans="1:51" s="752" customFormat="1" hidden="1">
      <c r="A21" s="743">
        <f t="shared" si="5"/>
        <v>17</v>
      </c>
      <c r="B21" s="744"/>
      <c r="C21" s="745" t="s">
        <v>1127</v>
      </c>
      <c r="D21" s="746" t="s">
        <v>1209</v>
      </c>
      <c r="E21" s="747">
        <f t="shared" si="1"/>
        <v>960000</v>
      </c>
      <c r="F21" s="748">
        <v>50000</v>
      </c>
      <c r="G21" s="749"/>
      <c r="H21" s="750">
        <v>50000</v>
      </c>
      <c r="I21" s="750"/>
      <c r="J21" s="750">
        <v>50000</v>
      </c>
      <c r="K21" s="750"/>
      <c r="L21" s="750">
        <v>50000</v>
      </c>
      <c r="M21" s="750"/>
      <c r="N21" s="750">
        <v>50000</v>
      </c>
      <c r="O21" s="750"/>
      <c r="P21" s="750">
        <v>50000</v>
      </c>
      <c r="Q21" s="750"/>
      <c r="R21" s="750">
        <v>50000</v>
      </c>
      <c r="S21" s="750"/>
      <c r="T21" s="750">
        <v>50000</v>
      </c>
      <c r="U21" s="750"/>
      <c r="V21" s="750">
        <v>50000</v>
      </c>
      <c r="W21" s="750"/>
      <c r="X21" s="750">
        <v>50000</v>
      </c>
      <c r="Y21" s="750"/>
      <c r="Z21" s="750">
        <v>50000</v>
      </c>
      <c r="AA21" s="750"/>
      <c r="AB21" s="750">
        <v>50000</v>
      </c>
      <c r="AC21" s="750"/>
      <c r="AD21" s="750">
        <v>100000</v>
      </c>
      <c r="AE21" s="750"/>
      <c r="AF21" s="750">
        <v>50000</v>
      </c>
      <c r="AG21" s="750"/>
      <c r="AH21" s="750"/>
      <c r="AI21" s="750"/>
      <c r="AJ21" s="751">
        <v>0</v>
      </c>
      <c r="AK21" s="751">
        <v>50000</v>
      </c>
      <c r="AL21" s="750">
        <v>40000</v>
      </c>
      <c r="AM21" s="750"/>
      <c r="AN21" s="750">
        <v>40000</v>
      </c>
      <c r="AO21" s="750"/>
      <c r="AP21" s="750">
        <v>40000</v>
      </c>
      <c r="AQ21" s="750"/>
      <c r="AR21" s="750">
        <v>40000</v>
      </c>
      <c r="AS21" s="750"/>
      <c r="AT21" s="769">
        <f t="shared" si="2"/>
        <v>50000</v>
      </c>
      <c r="AU21" s="750">
        <f t="shared" si="3"/>
        <v>910000</v>
      </c>
      <c r="AV21" s="769">
        <f t="shared" si="4"/>
        <v>0</v>
      </c>
      <c r="AW21" s="752">
        <f t="shared" si="0"/>
        <v>50000</v>
      </c>
      <c r="AX21" s="752" t="s">
        <v>1151</v>
      </c>
      <c r="AY21" s="696">
        <v>50000</v>
      </c>
    </row>
    <row r="22" spans="1:51" s="752" customFormat="1" hidden="1">
      <c r="A22" s="743">
        <f t="shared" si="5"/>
        <v>18</v>
      </c>
      <c r="B22" s="744"/>
      <c r="C22" s="745" t="s">
        <v>1128</v>
      </c>
      <c r="D22" s="746" t="s">
        <v>1210</v>
      </c>
      <c r="E22" s="747">
        <f t="shared" si="1"/>
        <v>960000</v>
      </c>
      <c r="F22" s="748">
        <v>50000</v>
      </c>
      <c r="G22" s="749"/>
      <c r="H22" s="750">
        <v>50000</v>
      </c>
      <c r="I22" s="750"/>
      <c r="J22" s="750">
        <v>50000</v>
      </c>
      <c r="K22" s="750"/>
      <c r="L22" s="750">
        <v>50000</v>
      </c>
      <c r="M22" s="750"/>
      <c r="N22" s="750">
        <v>50000</v>
      </c>
      <c r="O22" s="750"/>
      <c r="P22" s="750">
        <v>50000</v>
      </c>
      <c r="Q22" s="750"/>
      <c r="R22" s="750">
        <v>50000</v>
      </c>
      <c r="S22" s="750"/>
      <c r="T22" s="750">
        <v>50000</v>
      </c>
      <c r="U22" s="750"/>
      <c r="V22" s="750">
        <v>50000</v>
      </c>
      <c r="W22" s="750"/>
      <c r="X22" s="750">
        <v>50000</v>
      </c>
      <c r="Y22" s="750"/>
      <c r="Z22" s="750">
        <v>50000</v>
      </c>
      <c r="AA22" s="750"/>
      <c r="AB22" s="750">
        <v>50000</v>
      </c>
      <c r="AC22" s="750"/>
      <c r="AD22" s="750">
        <v>150000</v>
      </c>
      <c r="AE22" s="750"/>
      <c r="AF22" s="750">
        <v>50000</v>
      </c>
      <c r="AG22" s="750"/>
      <c r="AH22" s="751">
        <v>0</v>
      </c>
      <c r="AI22" s="751"/>
      <c r="AJ22" s="751">
        <v>0</v>
      </c>
      <c r="AK22" s="751"/>
      <c r="AL22" s="750">
        <v>40000</v>
      </c>
      <c r="AM22" s="750"/>
      <c r="AN22" s="750">
        <v>40000</v>
      </c>
      <c r="AO22" s="750"/>
      <c r="AP22" s="750">
        <v>40000</v>
      </c>
      <c r="AQ22" s="750"/>
      <c r="AR22" s="750">
        <v>40000</v>
      </c>
      <c r="AS22" s="750"/>
      <c r="AT22" s="769">
        <f t="shared" si="2"/>
        <v>0</v>
      </c>
      <c r="AU22" s="750">
        <f t="shared" si="3"/>
        <v>960000</v>
      </c>
      <c r="AV22" s="769">
        <f t="shared" si="4"/>
        <v>0</v>
      </c>
      <c r="AW22" s="752">
        <f t="shared" si="0"/>
        <v>0</v>
      </c>
      <c r="AX22" s="752" t="s">
        <v>1152</v>
      </c>
      <c r="AY22" s="696">
        <v>50000</v>
      </c>
    </row>
    <row r="23" spans="1:51" s="752" customFormat="1" hidden="1">
      <c r="A23" s="743">
        <f t="shared" si="5"/>
        <v>19</v>
      </c>
      <c r="B23" s="744"/>
      <c r="C23" s="745" t="s">
        <v>1129</v>
      </c>
      <c r="D23" s="746" t="s">
        <v>1211</v>
      </c>
      <c r="E23" s="747">
        <f t="shared" si="1"/>
        <v>150000</v>
      </c>
      <c r="F23" s="748">
        <v>50000</v>
      </c>
      <c r="G23" s="749"/>
      <c r="H23" s="751">
        <v>0</v>
      </c>
      <c r="I23" s="751">
        <v>50000</v>
      </c>
      <c r="J23" s="751">
        <v>0</v>
      </c>
      <c r="K23" s="751">
        <v>50000</v>
      </c>
      <c r="L23" s="750">
        <v>0</v>
      </c>
      <c r="M23" s="750"/>
      <c r="N23" s="750">
        <v>0</v>
      </c>
      <c r="O23" s="750"/>
      <c r="P23" s="750">
        <v>0</v>
      </c>
      <c r="Q23" s="750"/>
      <c r="R23" s="750">
        <v>0</v>
      </c>
      <c r="S23" s="750"/>
      <c r="T23" s="750">
        <v>0</v>
      </c>
      <c r="U23" s="750"/>
      <c r="V23" s="750">
        <v>0</v>
      </c>
      <c r="W23" s="750"/>
      <c r="X23" s="750">
        <v>0</v>
      </c>
      <c r="Y23" s="750"/>
      <c r="Z23" s="750">
        <v>0</v>
      </c>
      <c r="AA23" s="750"/>
      <c r="AB23" s="754">
        <v>0</v>
      </c>
      <c r="AC23" s="754"/>
      <c r="AD23" s="754">
        <v>0</v>
      </c>
      <c r="AE23" s="754"/>
      <c r="AF23" s="754">
        <v>0</v>
      </c>
      <c r="AG23" s="754"/>
      <c r="AH23" s="754"/>
      <c r="AI23" s="754"/>
      <c r="AJ23" s="754">
        <v>0</v>
      </c>
      <c r="AK23" s="754"/>
      <c r="AL23" s="754">
        <v>0</v>
      </c>
      <c r="AM23" s="754"/>
      <c r="AN23" s="754">
        <v>0</v>
      </c>
      <c r="AO23" s="754"/>
      <c r="AP23" s="754">
        <v>0</v>
      </c>
      <c r="AQ23" s="754"/>
      <c r="AR23" s="750">
        <v>0</v>
      </c>
      <c r="AS23" s="750"/>
      <c r="AT23" s="769">
        <f t="shared" si="2"/>
        <v>100000</v>
      </c>
      <c r="AU23" s="750">
        <f t="shared" si="3"/>
        <v>50000</v>
      </c>
      <c r="AV23" s="769">
        <f t="shared" si="4"/>
        <v>0</v>
      </c>
      <c r="AW23" s="752">
        <f t="shared" si="0"/>
        <v>100000</v>
      </c>
      <c r="AX23" s="752" t="s">
        <v>1153</v>
      </c>
      <c r="AY23" s="696">
        <v>50000</v>
      </c>
    </row>
    <row r="24" spans="1:51" s="752" customFormat="1">
      <c r="A24" s="743">
        <f t="shared" si="5"/>
        <v>20</v>
      </c>
      <c r="B24" s="744"/>
      <c r="C24" s="745" t="s">
        <v>1130</v>
      </c>
      <c r="D24" s="746" t="s">
        <v>1212</v>
      </c>
      <c r="E24" s="747">
        <f t="shared" si="1"/>
        <v>920000</v>
      </c>
      <c r="F24" s="748">
        <v>50000</v>
      </c>
      <c r="G24" s="749"/>
      <c r="H24" s="750">
        <v>50000</v>
      </c>
      <c r="I24" s="750"/>
      <c r="J24" s="750">
        <v>50000</v>
      </c>
      <c r="K24" s="750"/>
      <c r="L24" s="750">
        <v>50000</v>
      </c>
      <c r="M24" s="750"/>
      <c r="N24" s="750">
        <v>50000</v>
      </c>
      <c r="O24" s="750"/>
      <c r="P24" s="750">
        <v>50000</v>
      </c>
      <c r="Q24" s="750"/>
      <c r="R24" s="750">
        <v>50000</v>
      </c>
      <c r="S24" s="750"/>
      <c r="T24" s="750">
        <v>50000</v>
      </c>
      <c r="U24" s="750"/>
      <c r="V24" s="750">
        <v>50000</v>
      </c>
      <c r="W24" s="750"/>
      <c r="X24" s="750">
        <v>50000</v>
      </c>
      <c r="Y24" s="750"/>
      <c r="Z24" s="750">
        <v>50000</v>
      </c>
      <c r="AA24" s="750"/>
      <c r="AB24" s="750">
        <v>50000</v>
      </c>
      <c r="AC24" s="750"/>
      <c r="AD24" s="750">
        <v>150000</v>
      </c>
      <c r="AE24" s="750"/>
      <c r="AF24" s="750">
        <v>50000</v>
      </c>
      <c r="AG24" s="750"/>
      <c r="AH24" s="751">
        <v>0</v>
      </c>
      <c r="AI24" s="751"/>
      <c r="AJ24" s="751">
        <v>0</v>
      </c>
      <c r="AK24" s="751"/>
      <c r="AL24" s="750">
        <v>40000</v>
      </c>
      <c r="AM24" s="750"/>
      <c r="AN24" s="750">
        <v>40000</v>
      </c>
      <c r="AO24" s="750"/>
      <c r="AP24" s="751">
        <v>0</v>
      </c>
      <c r="AQ24" s="751">
        <v>40000</v>
      </c>
      <c r="AR24" s="751">
        <v>0</v>
      </c>
      <c r="AS24" s="751">
        <v>40000</v>
      </c>
      <c r="AT24" s="769">
        <f t="shared" si="2"/>
        <v>80000</v>
      </c>
      <c r="AU24" s="750">
        <f t="shared" si="3"/>
        <v>840000</v>
      </c>
      <c r="AV24" s="771">
        <f t="shared" si="4"/>
        <v>40000</v>
      </c>
      <c r="AW24" s="752">
        <f t="shared" si="0"/>
        <v>40000</v>
      </c>
      <c r="AX24" s="752" t="s">
        <v>1157</v>
      </c>
      <c r="AY24" s="696">
        <v>50000</v>
      </c>
    </row>
    <row r="25" spans="1:51" s="725" customFormat="1" hidden="1">
      <c r="A25" s="738">
        <f t="shared" si="5"/>
        <v>21</v>
      </c>
      <c r="B25" s="716"/>
      <c r="C25" s="717" t="s">
        <v>1131</v>
      </c>
      <c r="D25" s="731" t="s">
        <v>1213</v>
      </c>
      <c r="E25" s="727">
        <f t="shared" si="1"/>
        <v>960000</v>
      </c>
      <c r="F25" s="739">
        <v>50000</v>
      </c>
      <c r="G25" s="740"/>
      <c r="H25" s="729">
        <v>50000</v>
      </c>
      <c r="I25" s="729"/>
      <c r="J25" s="729">
        <v>50000</v>
      </c>
      <c r="K25" s="729"/>
      <c r="L25" s="729">
        <v>50000</v>
      </c>
      <c r="M25" s="729"/>
      <c r="N25" s="729">
        <v>50000</v>
      </c>
      <c r="O25" s="729"/>
      <c r="P25" s="729">
        <v>50000</v>
      </c>
      <c r="Q25" s="729"/>
      <c r="R25" s="729">
        <v>50000</v>
      </c>
      <c r="S25" s="729"/>
      <c r="T25" s="729">
        <v>50000</v>
      </c>
      <c r="U25" s="729"/>
      <c r="V25" s="729">
        <v>50000</v>
      </c>
      <c r="W25" s="729"/>
      <c r="X25" s="729">
        <v>50000</v>
      </c>
      <c r="Y25" s="729"/>
      <c r="Z25" s="729">
        <v>50000</v>
      </c>
      <c r="AA25" s="729"/>
      <c r="AB25" s="729">
        <v>50000</v>
      </c>
      <c r="AC25" s="729"/>
      <c r="AD25" s="729">
        <v>100000</v>
      </c>
      <c r="AE25" s="729"/>
      <c r="AF25" s="729">
        <v>50000</v>
      </c>
      <c r="AG25" s="729"/>
      <c r="AH25" s="741">
        <v>0</v>
      </c>
      <c r="AI25" s="741"/>
      <c r="AJ25" s="741">
        <v>0</v>
      </c>
      <c r="AK25" s="741">
        <v>50000</v>
      </c>
      <c r="AL25" s="729">
        <v>40000</v>
      </c>
      <c r="AM25" s="729"/>
      <c r="AN25" s="729">
        <v>40000</v>
      </c>
      <c r="AO25" s="729"/>
      <c r="AP25" s="729">
        <v>40000</v>
      </c>
      <c r="AQ25" s="729"/>
      <c r="AR25" s="729">
        <v>40000</v>
      </c>
      <c r="AS25" s="729"/>
      <c r="AT25" s="769">
        <f t="shared" si="2"/>
        <v>50000</v>
      </c>
      <c r="AU25" s="729">
        <f t="shared" si="3"/>
        <v>910000</v>
      </c>
      <c r="AV25" s="769">
        <f t="shared" si="4"/>
        <v>0</v>
      </c>
      <c r="AW25" s="725">
        <f t="shared" si="0"/>
        <v>50000</v>
      </c>
      <c r="AX25" s="725" t="s">
        <v>1162</v>
      </c>
      <c r="AY25" s="696">
        <v>50000</v>
      </c>
    </row>
    <row r="26" spans="1:51" s="725" customFormat="1" hidden="1">
      <c r="A26" s="738">
        <f t="shared" si="5"/>
        <v>22</v>
      </c>
      <c r="B26" s="716"/>
      <c r="C26" s="717" t="s">
        <v>1132</v>
      </c>
      <c r="D26" s="731" t="s">
        <v>1214</v>
      </c>
      <c r="E26" s="727">
        <f t="shared" si="1"/>
        <v>960000</v>
      </c>
      <c r="F26" s="739">
        <v>50000</v>
      </c>
      <c r="G26" s="740"/>
      <c r="H26" s="729">
        <v>50000</v>
      </c>
      <c r="I26" s="729"/>
      <c r="J26" s="729">
        <v>50000</v>
      </c>
      <c r="K26" s="729"/>
      <c r="L26" s="729">
        <v>50000</v>
      </c>
      <c r="M26" s="729"/>
      <c r="N26" s="729">
        <v>50000</v>
      </c>
      <c r="O26" s="729"/>
      <c r="P26" s="729">
        <v>50000</v>
      </c>
      <c r="Q26" s="729"/>
      <c r="R26" s="729">
        <v>50000</v>
      </c>
      <c r="S26" s="729"/>
      <c r="T26" s="729">
        <v>50000</v>
      </c>
      <c r="U26" s="729"/>
      <c r="V26" s="729">
        <v>50000</v>
      </c>
      <c r="W26" s="729"/>
      <c r="X26" s="729">
        <v>50000</v>
      </c>
      <c r="Y26" s="729"/>
      <c r="Z26" s="729">
        <v>50000</v>
      </c>
      <c r="AA26" s="729"/>
      <c r="AB26" s="729">
        <v>50000</v>
      </c>
      <c r="AC26" s="729"/>
      <c r="AD26" s="729">
        <v>150000</v>
      </c>
      <c r="AE26" s="729"/>
      <c r="AF26" s="729">
        <v>50000</v>
      </c>
      <c r="AG26" s="729"/>
      <c r="AH26" s="741">
        <v>0</v>
      </c>
      <c r="AI26" s="741"/>
      <c r="AJ26" s="741">
        <v>0</v>
      </c>
      <c r="AK26" s="741"/>
      <c r="AL26" s="729">
        <v>40000</v>
      </c>
      <c r="AM26" s="729"/>
      <c r="AN26" s="729">
        <v>40000</v>
      </c>
      <c r="AO26" s="729"/>
      <c r="AP26" s="729">
        <v>40000</v>
      </c>
      <c r="AQ26" s="729"/>
      <c r="AR26" s="729">
        <v>40000</v>
      </c>
      <c r="AS26" s="729"/>
      <c r="AT26" s="769">
        <f t="shared" si="2"/>
        <v>0</v>
      </c>
      <c r="AU26" s="729">
        <f t="shared" si="3"/>
        <v>960000</v>
      </c>
      <c r="AV26" s="769">
        <f t="shared" si="4"/>
        <v>0</v>
      </c>
      <c r="AW26" s="725">
        <f t="shared" si="0"/>
        <v>0</v>
      </c>
      <c r="AX26" s="725" t="s">
        <v>1169</v>
      </c>
      <c r="AY26" s="696">
        <v>50000</v>
      </c>
    </row>
    <row r="27" spans="1:51" s="725" customFormat="1" ht="14.4">
      <c r="A27" s="738">
        <f t="shared" si="5"/>
        <v>23</v>
      </c>
      <c r="B27" s="716"/>
      <c r="C27" s="717" t="s">
        <v>1133</v>
      </c>
      <c r="D27" s="731" t="s">
        <v>1215</v>
      </c>
      <c r="E27" s="727">
        <f t="shared" si="1"/>
        <v>640000</v>
      </c>
      <c r="F27" s="739">
        <v>50000</v>
      </c>
      <c r="G27" s="740"/>
      <c r="H27" s="678">
        <v>50000</v>
      </c>
      <c r="I27" s="678"/>
      <c r="J27" s="678">
        <v>50000</v>
      </c>
      <c r="K27" s="678"/>
      <c r="L27" s="678">
        <v>50000</v>
      </c>
      <c r="M27" s="678"/>
      <c r="N27" s="678">
        <v>50000</v>
      </c>
      <c r="O27" s="678"/>
      <c r="P27" s="678">
        <v>50000</v>
      </c>
      <c r="Q27" s="678"/>
      <c r="R27" s="678">
        <v>50000</v>
      </c>
      <c r="S27" s="678"/>
      <c r="T27" s="678">
        <v>50000</v>
      </c>
      <c r="U27" s="678"/>
      <c r="V27" s="678">
        <v>50000</v>
      </c>
      <c r="W27" s="678"/>
      <c r="X27" s="729">
        <v>50000</v>
      </c>
      <c r="Y27" s="729"/>
      <c r="Z27" s="729">
        <v>50000</v>
      </c>
      <c r="AA27" s="729"/>
      <c r="AB27" s="678">
        <v>50000</v>
      </c>
      <c r="AC27" s="678"/>
      <c r="AD27" s="729">
        <v>0</v>
      </c>
      <c r="AE27" s="729"/>
      <c r="AF27" s="678">
        <v>0</v>
      </c>
      <c r="AG27" s="678"/>
      <c r="AH27" s="678"/>
      <c r="AI27" s="678"/>
      <c r="AJ27" s="678">
        <v>0</v>
      </c>
      <c r="AK27" s="678"/>
      <c r="AL27" s="678">
        <v>0</v>
      </c>
      <c r="AM27" s="678"/>
      <c r="AN27" s="732">
        <v>0</v>
      </c>
      <c r="AO27" s="732">
        <v>40000</v>
      </c>
      <c r="AP27" s="678">
        <v>0</v>
      </c>
      <c r="AQ27" s="678"/>
      <c r="AR27" s="729">
        <v>0</v>
      </c>
      <c r="AS27" s="729"/>
      <c r="AT27" s="769">
        <f t="shared" si="2"/>
        <v>40000</v>
      </c>
      <c r="AU27" s="729">
        <f t="shared" si="3"/>
        <v>600000</v>
      </c>
      <c r="AV27" s="771">
        <f t="shared" si="4"/>
        <v>40000</v>
      </c>
      <c r="AW27" s="725">
        <f t="shared" si="0"/>
        <v>0</v>
      </c>
      <c r="AX27" s="725" t="s">
        <v>1192</v>
      </c>
      <c r="AY27" s="696">
        <v>50000</v>
      </c>
    </row>
    <row r="28" spans="1:51" s="725" customFormat="1">
      <c r="A28" s="738">
        <f t="shared" si="5"/>
        <v>24</v>
      </c>
      <c r="B28" s="716"/>
      <c r="C28" s="717" t="s">
        <v>1134</v>
      </c>
      <c r="D28" s="731" t="s">
        <v>1216</v>
      </c>
      <c r="E28" s="727">
        <f t="shared" si="1"/>
        <v>1010000</v>
      </c>
      <c r="F28" s="739">
        <v>50000</v>
      </c>
      <c r="G28" s="740"/>
      <c r="H28" s="729">
        <v>50000</v>
      </c>
      <c r="I28" s="729"/>
      <c r="J28" s="729">
        <v>50000</v>
      </c>
      <c r="K28" s="729"/>
      <c r="L28" s="729">
        <v>50000</v>
      </c>
      <c r="M28" s="729"/>
      <c r="N28" s="729">
        <v>50000</v>
      </c>
      <c r="O28" s="729"/>
      <c r="P28" s="729">
        <v>50000</v>
      </c>
      <c r="Q28" s="729"/>
      <c r="R28" s="729">
        <v>50000</v>
      </c>
      <c r="S28" s="729"/>
      <c r="T28" s="729">
        <v>50000</v>
      </c>
      <c r="U28" s="729"/>
      <c r="V28" s="729">
        <v>50000</v>
      </c>
      <c r="W28" s="729"/>
      <c r="X28" s="729">
        <v>50000</v>
      </c>
      <c r="Y28" s="729"/>
      <c r="Z28" s="729">
        <v>50000</v>
      </c>
      <c r="AA28" s="729"/>
      <c r="AB28" s="729">
        <v>50000</v>
      </c>
      <c r="AC28" s="729"/>
      <c r="AD28" s="729">
        <v>150000</v>
      </c>
      <c r="AE28" s="729"/>
      <c r="AF28" s="729">
        <v>50000</v>
      </c>
      <c r="AG28" s="729"/>
      <c r="AH28" s="741">
        <v>0</v>
      </c>
      <c r="AI28" s="741"/>
      <c r="AJ28" s="729">
        <v>50000</v>
      </c>
      <c r="AK28" s="729"/>
      <c r="AL28" s="729">
        <v>40000</v>
      </c>
      <c r="AM28" s="729"/>
      <c r="AN28" s="729">
        <v>40000</v>
      </c>
      <c r="AO28" s="729"/>
      <c r="AP28" s="741">
        <v>0</v>
      </c>
      <c r="AQ28" s="741">
        <v>40000</v>
      </c>
      <c r="AR28" s="729">
        <v>40000</v>
      </c>
      <c r="AS28" s="729"/>
      <c r="AT28" s="769">
        <f t="shared" si="2"/>
        <v>40000</v>
      </c>
      <c r="AU28" s="729">
        <f t="shared" si="3"/>
        <v>970000</v>
      </c>
      <c r="AV28" s="771">
        <f t="shared" si="4"/>
        <v>40000</v>
      </c>
      <c r="AW28" s="725">
        <f t="shared" si="0"/>
        <v>0</v>
      </c>
      <c r="AX28" s="725" t="s">
        <v>1279</v>
      </c>
      <c r="AY28" s="696">
        <v>50000</v>
      </c>
    </row>
    <row r="29" spans="1:51" s="725" customFormat="1" hidden="1">
      <c r="A29" s="738">
        <f t="shared" si="5"/>
        <v>25</v>
      </c>
      <c r="B29" s="716"/>
      <c r="C29" s="717" t="s">
        <v>1135</v>
      </c>
      <c r="D29" s="731" t="s">
        <v>1217</v>
      </c>
      <c r="E29" s="727">
        <f t="shared" si="1"/>
        <v>960000</v>
      </c>
      <c r="F29" s="739">
        <v>50000</v>
      </c>
      <c r="G29" s="740"/>
      <c r="H29" s="729">
        <v>50000</v>
      </c>
      <c r="I29" s="729"/>
      <c r="J29" s="729">
        <v>50000</v>
      </c>
      <c r="K29" s="729"/>
      <c r="L29" s="729">
        <v>50000</v>
      </c>
      <c r="M29" s="729"/>
      <c r="N29" s="729">
        <v>50000</v>
      </c>
      <c r="O29" s="729"/>
      <c r="P29" s="729">
        <v>50000</v>
      </c>
      <c r="Q29" s="729"/>
      <c r="R29" s="729">
        <v>50000</v>
      </c>
      <c r="S29" s="729"/>
      <c r="T29" s="729">
        <v>50000</v>
      </c>
      <c r="U29" s="729"/>
      <c r="V29" s="729">
        <v>50000</v>
      </c>
      <c r="W29" s="729"/>
      <c r="X29" s="729">
        <v>50000</v>
      </c>
      <c r="Y29" s="729"/>
      <c r="Z29" s="729">
        <v>50000</v>
      </c>
      <c r="AA29" s="729"/>
      <c r="AB29" s="729">
        <v>50000</v>
      </c>
      <c r="AC29" s="729"/>
      <c r="AD29" s="729">
        <v>50000</v>
      </c>
      <c r="AE29" s="729"/>
      <c r="AF29" s="741">
        <v>0</v>
      </c>
      <c r="AG29" s="741">
        <v>50000</v>
      </c>
      <c r="AH29" s="741">
        <v>0</v>
      </c>
      <c r="AI29" s="741">
        <v>50000</v>
      </c>
      <c r="AJ29" s="741">
        <v>0</v>
      </c>
      <c r="AK29" s="741">
        <v>50000</v>
      </c>
      <c r="AL29" s="729">
        <v>40000</v>
      </c>
      <c r="AM29" s="729"/>
      <c r="AN29" s="729">
        <v>40000</v>
      </c>
      <c r="AO29" s="729"/>
      <c r="AP29" s="729">
        <v>40000</v>
      </c>
      <c r="AQ29" s="729"/>
      <c r="AR29" s="729">
        <v>40000</v>
      </c>
      <c r="AS29" s="729"/>
      <c r="AT29" s="769">
        <f t="shared" si="2"/>
        <v>150000</v>
      </c>
      <c r="AU29" s="729">
        <f t="shared" si="3"/>
        <v>810000</v>
      </c>
      <c r="AV29" s="769">
        <f t="shared" si="4"/>
        <v>0</v>
      </c>
      <c r="AW29" s="725">
        <f t="shared" si="0"/>
        <v>150000</v>
      </c>
      <c r="AX29" s="725" t="s">
        <v>1280</v>
      </c>
      <c r="AY29" s="696">
        <v>50000</v>
      </c>
    </row>
    <row r="30" spans="1:51" s="725" customFormat="1" hidden="1">
      <c r="A30" s="738">
        <f t="shared" si="5"/>
        <v>26</v>
      </c>
      <c r="B30" s="716"/>
      <c r="C30" s="717" t="s">
        <v>1136</v>
      </c>
      <c r="D30" s="731" t="s">
        <v>1218</v>
      </c>
      <c r="E30" s="727">
        <f t="shared" si="1"/>
        <v>960000</v>
      </c>
      <c r="F30" s="739">
        <v>50000</v>
      </c>
      <c r="G30" s="740"/>
      <c r="H30" s="729">
        <v>50000</v>
      </c>
      <c r="I30" s="729"/>
      <c r="J30" s="729">
        <v>50000</v>
      </c>
      <c r="K30" s="729"/>
      <c r="L30" s="729">
        <v>50000</v>
      </c>
      <c r="M30" s="729"/>
      <c r="N30" s="729">
        <v>50000</v>
      </c>
      <c r="O30" s="729"/>
      <c r="P30" s="729">
        <v>50000</v>
      </c>
      <c r="Q30" s="729"/>
      <c r="R30" s="729">
        <v>50000</v>
      </c>
      <c r="S30" s="729"/>
      <c r="T30" s="729">
        <v>50000</v>
      </c>
      <c r="U30" s="729"/>
      <c r="V30" s="729">
        <v>50000</v>
      </c>
      <c r="W30" s="729"/>
      <c r="X30" s="729">
        <v>50000</v>
      </c>
      <c r="Y30" s="729"/>
      <c r="Z30" s="729">
        <v>50000</v>
      </c>
      <c r="AA30" s="729"/>
      <c r="AB30" s="729">
        <v>50000</v>
      </c>
      <c r="AC30" s="729"/>
      <c r="AD30" s="729">
        <v>150000</v>
      </c>
      <c r="AE30" s="729"/>
      <c r="AF30" s="729">
        <v>50000</v>
      </c>
      <c r="AG30" s="729"/>
      <c r="AH30" s="741">
        <v>0</v>
      </c>
      <c r="AI30" s="741"/>
      <c r="AJ30" s="741">
        <v>0</v>
      </c>
      <c r="AK30" s="741"/>
      <c r="AL30" s="729">
        <v>40000</v>
      </c>
      <c r="AM30" s="729"/>
      <c r="AN30" s="729">
        <v>40000</v>
      </c>
      <c r="AO30" s="729"/>
      <c r="AP30" s="729">
        <v>40000</v>
      </c>
      <c r="AQ30" s="729"/>
      <c r="AR30" s="729">
        <v>40000</v>
      </c>
      <c r="AS30" s="729"/>
      <c r="AT30" s="769">
        <f t="shared" si="2"/>
        <v>0</v>
      </c>
      <c r="AU30" s="729">
        <f t="shared" si="3"/>
        <v>960000</v>
      </c>
      <c r="AV30" s="769">
        <f t="shared" si="4"/>
        <v>0</v>
      </c>
      <c r="AW30" s="725">
        <f t="shared" si="0"/>
        <v>0</v>
      </c>
      <c r="AX30" s="725" t="s">
        <v>1281</v>
      </c>
      <c r="AY30" s="696">
        <v>50000</v>
      </c>
    </row>
    <row r="31" spans="1:51" s="725" customFormat="1" hidden="1">
      <c r="A31" s="738">
        <f t="shared" si="5"/>
        <v>27</v>
      </c>
      <c r="B31" s="716"/>
      <c r="C31" s="717" t="s">
        <v>1137</v>
      </c>
      <c r="D31" s="731" t="s">
        <v>1219</v>
      </c>
      <c r="E31" s="727">
        <f t="shared" si="1"/>
        <v>960000</v>
      </c>
      <c r="F31" s="739">
        <v>50000</v>
      </c>
      <c r="G31" s="740"/>
      <c r="H31" s="729">
        <v>50000</v>
      </c>
      <c r="I31" s="729"/>
      <c r="J31" s="729">
        <v>50000</v>
      </c>
      <c r="K31" s="729"/>
      <c r="L31" s="729">
        <v>50000</v>
      </c>
      <c r="M31" s="729"/>
      <c r="N31" s="729">
        <v>50000</v>
      </c>
      <c r="O31" s="729"/>
      <c r="P31" s="729">
        <v>50000</v>
      </c>
      <c r="Q31" s="729"/>
      <c r="R31" s="729">
        <v>50000</v>
      </c>
      <c r="S31" s="729"/>
      <c r="T31" s="729">
        <v>50000</v>
      </c>
      <c r="U31" s="729"/>
      <c r="V31" s="729">
        <v>50000</v>
      </c>
      <c r="W31" s="729"/>
      <c r="X31" s="729">
        <v>50000</v>
      </c>
      <c r="Y31" s="729"/>
      <c r="Z31" s="729">
        <v>50000</v>
      </c>
      <c r="AA31" s="729"/>
      <c r="AB31" s="729">
        <v>50000</v>
      </c>
      <c r="AC31" s="729"/>
      <c r="AD31" s="729">
        <v>150000</v>
      </c>
      <c r="AE31" s="729"/>
      <c r="AF31" s="729">
        <v>50000</v>
      </c>
      <c r="AG31" s="729"/>
      <c r="AH31" s="741">
        <v>0</v>
      </c>
      <c r="AI31" s="741"/>
      <c r="AJ31" s="741">
        <v>0</v>
      </c>
      <c r="AK31" s="741"/>
      <c r="AL31" s="729">
        <v>40000</v>
      </c>
      <c r="AM31" s="729"/>
      <c r="AN31" s="729">
        <v>40000</v>
      </c>
      <c r="AO31" s="729"/>
      <c r="AP31" s="729">
        <v>40000</v>
      </c>
      <c r="AQ31" s="729"/>
      <c r="AR31" s="729">
        <v>40000</v>
      </c>
      <c r="AS31" s="729"/>
      <c r="AT31" s="769">
        <f t="shared" si="2"/>
        <v>0</v>
      </c>
      <c r="AU31" s="729">
        <f t="shared" si="3"/>
        <v>960000</v>
      </c>
      <c r="AV31" s="769">
        <f t="shared" si="4"/>
        <v>0</v>
      </c>
      <c r="AW31" s="725">
        <f t="shared" si="0"/>
        <v>0</v>
      </c>
      <c r="AX31" s="725" t="s">
        <v>1282</v>
      </c>
      <c r="AY31" s="696">
        <v>50000</v>
      </c>
    </row>
    <row r="32" spans="1:51" s="725" customFormat="1" hidden="1">
      <c r="A32" s="738">
        <f t="shared" si="5"/>
        <v>28</v>
      </c>
      <c r="B32" s="716"/>
      <c r="C32" s="717" t="s">
        <v>1138</v>
      </c>
      <c r="D32" s="731" t="s">
        <v>1220</v>
      </c>
      <c r="E32" s="727">
        <f t="shared" si="1"/>
        <v>650000</v>
      </c>
      <c r="F32" s="739">
        <v>50000</v>
      </c>
      <c r="G32" s="740"/>
      <c r="H32" s="729">
        <v>50000</v>
      </c>
      <c r="I32" s="729"/>
      <c r="J32" s="729">
        <v>50000</v>
      </c>
      <c r="K32" s="729"/>
      <c r="L32" s="729">
        <v>50000</v>
      </c>
      <c r="M32" s="729"/>
      <c r="N32" s="729">
        <v>50000</v>
      </c>
      <c r="O32" s="729"/>
      <c r="P32" s="729">
        <v>50000</v>
      </c>
      <c r="Q32" s="729"/>
      <c r="R32" s="729">
        <v>50000</v>
      </c>
      <c r="S32" s="729"/>
      <c r="T32" s="729">
        <v>50000</v>
      </c>
      <c r="U32" s="729"/>
      <c r="V32" s="729">
        <v>50000</v>
      </c>
      <c r="W32" s="729"/>
      <c r="X32" s="729">
        <v>50000</v>
      </c>
      <c r="Y32" s="729"/>
      <c r="Z32" s="729">
        <v>50000</v>
      </c>
      <c r="AA32" s="729"/>
      <c r="AB32" s="729">
        <v>50000</v>
      </c>
      <c r="AC32" s="729"/>
      <c r="AD32" s="741">
        <v>0</v>
      </c>
      <c r="AE32" s="741">
        <v>50000</v>
      </c>
      <c r="AF32" s="729">
        <v>0</v>
      </c>
      <c r="AG32" s="729"/>
      <c r="AH32" s="741">
        <v>0</v>
      </c>
      <c r="AI32" s="741"/>
      <c r="AJ32" s="729">
        <v>0</v>
      </c>
      <c r="AK32" s="729"/>
      <c r="AL32" s="729">
        <v>0</v>
      </c>
      <c r="AM32" s="729"/>
      <c r="AN32" s="729">
        <v>0</v>
      </c>
      <c r="AO32" s="729"/>
      <c r="AP32" s="729">
        <v>0</v>
      </c>
      <c r="AQ32" s="729"/>
      <c r="AR32" s="729">
        <v>0</v>
      </c>
      <c r="AS32" s="729"/>
      <c r="AT32" s="769">
        <f t="shared" si="2"/>
        <v>50000</v>
      </c>
      <c r="AU32" s="729">
        <f t="shared" si="3"/>
        <v>600000</v>
      </c>
      <c r="AV32" s="769">
        <f t="shared" si="4"/>
        <v>0</v>
      </c>
      <c r="AW32" s="725">
        <f t="shared" si="0"/>
        <v>50000</v>
      </c>
      <c r="AX32" s="725" t="s">
        <v>1291</v>
      </c>
      <c r="AY32" s="696">
        <v>50000</v>
      </c>
    </row>
    <row r="33" spans="1:51" s="725" customFormat="1" hidden="1">
      <c r="A33" s="738">
        <f t="shared" si="5"/>
        <v>29</v>
      </c>
      <c r="B33" s="716"/>
      <c r="C33" s="717" t="s">
        <v>1139</v>
      </c>
      <c r="D33" s="731" t="s">
        <v>1221</v>
      </c>
      <c r="E33" s="727">
        <f t="shared" si="1"/>
        <v>250000</v>
      </c>
      <c r="F33" s="739">
        <v>50000</v>
      </c>
      <c r="G33" s="740"/>
      <c r="H33" s="729">
        <v>50000</v>
      </c>
      <c r="I33" s="729"/>
      <c r="J33" s="729">
        <v>50000</v>
      </c>
      <c r="K33" s="729"/>
      <c r="L33" s="729">
        <v>50000</v>
      </c>
      <c r="M33" s="729"/>
      <c r="N33" s="741">
        <v>0</v>
      </c>
      <c r="O33" s="741">
        <v>50000</v>
      </c>
      <c r="P33" s="729">
        <v>0</v>
      </c>
      <c r="Q33" s="729"/>
      <c r="R33" s="729">
        <v>0</v>
      </c>
      <c r="S33" s="729"/>
      <c r="T33" s="729">
        <v>0</v>
      </c>
      <c r="U33" s="729"/>
      <c r="V33" s="729">
        <v>0</v>
      </c>
      <c r="W33" s="729"/>
      <c r="X33" s="729">
        <v>0</v>
      </c>
      <c r="Y33" s="729"/>
      <c r="Z33" s="729">
        <v>0</v>
      </c>
      <c r="AA33" s="729"/>
      <c r="AB33" s="729">
        <v>0</v>
      </c>
      <c r="AC33" s="729"/>
      <c r="AD33" s="729">
        <v>0</v>
      </c>
      <c r="AE33" s="729"/>
      <c r="AF33" s="729">
        <v>0</v>
      </c>
      <c r="AG33" s="729"/>
      <c r="AH33" s="729"/>
      <c r="AI33" s="729"/>
      <c r="AJ33" s="729">
        <v>0</v>
      </c>
      <c r="AK33" s="729"/>
      <c r="AL33" s="729">
        <v>0</v>
      </c>
      <c r="AM33" s="729"/>
      <c r="AN33" s="729">
        <v>0</v>
      </c>
      <c r="AO33" s="729"/>
      <c r="AP33" s="729">
        <v>0</v>
      </c>
      <c r="AQ33" s="729"/>
      <c r="AR33" s="729">
        <v>0</v>
      </c>
      <c r="AS33" s="729"/>
      <c r="AT33" s="769">
        <f t="shared" si="2"/>
        <v>50000</v>
      </c>
      <c r="AU33" s="729">
        <f t="shared" si="3"/>
        <v>200000</v>
      </c>
      <c r="AV33" s="769">
        <f t="shared" si="4"/>
        <v>0</v>
      </c>
      <c r="AW33" s="725">
        <f t="shared" si="0"/>
        <v>50000</v>
      </c>
      <c r="AX33" s="725" t="s">
        <v>1297</v>
      </c>
      <c r="AY33" s="696">
        <v>50000</v>
      </c>
    </row>
    <row r="34" spans="1:51" s="725" customFormat="1" hidden="1">
      <c r="A34" s="738">
        <f t="shared" si="5"/>
        <v>30</v>
      </c>
      <c r="B34" s="716"/>
      <c r="C34" s="717" t="s">
        <v>1140</v>
      </c>
      <c r="D34" s="731" t="s">
        <v>1222</v>
      </c>
      <c r="E34" s="727">
        <f t="shared" si="1"/>
        <v>960000</v>
      </c>
      <c r="F34" s="739">
        <v>50000</v>
      </c>
      <c r="G34" s="740"/>
      <c r="H34" s="729">
        <v>50000</v>
      </c>
      <c r="I34" s="729"/>
      <c r="J34" s="729">
        <v>50000</v>
      </c>
      <c r="K34" s="729"/>
      <c r="L34" s="729">
        <v>50000</v>
      </c>
      <c r="M34" s="729"/>
      <c r="N34" s="729">
        <v>50000</v>
      </c>
      <c r="O34" s="729"/>
      <c r="P34" s="729">
        <v>50000</v>
      </c>
      <c r="Q34" s="729"/>
      <c r="R34" s="729">
        <v>50000</v>
      </c>
      <c r="S34" s="729"/>
      <c r="T34" s="729">
        <v>50000</v>
      </c>
      <c r="U34" s="729"/>
      <c r="V34" s="729">
        <v>50000</v>
      </c>
      <c r="W34" s="729"/>
      <c r="X34" s="729">
        <v>50000</v>
      </c>
      <c r="Y34" s="729"/>
      <c r="Z34" s="729">
        <v>50000</v>
      </c>
      <c r="AA34" s="729"/>
      <c r="AB34" s="729">
        <v>50000</v>
      </c>
      <c r="AC34" s="729"/>
      <c r="AD34" s="729">
        <v>100000</v>
      </c>
      <c r="AE34" s="729"/>
      <c r="AF34" s="729">
        <v>50000</v>
      </c>
      <c r="AG34" s="729"/>
      <c r="AH34" s="741">
        <v>0</v>
      </c>
      <c r="AI34" s="741"/>
      <c r="AJ34" s="729">
        <v>50000</v>
      </c>
      <c r="AK34" s="729"/>
      <c r="AL34" s="729">
        <v>40000</v>
      </c>
      <c r="AM34" s="729"/>
      <c r="AN34" s="729">
        <v>40000</v>
      </c>
      <c r="AO34" s="729"/>
      <c r="AP34" s="729">
        <v>40000</v>
      </c>
      <c r="AQ34" s="729"/>
      <c r="AR34" s="729">
        <v>40000</v>
      </c>
      <c r="AS34" s="729"/>
      <c r="AT34" s="769">
        <f t="shared" si="2"/>
        <v>0</v>
      </c>
      <c r="AU34" s="729">
        <f t="shared" si="3"/>
        <v>960000</v>
      </c>
      <c r="AV34" s="769">
        <f t="shared" si="4"/>
        <v>0</v>
      </c>
      <c r="AW34" s="725">
        <f t="shared" si="0"/>
        <v>0</v>
      </c>
      <c r="AX34" s="725" t="s">
        <v>1308</v>
      </c>
      <c r="AY34" s="696">
        <v>50000</v>
      </c>
    </row>
    <row r="35" spans="1:51" s="752" customFormat="1" hidden="1">
      <c r="A35" s="743">
        <f t="shared" si="5"/>
        <v>31</v>
      </c>
      <c r="B35" s="744"/>
      <c r="C35" s="745" t="s">
        <v>1141</v>
      </c>
      <c r="D35" s="746" t="s">
        <v>1223</v>
      </c>
      <c r="E35" s="747">
        <f t="shared" si="1"/>
        <v>960000</v>
      </c>
      <c r="F35" s="748">
        <v>50000</v>
      </c>
      <c r="G35" s="749"/>
      <c r="H35" s="750">
        <v>50000</v>
      </c>
      <c r="I35" s="750"/>
      <c r="J35" s="750">
        <v>50000</v>
      </c>
      <c r="K35" s="750"/>
      <c r="L35" s="750">
        <v>50000</v>
      </c>
      <c r="M35" s="750"/>
      <c r="N35" s="750">
        <v>50000</v>
      </c>
      <c r="O35" s="750"/>
      <c r="P35" s="750">
        <v>50000</v>
      </c>
      <c r="Q35" s="750"/>
      <c r="R35" s="750">
        <v>50000</v>
      </c>
      <c r="S35" s="750"/>
      <c r="T35" s="750">
        <v>50000</v>
      </c>
      <c r="U35" s="750"/>
      <c r="V35" s="750">
        <v>50000</v>
      </c>
      <c r="W35" s="750"/>
      <c r="X35" s="750">
        <v>50000</v>
      </c>
      <c r="Y35" s="750"/>
      <c r="Z35" s="750">
        <v>50000</v>
      </c>
      <c r="AA35" s="750"/>
      <c r="AB35" s="750">
        <v>50000</v>
      </c>
      <c r="AC35" s="750"/>
      <c r="AD35" s="750">
        <v>100000</v>
      </c>
      <c r="AE35" s="750"/>
      <c r="AF35" s="750">
        <v>50000</v>
      </c>
      <c r="AG35" s="750"/>
      <c r="AH35" s="751">
        <v>0</v>
      </c>
      <c r="AI35" s="751"/>
      <c r="AJ35" s="750">
        <v>50000</v>
      </c>
      <c r="AK35" s="750"/>
      <c r="AL35" s="750">
        <v>40000</v>
      </c>
      <c r="AM35" s="750"/>
      <c r="AN35" s="750">
        <v>40000</v>
      </c>
      <c r="AO35" s="750"/>
      <c r="AP35" s="750">
        <v>40000</v>
      </c>
      <c r="AQ35" s="750"/>
      <c r="AR35" s="750">
        <v>40000</v>
      </c>
      <c r="AS35" s="750"/>
      <c r="AT35" s="769">
        <f t="shared" si="2"/>
        <v>0</v>
      </c>
      <c r="AU35" s="750">
        <f t="shared" si="3"/>
        <v>960000</v>
      </c>
      <c r="AV35" s="769">
        <f t="shared" si="4"/>
        <v>0</v>
      </c>
      <c r="AW35" s="752">
        <f t="shared" si="0"/>
        <v>0</v>
      </c>
      <c r="AX35" s="752" t="s">
        <v>1310</v>
      </c>
      <c r="AY35" s="696">
        <v>50000</v>
      </c>
    </row>
    <row r="36" spans="1:51" s="752" customFormat="1" hidden="1">
      <c r="A36" s="743">
        <f t="shared" si="5"/>
        <v>32</v>
      </c>
      <c r="B36" s="744"/>
      <c r="C36" s="745" t="s">
        <v>1142</v>
      </c>
      <c r="D36" s="746" t="s">
        <v>1224</v>
      </c>
      <c r="E36" s="747">
        <f t="shared" si="1"/>
        <v>920000</v>
      </c>
      <c r="F36" s="748">
        <v>50000</v>
      </c>
      <c r="G36" s="749"/>
      <c r="H36" s="750">
        <v>50000</v>
      </c>
      <c r="I36" s="750"/>
      <c r="J36" s="750">
        <v>50000</v>
      </c>
      <c r="K36" s="750"/>
      <c r="L36" s="750">
        <v>50000</v>
      </c>
      <c r="M36" s="750"/>
      <c r="N36" s="750">
        <v>50000</v>
      </c>
      <c r="O36" s="750"/>
      <c r="P36" s="750">
        <v>50000</v>
      </c>
      <c r="Q36" s="750"/>
      <c r="R36" s="750">
        <v>50000</v>
      </c>
      <c r="S36" s="750"/>
      <c r="T36" s="750">
        <v>50000</v>
      </c>
      <c r="U36" s="750"/>
      <c r="V36" s="750">
        <v>50000</v>
      </c>
      <c r="W36" s="750"/>
      <c r="X36" s="750">
        <v>50000</v>
      </c>
      <c r="Y36" s="750"/>
      <c r="Z36" s="750">
        <v>50000</v>
      </c>
      <c r="AA36" s="750"/>
      <c r="AB36" s="750">
        <v>50000</v>
      </c>
      <c r="AC36" s="750"/>
      <c r="AD36" s="750">
        <v>100000</v>
      </c>
      <c r="AE36" s="750"/>
      <c r="AF36" s="750">
        <v>50000</v>
      </c>
      <c r="AG36" s="750"/>
      <c r="AH36" s="751">
        <v>0</v>
      </c>
      <c r="AI36" s="751"/>
      <c r="AJ36" s="750">
        <v>50000</v>
      </c>
      <c r="AK36" s="750"/>
      <c r="AL36" s="750">
        <v>40000</v>
      </c>
      <c r="AM36" s="750"/>
      <c r="AN36" s="750">
        <v>40000</v>
      </c>
      <c r="AO36" s="750"/>
      <c r="AP36" s="750">
        <v>40000</v>
      </c>
      <c r="AQ36" s="750"/>
      <c r="AR36" s="750">
        <v>0</v>
      </c>
      <c r="AS36" s="750"/>
      <c r="AT36" s="769">
        <f t="shared" si="2"/>
        <v>0</v>
      </c>
      <c r="AU36" s="750">
        <f t="shared" si="3"/>
        <v>920000</v>
      </c>
      <c r="AV36" s="769">
        <f t="shared" si="4"/>
        <v>0</v>
      </c>
      <c r="AW36" s="752">
        <f t="shared" si="0"/>
        <v>0</v>
      </c>
      <c r="AX36" s="752" t="s">
        <v>1315</v>
      </c>
      <c r="AY36" s="696">
        <v>50000</v>
      </c>
    </row>
    <row r="37" spans="1:51" s="752" customFormat="1" hidden="1">
      <c r="A37" s="743">
        <f t="shared" si="5"/>
        <v>33</v>
      </c>
      <c r="B37" s="744"/>
      <c r="C37" s="745" t="s">
        <v>1143</v>
      </c>
      <c r="D37" s="746" t="s">
        <v>1225</v>
      </c>
      <c r="E37" s="747">
        <f t="shared" si="1"/>
        <v>250000</v>
      </c>
      <c r="F37" s="748">
        <v>50000</v>
      </c>
      <c r="G37" s="749"/>
      <c r="H37" s="750">
        <v>50000</v>
      </c>
      <c r="I37" s="750"/>
      <c r="J37" s="750">
        <v>50000</v>
      </c>
      <c r="K37" s="750"/>
      <c r="L37" s="750">
        <v>50000</v>
      </c>
      <c r="M37" s="750"/>
      <c r="N37" s="750">
        <v>50000</v>
      </c>
      <c r="O37" s="750"/>
      <c r="P37" s="750">
        <v>0</v>
      </c>
      <c r="Q37" s="750"/>
      <c r="R37" s="750">
        <v>0</v>
      </c>
      <c r="S37" s="750"/>
      <c r="T37" s="750">
        <v>0</v>
      </c>
      <c r="U37" s="750"/>
      <c r="V37" s="750">
        <v>0</v>
      </c>
      <c r="W37" s="750"/>
      <c r="X37" s="750">
        <v>0</v>
      </c>
      <c r="Y37" s="750"/>
      <c r="Z37" s="750">
        <v>0</v>
      </c>
      <c r="AA37" s="750"/>
      <c r="AB37" s="750">
        <v>0</v>
      </c>
      <c r="AC37" s="750"/>
      <c r="AD37" s="750">
        <v>0</v>
      </c>
      <c r="AE37" s="750"/>
      <c r="AF37" s="750">
        <v>0</v>
      </c>
      <c r="AG37" s="750"/>
      <c r="AH37" s="750"/>
      <c r="AI37" s="750"/>
      <c r="AJ37" s="750">
        <v>0</v>
      </c>
      <c r="AK37" s="750"/>
      <c r="AL37" s="750">
        <v>0</v>
      </c>
      <c r="AM37" s="750"/>
      <c r="AN37" s="750">
        <v>0</v>
      </c>
      <c r="AO37" s="750"/>
      <c r="AP37" s="750">
        <v>0</v>
      </c>
      <c r="AQ37" s="750"/>
      <c r="AR37" s="750">
        <v>0</v>
      </c>
      <c r="AS37" s="750"/>
      <c r="AT37" s="769">
        <f t="shared" si="2"/>
        <v>0</v>
      </c>
      <c r="AU37" s="750">
        <f t="shared" si="3"/>
        <v>250000</v>
      </c>
      <c r="AV37" s="769">
        <f t="shared" si="4"/>
        <v>0</v>
      </c>
      <c r="AW37" s="752">
        <f t="shared" si="0"/>
        <v>0</v>
      </c>
      <c r="AX37" s="752" t="s">
        <v>1358</v>
      </c>
      <c r="AY37" s="696">
        <v>50000</v>
      </c>
    </row>
    <row r="38" spans="1:51" s="752" customFormat="1" hidden="1">
      <c r="A38" s="743">
        <f t="shared" si="5"/>
        <v>34</v>
      </c>
      <c r="B38" s="744"/>
      <c r="C38" s="745" t="s">
        <v>1144</v>
      </c>
      <c r="D38" s="746" t="s">
        <v>1226</v>
      </c>
      <c r="E38" s="747">
        <f t="shared" si="1"/>
        <v>300000</v>
      </c>
      <c r="F38" s="748">
        <v>50000</v>
      </c>
      <c r="G38" s="749"/>
      <c r="H38" s="750">
        <v>50000</v>
      </c>
      <c r="I38" s="750"/>
      <c r="J38" s="750">
        <v>0</v>
      </c>
      <c r="K38" s="750"/>
      <c r="L38" s="750">
        <v>0</v>
      </c>
      <c r="M38" s="750"/>
      <c r="N38" s="751">
        <v>0</v>
      </c>
      <c r="O38" s="751">
        <v>50000</v>
      </c>
      <c r="P38" s="750">
        <v>50000</v>
      </c>
      <c r="Q38" s="750"/>
      <c r="R38" s="750">
        <v>50000</v>
      </c>
      <c r="S38" s="750"/>
      <c r="T38" s="750">
        <v>50000</v>
      </c>
      <c r="U38" s="750"/>
      <c r="V38" s="750">
        <v>0</v>
      </c>
      <c r="W38" s="750"/>
      <c r="X38" s="750">
        <v>0</v>
      </c>
      <c r="Y38" s="750"/>
      <c r="Z38" s="750">
        <v>0</v>
      </c>
      <c r="AA38" s="750"/>
      <c r="AB38" s="750">
        <v>0</v>
      </c>
      <c r="AC38" s="750"/>
      <c r="AD38" s="750">
        <v>0</v>
      </c>
      <c r="AE38" s="750"/>
      <c r="AF38" s="750">
        <v>0</v>
      </c>
      <c r="AG38" s="750"/>
      <c r="AH38" s="750"/>
      <c r="AI38" s="750"/>
      <c r="AJ38" s="750">
        <v>0</v>
      </c>
      <c r="AK38" s="750"/>
      <c r="AL38" s="750">
        <v>0</v>
      </c>
      <c r="AM38" s="750"/>
      <c r="AN38" s="750">
        <v>0</v>
      </c>
      <c r="AO38" s="750"/>
      <c r="AP38" s="750">
        <v>0</v>
      </c>
      <c r="AQ38" s="750"/>
      <c r="AR38" s="750">
        <v>0</v>
      </c>
      <c r="AS38" s="750"/>
      <c r="AT38" s="769">
        <f t="shared" si="2"/>
        <v>50000</v>
      </c>
      <c r="AU38" s="750">
        <f t="shared" si="3"/>
        <v>250000</v>
      </c>
      <c r="AV38" s="769">
        <f t="shared" si="4"/>
        <v>0</v>
      </c>
      <c r="AW38" s="752">
        <f t="shared" si="0"/>
        <v>50000</v>
      </c>
      <c r="AX38" s="752" t="s">
        <v>1359</v>
      </c>
      <c r="AY38" s="696">
        <v>50000</v>
      </c>
    </row>
    <row r="39" spans="1:51" s="752" customFormat="1" hidden="1">
      <c r="A39" s="743">
        <f t="shared" si="5"/>
        <v>35</v>
      </c>
      <c r="B39" s="744"/>
      <c r="C39" s="745" t="s">
        <v>1145</v>
      </c>
      <c r="D39" s="746" t="s">
        <v>1227</v>
      </c>
      <c r="E39" s="747">
        <f t="shared" si="1"/>
        <v>960000</v>
      </c>
      <c r="F39" s="748">
        <v>50000</v>
      </c>
      <c r="G39" s="749"/>
      <c r="H39" s="750">
        <v>50000</v>
      </c>
      <c r="I39" s="750"/>
      <c r="J39" s="750">
        <v>50000</v>
      </c>
      <c r="K39" s="750"/>
      <c r="L39" s="750">
        <v>50000</v>
      </c>
      <c r="M39" s="750"/>
      <c r="N39" s="750">
        <v>50000</v>
      </c>
      <c r="O39" s="750"/>
      <c r="P39" s="750">
        <v>50000</v>
      </c>
      <c r="Q39" s="750"/>
      <c r="R39" s="750">
        <v>50000</v>
      </c>
      <c r="S39" s="750"/>
      <c r="T39" s="750">
        <v>50000</v>
      </c>
      <c r="U39" s="750"/>
      <c r="V39" s="750">
        <v>50000</v>
      </c>
      <c r="W39" s="750"/>
      <c r="X39" s="750">
        <v>50000</v>
      </c>
      <c r="Y39" s="750"/>
      <c r="Z39" s="750">
        <v>50000</v>
      </c>
      <c r="AA39" s="750"/>
      <c r="AB39" s="750">
        <v>50000</v>
      </c>
      <c r="AC39" s="750"/>
      <c r="AD39" s="750">
        <v>100000</v>
      </c>
      <c r="AE39" s="750"/>
      <c r="AF39" s="750">
        <v>50000</v>
      </c>
      <c r="AG39" s="750"/>
      <c r="AH39" s="751">
        <v>0</v>
      </c>
      <c r="AI39" s="751"/>
      <c r="AJ39" s="751">
        <v>0</v>
      </c>
      <c r="AK39" s="751">
        <v>50000</v>
      </c>
      <c r="AL39" s="750">
        <v>40000</v>
      </c>
      <c r="AM39" s="750"/>
      <c r="AN39" s="750">
        <v>40000</v>
      </c>
      <c r="AO39" s="750"/>
      <c r="AP39" s="750">
        <v>40000</v>
      </c>
      <c r="AQ39" s="750"/>
      <c r="AR39" s="750">
        <v>40000</v>
      </c>
      <c r="AS39" s="750"/>
      <c r="AT39" s="769">
        <f t="shared" si="2"/>
        <v>50000</v>
      </c>
      <c r="AU39" s="750">
        <f t="shared" si="3"/>
        <v>910000</v>
      </c>
      <c r="AV39" s="769">
        <f t="shared" si="4"/>
        <v>0</v>
      </c>
      <c r="AW39" s="752">
        <f t="shared" si="0"/>
        <v>50000</v>
      </c>
      <c r="AX39" s="752" t="s">
        <v>1580</v>
      </c>
      <c r="AY39" s="696">
        <v>50000</v>
      </c>
    </row>
    <row r="40" spans="1:51" s="752" customFormat="1" hidden="1">
      <c r="A40" s="743">
        <f t="shared" si="5"/>
        <v>36</v>
      </c>
      <c r="B40" s="744"/>
      <c r="C40" s="745" t="s">
        <v>1146</v>
      </c>
      <c r="D40" s="746" t="s">
        <v>1228</v>
      </c>
      <c r="E40" s="747">
        <f t="shared" si="1"/>
        <v>960000</v>
      </c>
      <c r="F40" s="748">
        <v>50000</v>
      </c>
      <c r="G40" s="749"/>
      <c r="H40" s="750">
        <v>50000</v>
      </c>
      <c r="I40" s="750"/>
      <c r="J40" s="750">
        <v>50000</v>
      </c>
      <c r="K40" s="750"/>
      <c r="L40" s="750">
        <v>50000</v>
      </c>
      <c r="M40" s="750"/>
      <c r="N40" s="750">
        <v>50000</v>
      </c>
      <c r="O40" s="750"/>
      <c r="P40" s="750">
        <v>50000</v>
      </c>
      <c r="Q40" s="750"/>
      <c r="R40" s="750">
        <v>50000</v>
      </c>
      <c r="S40" s="750"/>
      <c r="T40" s="750">
        <v>50000</v>
      </c>
      <c r="U40" s="750"/>
      <c r="V40" s="750">
        <v>50000</v>
      </c>
      <c r="W40" s="750"/>
      <c r="X40" s="750">
        <v>50000</v>
      </c>
      <c r="Y40" s="750"/>
      <c r="Z40" s="750">
        <v>50000</v>
      </c>
      <c r="AA40" s="750"/>
      <c r="AB40" s="750">
        <v>50000</v>
      </c>
      <c r="AC40" s="750"/>
      <c r="AD40" s="750">
        <v>100000</v>
      </c>
      <c r="AE40" s="750"/>
      <c r="AF40" s="750">
        <v>50000</v>
      </c>
      <c r="AG40" s="750"/>
      <c r="AH40" s="751">
        <v>0</v>
      </c>
      <c r="AI40" s="751"/>
      <c r="AJ40" s="750">
        <v>50000</v>
      </c>
      <c r="AK40" s="750"/>
      <c r="AL40" s="750">
        <v>40000</v>
      </c>
      <c r="AM40" s="750"/>
      <c r="AN40" s="750">
        <v>40000</v>
      </c>
      <c r="AO40" s="750"/>
      <c r="AP40" s="750">
        <v>40000</v>
      </c>
      <c r="AQ40" s="750"/>
      <c r="AR40" s="750">
        <v>40000</v>
      </c>
      <c r="AS40" s="750"/>
      <c r="AT40" s="769">
        <f t="shared" si="2"/>
        <v>0</v>
      </c>
      <c r="AU40" s="750">
        <f t="shared" si="3"/>
        <v>960000</v>
      </c>
      <c r="AV40" s="769">
        <f t="shared" si="4"/>
        <v>0</v>
      </c>
      <c r="AW40" s="752">
        <f t="shared" si="0"/>
        <v>0</v>
      </c>
      <c r="AX40" s="752" t="s">
        <v>1609</v>
      </c>
      <c r="AY40" s="696">
        <v>50000</v>
      </c>
    </row>
    <row r="41" spans="1:51" s="752" customFormat="1" hidden="1">
      <c r="A41" s="743">
        <f t="shared" si="5"/>
        <v>37</v>
      </c>
      <c r="B41" s="744"/>
      <c r="C41" s="745" t="s">
        <v>1147</v>
      </c>
      <c r="D41" s="746" t="s">
        <v>1229</v>
      </c>
      <c r="E41" s="747">
        <f t="shared" si="1"/>
        <v>860000</v>
      </c>
      <c r="F41" s="748">
        <v>50000</v>
      </c>
      <c r="G41" s="749"/>
      <c r="H41" s="750">
        <v>50000</v>
      </c>
      <c r="I41" s="750"/>
      <c r="J41" s="750">
        <v>0</v>
      </c>
      <c r="K41" s="750"/>
      <c r="L41" s="750">
        <v>0</v>
      </c>
      <c r="M41" s="750"/>
      <c r="N41" s="751">
        <v>0</v>
      </c>
      <c r="O41" s="751">
        <v>50000</v>
      </c>
      <c r="P41" s="750">
        <v>50000</v>
      </c>
      <c r="Q41" s="750"/>
      <c r="R41" s="750">
        <v>50000</v>
      </c>
      <c r="S41" s="750"/>
      <c r="T41" s="750">
        <v>50000</v>
      </c>
      <c r="U41" s="750"/>
      <c r="V41" s="750">
        <v>50000</v>
      </c>
      <c r="W41" s="750"/>
      <c r="X41" s="750">
        <v>50000</v>
      </c>
      <c r="Y41" s="750"/>
      <c r="Z41" s="750">
        <v>50000</v>
      </c>
      <c r="AA41" s="750"/>
      <c r="AB41" s="750">
        <v>50000</v>
      </c>
      <c r="AC41" s="750"/>
      <c r="AD41" s="750">
        <v>100000</v>
      </c>
      <c r="AE41" s="750"/>
      <c r="AF41" s="750">
        <v>50000</v>
      </c>
      <c r="AG41" s="750"/>
      <c r="AH41" s="751">
        <v>0</v>
      </c>
      <c r="AI41" s="751"/>
      <c r="AJ41" s="751">
        <v>0</v>
      </c>
      <c r="AK41" s="751">
        <v>50000</v>
      </c>
      <c r="AL41" s="750">
        <v>40000</v>
      </c>
      <c r="AM41" s="750"/>
      <c r="AN41" s="750">
        <v>40000</v>
      </c>
      <c r="AO41" s="750"/>
      <c r="AP41" s="750">
        <v>40000</v>
      </c>
      <c r="AQ41" s="750"/>
      <c r="AR41" s="750">
        <v>40000</v>
      </c>
      <c r="AS41" s="750"/>
      <c r="AT41" s="769">
        <f t="shared" si="2"/>
        <v>100000</v>
      </c>
      <c r="AU41" s="750">
        <f t="shared" si="3"/>
        <v>760000</v>
      </c>
      <c r="AV41" s="769">
        <f t="shared" si="4"/>
        <v>0</v>
      </c>
      <c r="AW41" s="752">
        <f t="shared" si="0"/>
        <v>100000</v>
      </c>
      <c r="AX41" s="752" t="s">
        <v>1635</v>
      </c>
      <c r="AY41" s="696">
        <v>50000</v>
      </c>
    </row>
    <row r="42" spans="1:51" s="752" customFormat="1" hidden="1">
      <c r="A42" s="743">
        <f t="shared" si="5"/>
        <v>38</v>
      </c>
      <c r="B42" s="744"/>
      <c r="C42" s="745" t="s">
        <v>1148</v>
      </c>
      <c r="D42" s="746" t="s">
        <v>1230</v>
      </c>
      <c r="E42" s="747">
        <f t="shared" si="1"/>
        <v>960000</v>
      </c>
      <c r="F42" s="748">
        <v>50000</v>
      </c>
      <c r="G42" s="749"/>
      <c r="H42" s="750">
        <v>50000</v>
      </c>
      <c r="I42" s="750"/>
      <c r="J42" s="750">
        <v>50000</v>
      </c>
      <c r="K42" s="750"/>
      <c r="L42" s="750">
        <v>50000</v>
      </c>
      <c r="M42" s="750"/>
      <c r="N42" s="750">
        <v>50000</v>
      </c>
      <c r="O42" s="750"/>
      <c r="P42" s="750">
        <v>50000</v>
      </c>
      <c r="Q42" s="750"/>
      <c r="R42" s="750">
        <v>50000</v>
      </c>
      <c r="S42" s="750"/>
      <c r="T42" s="750">
        <v>50000</v>
      </c>
      <c r="U42" s="750"/>
      <c r="V42" s="750">
        <v>50000</v>
      </c>
      <c r="W42" s="750"/>
      <c r="X42" s="750">
        <v>50000</v>
      </c>
      <c r="Y42" s="750"/>
      <c r="Z42" s="750">
        <v>50000</v>
      </c>
      <c r="AA42" s="750"/>
      <c r="AB42" s="750">
        <v>50000</v>
      </c>
      <c r="AC42" s="750"/>
      <c r="AD42" s="750">
        <v>100000</v>
      </c>
      <c r="AE42" s="750"/>
      <c r="AF42" s="750">
        <v>50000</v>
      </c>
      <c r="AG42" s="750"/>
      <c r="AH42" s="751">
        <v>0</v>
      </c>
      <c r="AI42" s="751"/>
      <c r="AJ42" s="751">
        <v>0</v>
      </c>
      <c r="AK42" s="751">
        <v>50000</v>
      </c>
      <c r="AL42" s="750">
        <v>40000</v>
      </c>
      <c r="AM42" s="750"/>
      <c r="AN42" s="750">
        <v>40000</v>
      </c>
      <c r="AO42" s="750"/>
      <c r="AP42" s="750">
        <v>40000</v>
      </c>
      <c r="AQ42" s="750"/>
      <c r="AR42" s="750">
        <v>40000</v>
      </c>
      <c r="AS42" s="750"/>
      <c r="AT42" s="769">
        <f t="shared" si="2"/>
        <v>50000</v>
      </c>
      <c r="AU42" s="750">
        <f t="shared" si="3"/>
        <v>910000</v>
      </c>
      <c r="AV42" s="769">
        <f t="shared" si="4"/>
        <v>0</v>
      </c>
      <c r="AW42" s="752">
        <f t="shared" si="0"/>
        <v>50000</v>
      </c>
      <c r="AX42" s="752" t="s">
        <v>1769</v>
      </c>
      <c r="AY42" s="696">
        <v>50000</v>
      </c>
    </row>
    <row r="43" spans="1:51" s="752" customFormat="1" hidden="1">
      <c r="A43" s="743">
        <f t="shared" si="5"/>
        <v>39</v>
      </c>
      <c r="B43" s="744"/>
      <c r="C43" s="745" t="s">
        <v>1149</v>
      </c>
      <c r="D43" s="746" t="s">
        <v>1231</v>
      </c>
      <c r="E43" s="747">
        <f t="shared" si="1"/>
        <v>960000</v>
      </c>
      <c r="F43" s="748">
        <v>50000</v>
      </c>
      <c r="G43" s="749"/>
      <c r="H43" s="750">
        <v>50000</v>
      </c>
      <c r="I43" s="750"/>
      <c r="J43" s="750">
        <v>50000</v>
      </c>
      <c r="K43" s="750"/>
      <c r="L43" s="750">
        <v>50000</v>
      </c>
      <c r="M43" s="750"/>
      <c r="N43" s="750">
        <v>50000</v>
      </c>
      <c r="O43" s="750"/>
      <c r="P43" s="750">
        <v>50000</v>
      </c>
      <c r="Q43" s="750"/>
      <c r="R43" s="750">
        <v>50000</v>
      </c>
      <c r="S43" s="750"/>
      <c r="T43" s="750">
        <v>50000</v>
      </c>
      <c r="U43" s="750"/>
      <c r="V43" s="750">
        <v>50000</v>
      </c>
      <c r="W43" s="750"/>
      <c r="X43" s="750">
        <v>50000</v>
      </c>
      <c r="Y43" s="750"/>
      <c r="Z43" s="750">
        <v>50000</v>
      </c>
      <c r="AA43" s="750"/>
      <c r="AB43" s="750">
        <v>50000</v>
      </c>
      <c r="AC43" s="750"/>
      <c r="AD43" s="750">
        <v>100000</v>
      </c>
      <c r="AE43" s="750"/>
      <c r="AF43" s="750">
        <v>50000</v>
      </c>
      <c r="AG43" s="750"/>
      <c r="AH43" s="751">
        <v>0</v>
      </c>
      <c r="AI43" s="751"/>
      <c r="AJ43" s="751">
        <v>0</v>
      </c>
      <c r="AK43" s="751">
        <v>50000</v>
      </c>
      <c r="AL43" s="750">
        <v>40000</v>
      </c>
      <c r="AM43" s="750"/>
      <c r="AN43" s="750">
        <v>40000</v>
      </c>
      <c r="AO43" s="750"/>
      <c r="AP43" s="750">
        <v>40000</v>
      </c>
      <c r="AQ43" s="750"/>
      <c r="AR43" s="750">
        <v>40000</v>
      </c>
      <c r="AS43" s="750"/>
      <c r="AT43" s="769">
        <f t="shared" si="2"/>
        <v>50000</v>
      </c>
      <c r="AU43" s="750">
        <f t="shared" si="3"/>
        <v>910000</v>
      </c>
      <c r="AV43" s="769">
        <f t="shared" si="4"/>
        <v>0</v>
      </c>
      <c r="AW43" s="752">
        <f t="shared" si="0"/>
        <v>50000</v>
      </c>
      <c r="AX43" s="752" t="s">
        <v>1781</v>
      </c>
      <c r="AY43" s="696">
        <v>50000</v>
      </c>
    </row>
    <row r="44" spans="1:51" s="752" customFormat="1" hidden="1">
      <c r="A44" s="743">
        <f t="shared" si="5"/>
        <v>40</v>
      </c>
      <c r="B44" s="744"/>
      <c r="C44" s="745" t="s">
        <v>1150</v>
      </c>
      <c r="D44" s="746" t="s">
        <v>1232</v>
      </c>
      <c r="E44" s="747">
        <f t="shared" si="1"/>
        <v>960000</v>
      </c>
      <c r="F44" s="748">
        <v>50000</v>
      </c>
      <c r="G44" s="749"/>
      <c r="H44" s="750">
        <v>50000</v>
      </c>
      <c r="I44" s="750"/>
      <c r="J44" s="750">
        <v>50000</v>
      </c>
      <c r="K44" s="750"/>
      <c r="L44" s="750">
        <v>50000</v>
      </c>
      <c r="M44" s="750"/>
      <c r="N44" s="750">
        <v>50000</v>
      </c>
      <c r="O44" s="750"/>
      <c r="P44" s="750">
        <v>50000</v>
      </c>
      <c r="Q44" s="750"/>
      <c r="R44" s="750">
        <v>50000</v>
      </c>
      <c r="S44" s="750"/>
      <c r="T44" s="750">
        <v>50000</v>
      </c>
      <c r="U44" s="750"/>
      <c r="V44" s="750">
        <v>50000</v>
      </c>
      <c r="W44" s="750"/>
      <c r="X44" s="750">
        <v>50000</v>
      </c>
      <c r="Y44" s="750"/>
      <c r="Z44" s="750">
        <v>50000</v>
      </c>
      <c r="AA44" s="750"/>
      <c r="AB44" s="750">
        <v>50000</v>
      </c>
      <c r="AC44" s="750"/>
      <c r="AD44" s="750">
        <v>100000</v>
      </c>
      <c r="AE44" s="750"/>
      <c r="AF44" s="750">
        <v>50000</v>
      </c>
      <c r="AG44" s="750"/>
      <c r="AH44" s="751">
        <v>0</v>
      </c>
      <c r="AI44" s="751"/>
      <c r="AJ44" s="751">
        <v>0</v>
      </c>
      <c r="AK44" s="751">
        <v>50000</v>
      </c>
      <c r="AL44" s="750">
        <v>40000</v>
      </c>
      <c r="AM44" s="750"/>
      <c r="AN44" s="750">
        <v>40000</v>
      </c>
      <c r="AO44" s="750"/>
      <c r="AP44" s="750">
        <v>40000</v>
      </c>
      <c r="AQ44" s="750"/>
      <c r="AR44" s="750">
        <v>40000</v>
      </c>
      <c r="AS44" s="750"/>
      <c r="AT44" s="769">
        <f t="shared" si="2"/>
        <v>50000</v>
      </c>
      <c r="AU44" s="750">
        <f t="shared" si="3"/>
        <v>910000</v>
      </c>
      <c r="AV44" s="769">
        <f t="shared" si="4"/>
        <v>0</v>
      </c>
      <c r="AW44" s="752">
        <f t="shared" si="0"/>
        <v>50000</v>
      </c>
      <c r="AX44" s="752" t="s">
        <v>1784</v>
      </c>
      <c r="AY44" s="696">
        <v>50000</v>
      </c>
    </row>
    <row r="45" spans="1:51" s="725" customFormat="1" hidden="1">
      <c r="A45" s="738">
        <f t="shared" si="5"/>
        <v>41</v>
      </c>
      <c r="B45" s="716"/>
      <c r="C45" s="717" t="s">
        <v>1151</v>
      </c>
      <c r="D45" s="731" t="s">
        <v>1233</v>
      </c>
      <c r="E45" s="727">
        <f t="shared" si="1"/>
        <v>960000</v>
      </c>
      <c r="F45" s="739">
        <v>50000</v>
      </c>
      <c r="G45" s="740"/>
      <c r="H45" s="729">
        <v>50000</v>
      </c>
      <c r="I45" s="729"/>
      <c r="J45" s="729">
        <v>50000</v>
      </c>
      <c r="K45" s="729"/>
      <c r="L45" s="729">
        <v>50000</v>
      </c>
      <c r="M45" s="729"/>
      <c r="N45" s="729">
        <v>50000</v>
      </c>
      <c r="O45" s="729"/>
      <c r="P45" s="729">
        <v>50000</v>
      </c>
      <c r="Q45" s="729"/>
      <c r="R45" s="729">
        <v>50000</v>
      </c>
      <c r="S45" s="729"/>
      <c r="T45" s="729">
        <v>50000</v>
      </c>
      <c r="U45" s="729"/>
      <c r="V45" s="729">
        <v>50000</v>
      </c>
      <c r="W45" s="729"/>
      <c r="X45" s="729">
        <v>50000</v>
      </c>
      <c r="Y45" s="729"/>
      <c r="Z45" s="729">
        <v>50000</v>
      </c>
      <c r="AA45" s="729"/>
      <c r="AB45" s="729">
        <v>50000</v>
      </c>
      <c r="AC45" s="729"/>
      <c r="AD45" s="729">
        <v>100000</v>
      </c>
      <c r="AE45" s="729"/>
      <c r="AF45" s="729">
        <v>50000</v>
      </c>
      <c r="AG45" s="729"/>
      <c r="AH45" s="741">
        <v>0</v>
      </c>
      <c r="AI45" s="741"/>
      <c r="AJ45" s="741">
        <v>0</v>
      </c>
      <c r="AK45" s="741">
        <v>50000</v>
      </c>
      <c r="AL45" s="729">
        <v>40000</v>
      </c>
      <c r="AM45" s="729"/>
      <c r="AN45" s="729">
        <v>40000</v>
      </c>
      <c r="AO45" s="729"/>
      <c r="AP45" s="729">
        <v>40000</v>
      </c>
      <c r="AQ45" s="729"/>
      <c r="AR45" s="729">
        <v>40000</v>
      </c>
      <c r="AS45" s="729"/>
      <c r="AT45" s="769">
        <f t="shared" si="2"/>
        <v>50000</v>
      </c>
      <c r="AU45" s="729">
        <f t="shared" si="3"/>
        <v>910000</v>
      </c>
      <c r="AV45" s="769">
        <f t="shared" si="4"/>
        <v>0</v>
      </c>
      <c r="AW45" s="725">
        <f t="shared" si="0"/>
        <v>50000</v>
      </c>
      <c r="AX45" s="725" t="s">
        <v>1785</v>
      </c>
      <c r="AY45" s="696">
        <v>50000</v>
      </c>
    </row>
    <row r="46" spans="1:51" s="725" customFormat="1" hidden="1">
      <c r="A46" s="738">
        <f t="shared" si="5"/>
        <v>42</v>
      </c>
      <c r="B46" s="716"/>
      <c r="C46" s="717" t="s">
        <v>1152</v>
      </c>
      <c r="D46" s="731" t="s">
        <v>1234</v>
      </c>
      <c r="E46" s="727">
        <f t="shared" si="1"/>
        <v>960000</v>
      </c>
      <c r="F46" s="739">
        <v>50000</v>
      </c>
      <c r="G46" s="740"/>
      <c r="H46" s="729">
        <v>50000</v>
      </c>
      <c r="I46" s="729"/>
      <c r="J46" s="729">
        <v>50000</v>
      </c>
      <c r="K46" s="729"/>
      <c r="L46" s="729">
        <v>50000</v>
      </c>
      <c r="M46" s="729"/>
      <c r="N46" s="729">
        <v>50000</v>
      </c>
      <c r="O46" s="729"/>
      <c r="P46" s="729">
        <v>50000</v>
      </c>
      <c r="Q46" s="729"/>
      <c r="R46" s="729">
        <v>50000</v>
      </c>
      <c r="S46" s="729"/>
      <c r="T46" s="729">
        <v>50000</v>
      </c>
      <c r="U46" s="729"/>
      <c r="V46" s="729">
        <v>50000</v>
      </c>
      <c r="W46" s="729"/>
      <c r="X46" s="729">
        <v>50000</v>
      </c>
      <c r="Y46" s="729"/>
      <c r="Z46" s="729">
        <v>50000</v>
      </c>
      <c r="AA46" s="729"/>
      <c r="AB46" s="729">
        <v>50000</v>
      </c>
      <c r="AC46" s="729"/>
      <c r="AD46" s="729">
        <v>100000</v>
      </c>
      <c r="AE46" s="729"/>
      <c r="AF46" s="729">
        <v>50000</v>
      </c>
      <c r="AG46" s="729"/>
      <c r="AH46" s="741">
        <v>0</v>
      </c>
      <c r="AI46" s="741"/>
      <c r="AJ46" s="741">
        <v>0</v>
      </c>
      <c r="AK46" s="741">
        <v>50000</v>
      </c>
      <c r="AL46" s="729">
        <v>40000</v>
      </c>
      <c r="AM46" s="729"/>
      <c r="AN46" s="729">
        <v>40000</v>
      </c>
      <c r="AO46" s="729"/>
      <c r="AP46" s="729">
        <v>40000</v>
      </c>
      <c r="AQ46" s="729"/>
      <c r="AR46" s="729">
        <v>40000</v>
      </c>
      <c r="AS46" s="729"/>
      <c r="AT46" s="769">
        <f t="shared" si="2"/>
        <v>50000</v>
      </c>
      <c r="AU46" s="729">
        <f t="shared" si="3"/>
        <v>910000</v>
      </c>
      <c r="AV46" s="769">
        <f t="shared" si="4"/>
        <v>0</v>
      </c>
      <c r="AW46" s="725">
        <f t="shared" si="0"/>
        <v>50000</v>
      </c>
      <c r="AX46" s="725" t="s">
        <v>1798</v>
      </c>
      <c r="AY46" s="696">
        <v>50000</v>
      </c>
    </row>
    <row r="47" spans="1:51" s="725" customFormat="1" hidden="1">
      <c r="A47" s="738">
        <f t="shared" si="5"/>
        <v>43</v>
      </c>
      <c r="B47" s="716"/>
      <c r="C47" s="717" t="s">
        <v>1153</v>
      </c>
      <c r="D47" s="731" t="s">
        <v>1235</v>
      </c>
      <c r="E47" s="727">
        <f t="shared" si="1"/>
        <v>960000</v>
      </c>
      <c r="F47" s="739">
        <v>50000</v>
      </c>
      <c r="G47" s="740"/>
      <c r="H47" s="729">
        <v>50000</v>
      </c>
      <c r="I47" s="729"/>
      <c r="J47" s="729">
        <v>50000</v>
      </c>
      <c r="K47" s="729"/>
      <c r="L47" s="729">
        <v>50000</v>
      </c>
      <c r="M47" s="729"/>
      <c r="N47" s="729">
        <v>50000</v>
      </c>
      <c r="O47" s="729"/>
      <c r="P47" s="729">
        <v>50000</v>
      </c>
      <c r="Q47" s="729"/>
      <c r="R47" s="729">
        <v>50000</v>
      </c>
      <c r="S47" s="729"/>
      <c r="T47" s="729">
        <v>50000</v>
      </c>
      <c r="U47" s="729"/>
      <c r="V47" s="729">
        <v>50000</v>
      </c>
      <c r="W47" s="729"/>
      <c r="X47" s="729">
        <v>50000</v>
      </c>
      <c r="Y47" s="729"/>
      <c r="Z47" s="729">
        <v>50000</v>
      </c>
      <c r="AA47" s="729"/>
      <c r="AB47" s="729">
        <v>50000</v>
      </c>
      <c r="AC47" s="729"/>
      <c r="AD47" s="729">
        <v>100000</v>
      </c>
      <c r="AE47" s="729"/>
      <c r="AF47" s="729">
        <v>50000</v>
      </c>
      <c r="AG47" s="729"/>
      <c r="AH47" s="741">
        <v>0</v>
      </c>
      <c r="AI47" s="741"/>
      <c r="AJ47" s="741">
        <v>0</v>
      </c>
      <c r="AK47" s="741">
        <v>50000</v>
      </c>
      <c r="AL47" s="729">
        <v>40000</v>
      </c>
      <c r="AM47" s="729"/>
      <c r="AN47" s="729">
        <v>40000</v>
      </c>
      <c r="AO47" s="729"/>
      <c r="AP47" s="729">
        <v>40000</v>
      </c>
      <c r="AQ47" s="729"/>
      <c r="AR47" s="729">
        <v>40000</v>
      </c>
      <c r="AS47" s="729"/>
      <c r="AT47" s="769">
        <f t="shared" si="2"/>
        <v>50000</v>
      </c>
      <c r="AU47" s="729">
        <f t="shared" si="3"/>
        <v>910000</v>
      </c>
      <c r="AV47" s="769">
        <f t="shared" si="4"/>
        <v>0</v>
      </c>
      <c r="AW47" s="725">
        <f t="shared" si="0"/>
        <v>50000</v>
      </c>
      <c r="AX47" s="725" t="s">
        <v>1799</v>
      </c>
      <c r="AY47" s="696">
        <v>50000</v>
      </c>
    </row>
    <row r="48" spans="1:51" s="725" customFormat="1" hidden="1">
      <c r="A48" s="738">
        <f t="shared" si="5"/>
        <v>44</v>
      </c>
      <c r="B48" s="716"/>
      <c r="C48" s="717" t="s">
        <v>1154</v>
      </c>
      <c r="D48" s="731" t="s">
        <v>1236</v>
      </c>
      <c r="E48" s="727">
        <f t="shared" si="1"/>
        <v>960000</v>
      </c>
      <c r="F48" s="739">
        <v>50000</v>
      </c>
      <c r="G48" s="740"/>
      <c r="H48" s="729">
        <v>50000</v>
      </c>
      <c r="I48" s="729"/>
      <c r="J48" s="729">
        <v>50000</v>
      </c>
      <c r="K48" s="729"/>
      <c r="L48" s="729">
        <v>50000</v>
      </c>
      <c r="M48" s="729"/>
      <c r="N48" s="729">
        <v>50000</v>
      </c>
      <c r="O48" s="729"/>
      <c r="P48" s="729">
        <v>50000</v>
      </c>
      <c r="Q48" s="729"/>
      <c r="R48" s="729">
        <v>50000</v>
      </c>
      <c r="S48" s="729"/>
      <c r="T48" s="729">
        <v>50000</v>
      </c>
      <c r="U48" s="729"/>
      <c r="V48" s="729">
        <v>50000</v>
      </c>
      <c r="W48" s="729"/>
      <c r="X48" s="729">
        <v>50000</v>
      </c>
      <c r="Y48" s="729"/>
      <c r="Z48" s="729">
        <v>50000</v>
      </c>
      <c r="AA48" s="729"/>
      <c r="AB48" s="729">
        <v>50000</v>
      </c>
      <c r="AC48" s="729"/>
      <c r="AD48" s="729">
        <v>100000</v>
      </c>
      <c r="AE48" s="729"/>
      <c r="AF48" s="729">
        <v>50000</v>
      </c>
      <c r="AG48" s="729"/>
      <c r="AH48" s="741">
        <v>0</v>
      </c>
      <c r="AI48" s="741"/>
      <c r="AJ48" s="729">
        <v>50000</v>
      </c>
      <c r="AK48" s="729"/>
      <c r="AL48" s="729">
        <v>40000</v>
      </c>
      <c r="AM48" s="729"/>
      <c r="AN48" s="729">
        <v>40000</v>
      </c>
      <c r="AO48" s="729"/>
      <c r="AP48" s="729">
        <v>40000</v>
      </c>
      <c r="AQ48" s="729"/>
      <c r="AR48" s="729">
        <v>40000</v>
      </c>
      <c r="AS48" s="729"/>
      <c r="AT48" s="769">
        <f t="shared" si="2"/>
        <v>0</v>
      </c>
      <c r="AU48" s="729">
        <f t="shared" si="3"/>
        <v>960000</v>
      </c>
      <c r="AV48" s="769">
        <f t="shared" si="4"/>
        <v>0</v>
      </c>
      <c r="AW48" s="725">
        <f t="shared" si="0"/>
        <v>0</v>
      </c>
      <c r="AX48" s="725" t="s">
        <v>1809</v>
      </c>
      <c r="AY48" s="696">
        <v>50000</v>
      </c>
    </row>
    <row r="49" spans="1:51" s="725" customFormat="1" hidden="1">
      <c r="A49" s="738">
        <f t="shared" si="5"/>
        <v>45</v>
      </c>
      <c r="B49" s="716"/>
      <c r="C49" s="717" t="s">
        <v>1155</v>
      </c>
      <c r="D49" s="731" t="s">
        <v>1237</v>
      </c>
      <c r="E49" s="727">
        <f t="shared" si="1"/>
        <v>960000</v>
      </c>
      <c r="F49" s="739">
        <v>50000</v>
      </c>
      <c r="G49" s="740"/>
      <c r="H49" s="729">
        <v>50000</v>
      </c>
      <c r="I49" s="729"/>
      <c r="J49" s="729">
        <v>50000</v>
      </c>
      <c r="K49" s="729"/>
      <c r="L49" s="729">
        <v>50000</v>
      </c>
      <c r="M49" s="729"/>
      <c r="N49" s="729">
        <v>50000</v>
      </c>
      <c r="O49" s="729"/>
      <c r="P49" s="729">
        <v>50000</v>
      </c>
      <c r="Q49" s="729"/>
      <c r="R49" s="729">
        <v>50000</v>
      </c>
      <c r="S49" s="729"/>
      <c r="T49" s="729">
        <v>50000</v>
      </c>
      <c r="U49" s="729"/>
      <c r="V49" s="729">
        <v>50000</v>
      </c>
      <c r="W49" s="729"/>
      <c r="X49" s="729">
        <v>50000</v>
      </c>
      <c r="Y49" s="729"/>
      <c r="Z49" s="729">
        <v>50000</v>
      </c>
      <c r="AA49" s="729"/>
      <c r="AB49" s="729">
        <v>50000</v>
      </c>
      <c r="AC49" s="729"/>
      <c r="AD49" s="755">
        <v>100000</v>
      </c>
      <c r="AE49" s="755"/>
      <c r="AF49" s="729">
        <v>50000</v>
      </c>
      <c r="AG49" s="729"/>
      <c r="AH49" s="741">
        <v>0</v>
      </c>
      <c r="AI49" s="741"/>
      <c r="AJ49" s="729">
        <v>50000</v>
      </c>
      <c r="AK49" s="729"/>
      <c r="AL49" s="729">
        <v>40000</v>
      </c>
      <c r="AM49" s="729"/>
      <c r="AN49" s="729">
        <v>40000</v>
      </c>
      <c r="AO49" s="729"/>
      <c r="AP49" s="729">
        <v>40000</v>
      </c>
      <c r="AQ49" s="729"/>
      <c r="AR49" s="729">
        <v>40000</v>
      </c>
      <c r="AS49" s="729"/>
      <c r="AT49" s="769">
        <f t="shared" si="2"/>
        <v>0</v>
      </c>
      <c r="AU49" s="729">
        <f t="shared" si="3"/>
        <v>960000</v>
      </c>
      <c r="AV49" s="769">
        <f t="shared" si="4"/>
        <v>0</v>
      </c>
      <c r="AW49" s="725">
        <f t="shared" si="0"/>
        <v>0</v>
      </c>
      <c r="AX49" s="725" t="s">
        <v>1812</v>
      </c>
      <c r="AY49" s="696">
        <v>50000</v>
      </c>
    </row>
    <row r="50" spans="1:51" s="725" customFormat="1">
      <c r="A50" s="738">
        <f t="shared" si="5"/>
        <v>46</v>
      </c>
      <c r="B50" s="716"/>
      <c r="C50" s="717" t="s">
        <v>1156</v>
      </c>
      <c r="D50" s="731" t="s">
        <v>1238</v>
      </c>
      <c r="E50" s="727">
        <f t="shared" si="1"/>
        <v>640000</v>
      </c>
      <c r="F50" s="739">
        <v>50000</v>
      </c>
      <c r="G50" s="740"/>
      <c r="H50" s="729">
        <v>50000</v>
      </c>
      <c r="I50" s="729"/>
      <c r="J50" s="729">
        <v>50000</v>
      </c>
      <c r="K50" s="729"/>
      <c r="L50" s="729">
        <v>50000</v>
      </c>
      <c r="M50" s="729"/>
      <c r="N50" s="729">
        <v>50000</v>
      </c>
      <c r="O50" s="729"/>
      <c r="P50" s="729">
        <v>50000</v>
      </c>
      <c r="Q50" s="729"/>
      <c r="R50" s="729">
        <v>50000</v>
      </c>
      <c r="S50" s="729"/>
      <c r="T50" s="729">
        <v>50000</v>
      </c>
      <c r="U50" s="729"/>
      <c r="V50" s="729">
        <v>50000</v>
      </c>
      <c r="W50" s="729"/>
      <c r="X50" s="729">
        <v>50000</v>
      </c>
      <c r="Y50" s="729"/>
      <c r="Z50" s="729">
        <v>50000</v>
      </c>
      <c r="AA50" s="729"/>
      <c r="AB50" s="729">
        <v>50000</v>
      </c>
      <c r="AC50" s="729"/>
      <c r="AD50" s="729">
        <v>0</v>
      </c>
      <c r="AE50" s="729"/>
      <c r="AF50" s="729">
        <v>0</v>
      </c>
      <c r="AG50" s="729"/>
      <c r="AH50" s="729"/>
      <c r="AI50" s="729"/>
      <c r="AJ50" s="729">
        <v>0</v>
      </c>
      <c r="AK50" s="729"/>
      <c r="AL50" s="741">
        <v>0</v>
      </c>
      <c r="AM50" s="741">
        <v>40000</v>
      </c>
      <c r="AN50" s="729">
        <v>0</v>
      </c>
      <c r="AO50" s="729"/>
      <c r="AP50" s="729">
        <v>0</v>
      </c>
      <c r="AQ50" s="729"/>
      <c r="AR50" s="729">
        <v>0</v>
      </c>
      <c r="AS50" s="729"/>
      <c r="AT50" s="769">
        <f t="shared" si="2"/>
        <v>40000</v>
      </c>
      <c r="AU50" s="729">
        <f t="shared" si="3"/>
        <v>600000</v>
      </c>
      <c r="AV50" s="771">
        <f t="shared" si="4"/>
        <v>40000</v>
      </c>
      <c r="AW50" s="725">
        <f t="shared" si="0"/>
        <v>0</v>
      </c>
      <c r="AX50" s="725" t="s">
        <v>1830</v>
      </c>
      <c r="AY50" s="696">
        <v>50000</v>
      </c>
    </row>
    <row r="51" spans="1:51" s="725" customFormat="1" hidden="1">
      <c r="A51" s="738">
        <f t="shared" si="5"/>
        <v>47</v>
      </c>
      <c r="B51" s="716"/>
      <c r="C51" s="717" t="s">
        <v>1157</v>
      </c>
      <c r="D51" s="731" t="s">
        <v>1239</v>
      </c>
      <c r="E51" s="727">
        <f t="shared" si="1"/>
        <v>960000</v>
      </c>
      <c r="F51" s="739">
        <v>50000</v>
      </c>
      <c r="G51" s="740"/>
      <c r="H51" s="729">
        <v>50000</v>
      </c>
      <c r="I51" s="729"/>
      <c r="J51" s="729">
        <v>50000</v>
      </c>
      <c r="K51" s="729"/>
      <c r="L51" s="729">
        <v>50000</v>
      </c>
      <c r="M51" s="729"/>
      <c r="N51" s="729">
        <v>50000</v>
      </c>
      <c r="O51" s="729"/>
      <c r="P51" s="729">
        <v>50000</v>
      </c>
      <c r="Q51" s="729"/>
      <c r="R51" s="729">
        <v>50000</v>
      </c>
      <c r="S51" s="729"/>
      <c r="T51" s="729">
        <v>50000</v>
      </c>
      <c r="U51" s="729"/>
      <c r="V51" s="729">
        <v>50000</v>
      </c>
      <c r="W51" s="729"/>
      <c r="X51" s="729">
        <v>50000</v>
      </c>
      <c r="Y51" s="729"/>
      <c r="Z51" s="729">
        <v>50000</v>
      </c>
      <c r="AA51" s="729"/>
      <c r="AB51" s="729">
        <v>50000</v>
      </c>
      <c r="AC51" s="729"/>
      <c r="AD51" s="729">
        <v>100000</v>
      </c>
      <c r="AE51" s="729"/>
      <c r="AF51" s="729">
        <v>50000</v>
      </c>
      <c r="AG51" s="729"/>
      <c r="AH51" s="741">
        <v>0</v>
      </c>
      <c r="AI51" s="741"/>
      <c r="AJ51" s="741">
        <v>0</v>
      </c>
      <c r="AK51" s="741">
        <v>50000</v>
      </c>
      <c r="AL51" s="729">
        <v>40000</v>
      </c>
      <c r="AM51" s="729"/>
      <c r="AN51" s="729">
        <v>40000</v>
      </c>
      <c r="AO51" s="729"/>
      <c r="AP51" s="729">
        <v>40000</v>
      </c>
      <c r="AQ51" s="729"/>
      <c r="AR51" s="729">
        <v>40000</v>
      </c>
      <c r="AS51" s="729"/>
      <c r="AT51" s="769">
        <f t="shared" si="2"/>
        <v>50000</v>
      </c>
      <c r="AU51" s="729">
        <f t="shared" si="3"/>
        <v>910000</v>
      </c>
      <c r="AV51" s="769">
        <f t="shared" si="4"/>
        <v>0</v>
      </c>
      <c r="AW51" s="725">
        <f t="shared" si="0"/>
        <v>50000</v>
      </c>
      <c r="AX51" s="725" t="s">
        <v>1889</v>
      </c>
      <c r="AY51" s="696">
        <v>50000</v>
      </c>
    </row>
    <row r="52" spans="1:51" s="725" customFormat="1" hidden="1">
      <c r="A52" s="738">
        <f t="shared" si="5"/>
        <v>48</v>
      </c>
      <c r="B52" s="716"/>
      <c r="C52" s="717" t="s">
        <v>1158</v>
      </c>
      <c r="D52" s="731" t="s">
        <v>1240</v>
      </c>
      <c r="E52" s="727">
        <f t="shared" si="1"/>
        <v>960000</v>
      </c>
      <c r="F52" s="739">
        <v>50000</v>
      </c>
      <c r="G52" s="740"/>
      <c r="H52" s="729">
        <v>50000</v>
      </c>
      <c r="I52" s="729"/>
      <c r="J52" s="729">
        <v>50000</v>
      </c>
      <c r="K52" s="729"/>
      <c r="L52" s="729">
        <v>50000</v>
      </c>
      <c r="M52" s="729"/>
      <c r="N52" s="729">
        <v>50000</v>
      </c>
      <c r="O52" s="729"/>
      <c r="P52" s="729">
        <v>50000</v>
      </c>
      <c r="Q52" s="729"/>
      <c r="R52" s="729">
        <v>50000</v>
      </c>
      <c r="S52" s="729"/>
      <c r="T52" s="729">
        <v>50000</v>
      </c>
      <c r="U52" s="729"/>
      <c r="V52" s="729">
        <v>50000</v>
      </c>
      <c r="W52" s="729"/>
      <c r="X52" s="729">
        <v>50000</v>
      </c>
      <c r="Y52" s="729"/>
      <c r="Z52" s="729">
        <v>50000</v>
      </c>
      <c r="AA52" s="729"/>
      <c r="AB52" s="729">
        <v>50000</v>
      </c>
      <c r="AC52" s="729"/>
      <c r="AD52" s="729">
        <v>100000</v>
      </c>
      <c r="AE52" s="729"/>
      <c r="AF52" s="729">
        <v>50000</v>
      </c>
      <c r="AG52" s="729"/>
      <c r="AH52" s="741">
        <v>0</v>
      </c>
      <c r="AI52" s="741"/>
      <c r="AJ52" s="729">
        <v>50000</v>
      </c>
      <c r="AK52" s="729"/>
      <c r="AL52" s="729">
        <v>40000</v>
      </c>
      <c r="AM52" s="729"/>
      <c r="AN52" s="729">
        <v>40000</v>
      </c>
      <c r="AO52" s="729"/>
      <c r="AP52" s="729">
        <v>40000</v>
      </c>
      <c r="AQ52" s="729"/>
      <c r="AR52" s="729">
        <v>40000</v>
      </c>
      <c r="AS52" s="729"/>
      <c r="AT52" s="769">
        <f t="shared" si="2"/>
        <v>0</v>
      </c>
      <c r="AU52" s="729">
        <f t="shared" si="3"/>
        <v>960000</v>
      </c>
      <c r="AV52" s="769">
        <f t="shared" si="4"/>
        <v>0</v>
      </c>
      <c r="AW52" s="725">
        <f t="shared" si="0"/>
        <v>0</v>
      </c>
      <c r="AX52" s="725" t="s">
        <v>1890</v>
      </c>
      <c r="AY52" s="696">
        <v>50000</v>
      </c>
    </row>
    <row r="53" spans="1:51" s="725" customFormat="1" hidden="1">
      <c r="A53" s="738">
        <f t="shared" si="5"/>
        <v>49</v>
      </c>
      <c r="B53" s="716"/>
      <c r="C53" s="717" t="s">
        <v>1159</v>
      </c>
      <c r="D53" s="731" t="s">
        <v>1241</v>
      </c>
      <c r="E53" s="727">
        <f t="shared" si="1"/>
        <v>960000</v>
      </c>
      <c r="F53" s="739">
        <v>50000</v>
      </c>
      <c r="G53" s="740"/>
      <c r="H53" s="729">
        <v>50000</v>
      </c>
      <c r="I53" s="729"/>
      <c r="J53" s="729">
        <v>50000</v>
      </c>
      <c r="K53" s="729"/>
      <c r="L53" s="729">
        <v>50000</v>
      </c>
      <c r="M53" s="729"/>
      <c r="N53" s="729">
        <v>50000</v>
      </c>
      <c r="O53" s="729"/>
      <c r="P53" s="729">
        <v>50000</v>
      </c>
      <c r="Q53" s="729"/>
      <c r="R53" s="729">
        <v>50000</v>
      </c>
      <c r="S53" s="729"/>
      <c r="T53" s="729">
        <v>50000</v>
      </c>
      <c r="U53" s="729"/>
      <c r="V53" s="729">
        <v>50000</v>
      </c>
      <c r="W53" s="729"/>
      <c r="X53" s="729">
        <v>50000</v>
      </c>
      <c r="Y53" s="729"/>
      <c r="Z53" s="729">
        <v>50000</v>
      </c>
      <c r="AA53" s="729"/>
      <c r="AB53" s="729">
        <v>50000</v>
      </c>
      <c r="AC53" s="729"/>
      <c r="AD53" s="729">
        <v>100000</v>
      </c>
      <c r="AE53" s="729"/>
      <c r="AF53" s="729">
        <v>50000</v>
      </c>
      <c r="AG53" s="729"/>
      <c r="AH53" s="741">
        <v>0</v>
      </c>
      <c r="AI53" s="741"/>
      <c r="AJ53" s="729">
        <v>50000</v>
      </c>
      <c r="AK53" s="729"/>
      <c r="AL53" s="729">
        <v>40000</v>
      </c>
      <c r="AM53" s="729"/>
      <c r="AN53" s="729">
        <v>40000</v>
      </c>
      <c r="AO53" s="729"/>
      <c r="AP53" s="729">
        <v>40000</v>
      </c>
      <c r="AQ53" s="729"/>
      <c r="AR53" s="729">
        <v>40000</v>
      </c>
      <c r="AS53" s="729"/>
      <c r="AT53" s="769">
        <f t="shared" si="2"/>
        <v>0</v>
      </c>
      <c r="AU53" s="729">
        <f t="shared" si="3"/>
        <v>960000</v>
      </c>
      <c r="AV53" s="769">
        <f t="shared" si="4"/>
        <v>0</v>
      </c>
      <c r="AW53" s="725">
        <f t="shared" si="0"/>
        <v>0</v>
      </c>
      <c r="AX53" s="725" t="s">
        <v>1896</v>
      </c>
      <c r="AY53" s="696">
        <v>50000</v>
      </c>
    </row>
    <row r="54" spans="1:51" s="725" customFormat="1" hidden="1">
      <c r="A54" s="738">
        <f t="shared" si="5"/>
        <v>50</v>
      </c>
      <c r="B54" s="716"/>
      <c r="C54" s="717" t="s">
        <v>1160</v>
      </c>
      <c r="D54" s="731" t="s">
        <v>1242</v>
      </c>
      <c r="E54" s="727">
        <f t="shared" si="1"/>
        <v>450000</v>
      </c>
      <c r="F54" s="739">
        <v>50000</v>
      </c>
      <c r="G54" s="740"/>
      <c r="H54" s="729">
        <v>50000</v>
      </c>
      <c r="I54" s="729"/>
      <c r="J54" s="729">
        <v>50000</v>
      </c>
      <c r="K54" s="729"/>
      <c r="L54" s="729">
        <v>50000</v>
      </c>
      <c r="M54" s="729"/>
      <c r="N54" s="729">
        <v>50000</v>
      </c>
      <c r="O54" s="729"/>
      <c r="P54" s="729">
        <v>50000</v>
      </c>
      <c r="Q54" s="729"/>
      <c r="R54" s="729">
        <v>50000</v>
      </c>
      <c r="S54" s="729"/>
      <c r="T54" s="741">
        <v>0</v>
      </c>
      <c r="U54" s="741">
        <v>50000</v>
      </c>
      <c r="V54" s="741">
        <v>0</v>
      </c>
      <c r="W54" s="741">
        <v>50000</v>
      </c>
      <c r="X54" s="729">
        <v>0</v>
      </c>
      <c r="Y54" s="729"/>
      <c r="Z54" s="729">
        <v>0</v>
      </c>
      <c r="AA54" s="729"/>
      <c r="AB54" s="729">
        <v>0</v>
      </c>
      <c r="AC54" s="729"/>
      <c r="AD54" s="729">
        <v>0</v>
      </c>
      <c r="AE54" s="729"/>
      <c r="AF54" s="729">
        <v>0</v>
      </c>
      <c r="AG54" s="729"/>
      <c r="AH54" s="729"/>
      <c r="AI54" s="729"/>
      <c r="AJ54" s="729">
        <v>0</v>
      </c>
      <c r="AK54" s="729"/>
      <c r="AL54" s="729">
        <v>0</v>
      </c>
      <c r="AM54" s="729"/>
      <c r="AN54" s="729">
        <v>0</v>
      </c>
      <c r="AO54" s="729"/>
      <c r="AP54" s="729">
        <v>0</v>
      </c>
      <c r="AQ54" s="729"/>
      <c r="AR54" s="729">
        <v>0</v>
      </c>
      <c r="AS54" s="729"/>
      <c r="AT54" s="769">
        <f t="shared" si="2"/>
        <v>100000</v>
      </c>
      <c r="AU54" s="729">
        <f t="shared" si="3"/>
        <v>350000</v>
      </c>
      <c r="AV54" s="769">
        <f t="shared" si="4"/>
        <v>0</v>
      </c>
      <c r="AW54" s="725">
        <f t="shared" si="0"/>
        <v>100000</v>
      </c>
      <c r="AX54" s="725" t="s">
        <v>1897</v>
      </c>
      <c r="AY54" s="696">
        <v>50000</v>
      </c>
    </row>
    <row r="55" spans="1:51" s="752" customFormat="1" hidden="1">
      <c r="A55" s="743">
        <f t="shared" si="5"/>
        <v>51</v>
      </c>
      <c r="B55" s="744"/>
      <c r="C55" s="745" t="s">
        <v>1161</v>
      </c>
      <c r="D55" s="746" t="s">
        <v>1243</v>
      </c>
      <c r="E55" s="747">
        <f t="shared" si="1"/>
        <v>960000</v>
      </c>
      <c r="F55" s="748">
        <v>50000</v>
      </c>
      <c r="G55" s="749"/>
      <c r="H55" s="750">
        <v>50000</v>
      </c>
      <c r="I55" s="750"/>
      <c r="J55" s="750">
        <v>50000</v>
      </c>
      <c r="K55" s="750"/>
      <c r="L55" s="750">
        <v>50000</v>
      </c>
      <c r="M55" s="750"/>
      <c r="N55" s="750">
        <v>50000</v>
      </c>
      <c r="O55" s="750"/>
      <c r="P55" s="750">
        <v>50000</v>
      </c>
      <c r="Q55" s="750"/>
      <c r="R55" s="750">
        <v>50000</v>
      </c>
      <c r="S55" s="750"/>
      <c r="T55" s="750">
        <v>50000</v>
      </c>
      <c r="U55" s="750"/>
      <c r="V55" s="750">
        <v>50000</v>
      </c>
      <c r="W55" s="750"/>
      <c r="X55" s="750">
        <v>50000</v>
      </c>
      <c r="Y55" s="750"/>
      <c r="Z55" s="750">
        <v>50000</v>
      </c>
      <c r="AA55" s="750"/>
      <c r="AB55" s="750">
        <v>50000</v>
      </c>
      <c r="AC55" s="750"/>
      <c r="AD55" s="750">
        <v>150000</v>
      </c>
      <c r="AE55" s="750"/>
      <c r="AF55" s="750">
        <v>50000</v>
      </c>
      <c r="AG55" s="750"/>
      <c r="AH55" s="751">
        <v>0</v>
      </c>
      <c r="AI55" s="751"/>
      <c r="AJ55" s="751">
        <v>0</v>
      </c>
      <c r="AK55" s="751"/>
      <c r="AL55" s="750">
        <v>40000</v>
      </c>
      <c r="AM55" s="750"/>
      <c r="AN55" s="750">
        <v>40000</v>
      </c>
      <c r="AO55" s="750"/>
      <c r="AP55" s="750">
        <v>40000</v>
      </c>
      <c r="AQ55" s="750"/>
      <c r="AR55" s="750">
        <v>40000</v>
      </c>
      <c r="AS55" s="750"/>
      <c r="AT55" s="769">
        <f t="shared" si="2"/>
        <v>0</v>
      </c>
      <c r="AU55" s="750">
        <f t="shared" si="3"/>
        <v>960000</v>
      </c>
      <c r="AV55" s="769">
        <f t="shared" si="4"/>
        <v>0</v>
      </c>
      <c r="AW55" s="752">
        <f t="shared" si="0"/>
        <v>0</v>
      </c>
      <c r="AX55" s="752" t="s">
        <v>1901</v>
      </c>
      <c r="AY55" s="696">
        <v>50000</v>
      </c>
    </row>
    <row r="56" spans="1:51" s="752" customFormat="1" hidden="1">
      <c r="A56" s="743">
        <f t="shared" si="5"/>
        <v>52</v>
      </c>
      <c r="B56" s="744"/>
      <c r="C56" s="745" t="s">
        <v>1162</v>
      </c>
      <c r="D56" s="746" t="s">
        <v>1244</v>
      </c>
      <c r="E56" s="747">
        <f t="shared" si="1"/>
        <v>250000</v>
      </c>
      <c r="F56" s="748">
        <v>50000</v>
      </c>
      <c r="G56" s="749"/>
      <c r="H56" s="750">
        <v>50000</v>
      </c>
      <c r="I56" s="750"/>
      <c r="J56" s="750">
        <v>50000</v>
      </c>
      <c r="K56" s="750"/>
      <c r="L56" s="750">
        <v>50000</v>
      </c>
      <c r="M56" s="750"/>
      <c r="N56" s="751">
        <v>0</v>
      </c>
      <c r="O56" s="751">
        <v>50000</v>
      </c>
      <c r="P56" s="750">
        <v>0</v>
      </c>
      <c r="Q56" s="750"/>
      <c r="R56" s="750">
        <v>0</v>
      </c>
      <c r="S56" s="750"/>
      <c r="T56" s="750">
        <v>0</v>
      </c>
      <c r="U56" s="750"/>
      <c r="V56" s="750">
        <v>0</v>
      </c>
      <c r="W56" s="750"/>
      <c r="X56" s="750">
        <v>0</v>
      </c>
      <c r="Y56" s="750"/>
      <c r="Z56" s="750">
        <v>0</v>
      </c>
      <c r="AA56" s="750"/>
      <c r="AB56" s="750">
        <v>0</v>
      </c>
      <c r="AC56" s="750"/>
      <c r="AD56" s="750">
        <v>0</v>
      </c>
      <c r="AE56" s="750"/>
      <c r="AF56" s="750">
        <v>0</v>
      </c>
      <c r="AG56" s="750"/>
      <c r="AH56" s="750"/>
      <c r="AI56" s="750"/>
      <c r="AJ56" s="750">
        <v>0</v>
      </c>
      <c r="AK56" s="750"/>
      <c r="AL56" s="750">
        <v>0</v>
      </c>
      <c r="AM56" s="750"/>
      <c r="AN56" s="750">
        <v>0</v>
      </c>
      <c r="AO56" s="750"/>
      <c r="AP56" s="750">
        <v>0</v>
      </c>
      <c r="AQ56" s="750"/>
      <c r="AR56" s="750">
        <v>0</v>
      </c>
      <c r="AS56" s="750"/>
      <c r="AT56" s="769">
        <f t="shared" si="2"/>
        <v>50000</v>
      </c>
      <c r="AU56" s="750">
        <f t="shared" si="3"/>
        <v>200000</v>
      </c>
      <c r="AV56" s="769">
        <f t="shared" si="4"/>
        <v>0</v>
      </c>
      <c r="AW56" s="752">
        <f t="shared" si="0"/>
        <v>50000</v>
      </c>
      <c r="AX56" s="752" t="s">
        <v>1904</v>
      </c>
      <c r="AY56" s="696">
        <v>50000</v>
      </c>
    </row>
    <row r="57" spans="1:51" s="752" customFormat="1" hidden="1">
      <c r="A57" s="743">
        <f t="shared" si="5"/>
        <v>53</v>
      </c>
      <c r="B57" s="744"/>
      <c r="C57" s="745" t="s">
        <v>1163</v>
      </c>
      <c r="D57" s="746" t="s">
        <v>1245</v>
      </c>
      <c r="E57" s="747">
        <f t="shared" si="1"/>
        <v>1060000</v>
      </c>
      <c r="F57" s="748">
        <v>50000</v>
      </c>
      <c r="G57" s="749"/>
      <c r="H57" s="750">
        <v>50000</v>
      </c>
      <c r="I57" s="750"/>
      <c r="J57" s="750">
        <v>50000</v>
      </c>
      <c r="K57" s="750"/>
      <c r="L57" s="750">
        <v>50000</v>
      </c>
      <c r="M57" s="750"/>
      <c r="N57" s="750">
        <v>50000</v>
      </c>
      <c r="O57" s="750"/>
      <c r="P57" s="750">
        <v>50000</v>
      </c>
      <c r="Q57" s="750"/>
      <c r="R57" s="750">
        <v>50000</v>
      </c>
      <c r="S57" s="750"/>
      <c r="T57" s="750">
        <v>50000</v>
      </c>
      <c r="U57" s="750"/>
      <c r="V57" s="750">
        <v>50000</v>
      </c>
      <c r="W57" s="750"/>
      <c r="X57" s="750">
        <v>50000</v>
      </c>
      <c r="Y57" s="750"/>
      <c r="Z57" s="750">
        <v>100000</v>
      </c>
      <c r="AA57" s="750"/>
      <c r="AB57" s="750">
        <v>100000</v>
      </c>
      <c r="AC57" s="750"/>
      <c r="AD57" s="750">
        <v>150000</v>
      </c>
      <c r="AE57" s="750"/>
      <c r="AF57" s="750">
        <v>50000</v>
      </c>
      <c r="AG57" s="750"/>
      <c r="AH57" s="751">
        <v>0</v>
      </c>
      <c r="AI57" s="751"/>
      <c r="AJ57" s="751">
        <v>0</v>
      </c>
      <c r="AK57" s="751"/>
      <c r="AL57" s="750">
        <v>40000</v>
      </c>
      <c r="AM57" s="750"/>
      <c r="AN57" s="750">
        <v>40000</v>
      </c>
      <c r="AO57" s="750"/>
      <c r="AP57" s="750">
        <v>40000</v>
      </c>
      <c r="AQ57" s="750"/>
      <c r="AR57" s="750">
        <v>40000</v>
      </c>
      <c r="AS57" s="750"/>
      <c r="AT57" s="769">
        <f t="shared" si="2"/>
        <v>0</v>
      </c>
      <c r="AU57" s="750">
        <f t="shared" si="3"/>
        <v>1060000</v>
      </c>
      <c r="AV57" s="769">
        <f t="shared" si="4"/>
        <v>0</v>
      </c>
      <c r="AW57" s="752">
        <f t="shared" si="0"/>
        <v>0</v>
      </c>
      <c r="AX57" s="752" t="s">
        <v>1846</v>
      </c>
      <c r="AY57" s="696">
        <v>80000</v>
      </c>
    </row>
    <row r="58" spans="1:51" s="752" customFormat="1" hidden="1">
      <c r="A58" s="743">
        <f t="shared" si="5"/>
        <v>54</v>
      </c>
      <c r="B58" s="744"/>
      <c r="C58" s="745" t="s">
        <v>1164</v>
      </c>
      <c r="D58" s="746" t="s">
        <v>1246</v>
      </c>
      <c r="E58" s="747">
        <f t="shared" si="1"/>
        <v>910000</v>
      </c>
      <c r="F58" s="748">
        <v>50000</v>
      </c>
      <c r="G58" s="749"/>
      <c r="H58" s="750">
        <v>50000</v>
      </c>
      <c r="I58" s="750"/>
      <c r="J58" s="750">
        <v>50000</v>
      </c>
      <c r="K58" s="750"/>
      <c r="L58" s="750">
        <v>50000</v>
      </c>
      <c r="M58" s="750"/>
      <c r="N58" s="750">
        <v>50000</v>
      </c>
      <c r="O58" s="750"/>
      <c r="P58" s="750">
        <v>50000</v>
      </c>
      <c r="Q58" s="750"/>
      <c r="R58" s="750">
        <v>50000</v>
      </c>
      <c r="S58" s="750"/>
      <c r="T58" s="750">
        <v>50000</v>
      </c>
      <c r="U58" s="750"/>
      <c r="V58" s="750">
        <v>50000</v>
      </c>
      <c r="W58" s="750"/>
      <c r="X58" s="750">
        <v>50000</v>
      </c>
      <c r="Y58" s="750"/>
      <c r="Z58" s="750">
        <v>50000</v>
      </c>
      <c r="AA58" s="750"/>
      <c r="AB58" s="750">
        <v>50000</v>
      </c>
      <c r="AC58" s="750"/>
      <c r="AD58" s="750">
        <v>100000</v>
      </c>
      <c r="AE58" s="750"/>
      <c r="AF58" s="751">
        <v>0</v>
      </c>
      <c r="AG58" s="751"/>
      <c r="AH58" s="751">
        <v>0</v>
      </c>
      <c r="AI58" s="751"/>
      <c r="AJ58" s="751">
        <v>0</v>
      </c>
      <c r="AK58" s="751">
        <v>50000</v>
      </c>
      <c r="AL58" s="750">
        <v>40000</v>
      </c>
      <c r="AM58" s="750"/>
      <c r="AN58" s="750">
        <v>40000</v>
      </c>
      <c r="AO58" s="750"/>
      <c r="AP58" s="750">
        <v>40000</v>
      </c>
      <c r="AQ58" s="750"/>
      <c r="AR58" s="750">
        <v>40000</v>
      </c>
      <c r="AS58" s="750"/>
      <c r="AT58" s="769">
        <f t="shared" si="2"/>
        <v>50000</v>
      </c>
      <c r="AU58" s="750">
        <f t="shared" si="3"/>
        <v>860000</v>
      </c>
      <c r="AV58" s="769">
        <f t="shared" si="4"/>
        <v>-50000</v>
      </c>
      <c r="AW58" s="752">
        <f t="shared" si="0"/>
        <v>100000</v>
      </c>
      <c r="AX58" s="752" t="s">
        <v>1320</v>
      </c>
      <c r="AY58" s="696">
        <v>90000</v>
      </c>
    </row>
    <row r="59" spans="1:51" s="752" customFormat="1" hidden="1">
      <c r="A59" s="743">
        <f t="shared" si="5"/>
        <v>55</v>
      </c>
      <c r="B59" s="744"/>
      <c r="C59" s="745" t="s">
        <v>1165</v>
      </c>
      <c r="D59" s="746" t="s">
        <v>1247</v>
      </c>
      <c r="E59" s="747">
        <f t="shared" si="1"/>
        <v>960000</v>
      </c>
      <c r="F59" s="748">
        <v>50000</v>
      </c>
      <c r="G59" s="749"/>
      <c r="H59" s="750">
        <v>50000</v>
      </c>
      <c r="I59" s="750"/>
      <c r="J59" s="750">
        <v>50000</v>
      </c>
      <c r="K59" s="750"/>
      <c r="L59" s="750">
        <v>50000</v>
      </c>
      <c r="M59" s="750"/>
      <c r="N59" s="750">
        <v>50000</v>
      </c>
      <c r="O59" s="750"/>
      <c r="P59" s="750">
        <v>50000</v>
      </c>
      <c r="Q59" s="750"/>
      <c r="R59" s="750">
        <v>50000</v>
      </c>
      <c r="S59" s="750"/>
      <c r="T59" s="750">
        <v>50000</v>
      </c>
      <c r="U59" s="750"/>
      <c r="V59" s="750">
        <v>50000</v>
      </c>
      <c r="W59" s="750"/>
      <c r="X59" s="750">
        <v>50000</v>
      </c>
      <c r="Y59" s="750"/>
      <c r="Z59" s="750">
        <v>50000</v>
      </c>
      <c r="AA59" s="750"/>
      <c r="AB59" s="750">
        <v>50000</v>
      </c>
      <c r="AC59" s="750"/>
      <c r="AD59" s="750">
        <v>150000</v>
      </c>
      <c r="AE59" s="750"/>
      <c r="AF59" s="750">
        <v>50000</v>
      </c>
      <c r="AG59" s="750"/>
      <c r="AH59" s="751">
        <v>0</v>
      </c>
      <c r="AI59" s="751"/>
      <c r="AJ59" s="751">
        <v>0</v>
      </c>
      <c r="AK59" s="751"/>
      <c r="AL59" s="750">
        <v>40000</v>
      </c>
      <c r="AM59" s="750"/>
      <c r="AN59" s="750">
        <v>40000</v>
      </c>
      <c r="AO59" s="750"/>
      <c r="AP59" s="750">
        <v>40000</v>
      </c>
      <c r="AQ59" s="750"/>
      <c r="AR59" s="750">
        <v>40000</v>
      </c>
      <c r="AS59" s="750"/>
      <c r="AT59" s="769">
        <f t="shared" si="2"/>
        <v>0</v>
      </c>
      <c r="AU59" s="750">
        <f t="shared" si="3"/>
        <v>960000</v>
      </c>
      <c r="AV59" s="769">
        <f t="shared" si="4"/>
        <v>0</v>
      </c>
      <c r="AW59" s="752">
        <f t="shared" si="0"/>
        <v>0</v>
      </c>
      <c r="AX59" s="752" t="s">
        <v>1585</v>
      </c>
      <c r="AY59" s="696">
        <v>90000</v>
      </c>
    </row>
    <row r="60" spans="1:51" s="752" customFormat="1">
      <c r="A60" s="743">
        <f t="shared" si="5"/>
        <v>56</v>
      </c>
      <c r="B60" s="744"/>
      <c r="C60" s="745" t="s">
        <v>1166</v>
      </c>
      <c r="D60" s="746" t="s">
        <v>1248</v>
      </c>
      <c r="E60" s="747">
        <f t="shared" si="1"/>
        <v>880000</v>
      </c>
      <c r="F60" s="748">
        <v>50000</v>
      </c>
      <c r="G60" s="749"/>
      <c r="H60" s="750">
        <v>50000</v>
      </c>
      <c r="I60" s="750"/>
      <c r="J60" s="750">
        <v>50000</v>
      </c>
      <c r="K60" s="750"/>
      <c r="L60" s="750">
        <v>50000</v>
      </c>
      <c r="M60" s="750"/>
      <c r="N60" s="750">
        <v>50000</v>
      </c>
      <c r="O60" s="750"/>
      <c r="P60" s="750">
        <v>50000</v>
      </c>
      <c r="Q60" s="750"/>
      <c r="R60" s="750">
        <v>50000</v>
      </c>
      <c r="S60" s="750"/>
      <c r="T60" s="751">
        <v>0</v>
      </c>
      <c r="U60" s="751">
        <v>50000</v>
      </c>
      <c r="V60" s="751">
        <v>0</v>
      </c>
      <c r="W60" s="751">
        <v>50000</v>
      </c>
      <c r="X60" s="751">
        <v>0</v>
      </c>
      <c r="Y60" s="751">
        <v>50000</v>
      </c>
      <c r="Z60" s="751">
        <v>0</v>
      </c>
      <c r="AA60" s="751">
        <v>50000</v>
      </c>
      <c r="AB60" s="750">
        <v>50000</v>
      </c>
      <c r="AC60" s="750"/>
      <c r="AD60" s="750">
        <v>100000</v>
      </c>
      <c r="AE60" s="750"/>
      <c r="AF60" s="750">
        <v>50000</v>
      </c>
      <c r="AG60" s="750"/>
      <c r="AH60" s="751">
        <v>0</v>
      </c>
      <c r="AI60" s="751"/>
      <c r="AJ60" s="750">
        <v>50000</v>
      </c>
      <c r="AK60" s="750"/>
      <c r="AL60" s="751">
        <v>0</v>
      </c>
      <c r="AM60" s="751">
        <v>40000</v>
      </c>
      <c r="AN60" s="750">
        <v>40000</v>
      </c>
      <c r="AO60" s="750"/>
      <c r="AP60" s="750">
        <v>0</v>
      </c>
      <c r="AQ60" s="750"/>
      <c r="AR60" s="750">
        <v>0</v>
      </c>
      <c r="AS60" s="750"/>
      <c r="AT60" s="769">
        <f t="shared" si="2"/>
        <v>240000</v>
      </c>
      <c r="AU60" s="750">
        <f t="shared" si="3"/>
        <v>640000</v>
      </c>
      <c r="AV60" s="771">
        <f t="shared" si="4"/>
        <v>40000</v>
      </c>
      <c r="AW60" s="752">
        <f t="shared" si="0"/>
        <v>200000</v>
      </c>
      <c r="AX60" s="752" t="s">
        <v>1654</v>
      </c>
      <c r="AY60" s="696">
        <v>90000</v>
      </c>
    </row>
    <row r="61" spans="1:51" s="752" customFormat="1" hidden="1">
      <c r="A61" s="743">
        <f t="shared" si="5"/>
        <v>57</v>
      </c>
      <c r="B61" s="744"/>
      <c r="C61" s="745" t="s">
        <v>1167</v>
      </c>
      <c r="D61" s="746" t="s">
        <v>1249</v>
      </c>
      <c r="E61" s="747">
        <f t="shared" si="1"/>
        <v>960000</v>
      </c>
      <c r="F61" s="748">
        <v>50000</v>
      </c>
      <c r="G61" s="749"/>
      <c r="H61" s="750">
        <v>50000</v>
      </c>
      <c r="I61" s="750"/>
      <c r="J61" s="750">
        <v>50000</v>
      </c>
      <c r="K61" s="750"/>
      <c r="L61" s="750">
        <v>50000</v>
      </c>
      <c r="M61" s="750"/>
      <c r="N61" s="750">
        <v>50000</v>
      </c>
      <c r="O61" s="750"/>
      <c r="P61" s="750">
        <v>50000</v>
      </c>
      <c r="Q61" s="750"/>
      <c r="R61" s="750">
        <v>50000</v>
      </c>
      <c r="S61" s="750"/>
      <c r="T61" s="750">
        <v>50000</v>
      </c>
      <c r="U61" s="750"/>
      <c r="V61" s="750">
        <v>50000</v>
      </c>
      <c r="W61" s="750"/>
      <c r="X61" s="750">
        <v>50000</v>
      </c>
      <c r="Y61" s="750"/>
      <c r="Z61" s="750">
        <v>50000</v>
      </c>
      <c r="AA61" s="750"/>
      <c r="AB61" s="750">
        <v>50000</v>
      </c>
      <c r="AC61" s="750"/>
      <c r="AD61" s="750">
        <v>150000</v>
      </c>
      <c r="AE61" s="750"/>
      <c r="AF61" s="750">
        <v>50000</v>
      </c>
      <c r="AG61" s="750"/>
      <c r="AH61" s="751">
        <v>0</v>
      </c>
      <c r="AI61" s="751"/>
      <c r="AJ61" s="751">
        <v>0</v>
      </c>
      <c r="AK61" s="751"/>
      <c r="AL61" s="750">
        <v>40000</v>
      </c>
      <c r="AM61" s="750"/>
      <c r="AN61" s="750">
        <v>40000</v>
      </c>
      <c r="AO61" s="750"/>
      <c r="AP61" s="750">
        <v>40000</v>
      </c>
      <c r="AQ61" s="750"/>
      <c r="AR61" s="750">
        <v>40000</v>
      </c>
      <c r="AS61" s="750"/>
      <c r="AT61" s="769">
        <f t="shared" si="2"/>
        <v>0</v>
      </c>
      <c r="AU61" s="750">
        <f t="shared" si="3"/>
        <v>960000</v>
      </c>
      <c r="AV61" s="769">
        <f t="shared" si="4"/>
        <v>0</v>
      </c>
      <c r="AW61" s="752">
        <f t="shared" si="0"/>
        <v>0</v>
      </c>
      <c r="AX61" s="752" t="s">
        <v>1887</v>
      </c>
      <c r="AY61" s="696">
        <v>90000</v>
      </c>
    </row>
    <row r="62" spans="1:51" s="752" customFormat="1" hidden="1">
      <c r="A62" s="743">
        <f t="shared" si="5"/>
        <v>58</v>
      </c>
      <c r="B62" s="744"/>
      <c r="C62" s="745" t="s">
        <v>1168</v>
      </c>
      <c r="D62" s="746" t="s">
        <v>1250</v>
      </c>
      <c r="E62" s="747">
        <f t="shared" si="1"/>
        <v>610000</v>
      </c>
      <c r="F62" s="748">
        <v>50000</v>
      </c>
      <c r="G62" s="749"/>
      <c r="H62" s="750">
        <v>50000</v>
      </c>
      <c r="I62" s="750"/>
      <c r="J62" s="750">
        <v>50000</v>
      </c>
      <c r="K62" s="750"/>
      <c r="L62" s="750">
        <v>50000</v>
      </c>
      <c r="M62" s="750"/>
      <c r="N62" s="750">
        <v>50000</v>
      </c>
      <c r="O62" s="750"/>
      <c r="P62" s="750">
        <v>50000</v>
      </c>
      <c r="Q62" s="750"/>
      <c r="R62" s="750">
        <v>50000</v>
      </c>
      <c r="S62" s="750"/>
      <c r="T62" s="750">
        <v>50000</v>
      </c>
      <c r="U62" s="750"/>
      <c r="V62" s="750">
        <v>0</v>
      </c>
      <c r="W62" s="750"/>
      <c r="X62" s="750">
        <v>0</v>
      </c>
      <c r="Y62" s="750"/>
      <c r="Z62" s="750">
        <v>0</v>
      </c>
      <c r="AA62" s="750"/>
      <c r="AB62" s="750">
        <v>0</v>
      </c>
      <c r="AC62" s="750"/>
      <c r="AD62" s="750">
        <v>0</v>
      </c>
      <c r="AE62" s="750"/>
      <c r="AF62" s="750">
        <v>0</v>
      </c>
      <c r="AG62" s="750"/>
      <c r="AH62" s="750"/>
      <c r="AI62" s="750"/>
      <c r="AJ62" s="750">
        <v>50000</v>
      </c>
      <c r="AK62" s="750"/>
      <c r="AL62" s="750">
        <v>40000</v>
      </c>
      <c r="AM62" s="750"/>
      <c r="AN62" s="750">
        <v>40000</v>
      </c>
      <c r="AO62" s="750"/>
      <c r="AP62" s="750">
        <v>40000</v>
      </c>
      <c r="AQ62" s="750"/>
      <c r="AR62" s="750">
        <v>40000</v>
      </c>
      <c r="AS62" s="750"/>
      <c r="AT62" s="769">
        <f t="shared" si="2"/>
        <v>0</v>
      </c>
      <c r="AU62" s="750">
        <f t="shared" si="3"/>
        <v>610000</v>
      </c>
      <c r="AV62" s="769">
        <f t="shared" si="4"/>
        <v>0</v>
      </c>
      <c r="AW62" s="752">
        <f t="shared" si="0"/>
        <v>0</v>
      </c>
      <c r="AX62" s="752" t="s">
        <v>1900</v>
      </c>
      <c r="AY62" s="696">
        <v>90000</v>
      </c>
    </row>
    <row r="63" spans="1:51" s="752" customFormat="1" hidden="1">
      <c r="A63" s="743">
        <f t="shared" si="5"/>
        <v>59</v>
      </c>
      <c r="B63" s="744"/>
      <c r="C63" s="745" t="s">
        <v>1169</v>
      </c>
      <c r="D63" s="746" t="s">
        <v>1251</v>
      </c>
      <c r="E63" s="747">
        <f t="shared" si="1"/>
        <v>250000</v>
      </c>
      <c r="F63" s="748">
        <v>50000</v>
      </c>
      <c r="G63" s="749"/>
      <c r="H63" s="750">
        <v>50000</v>
      </c>
      <c r="I63" s="750"/>
      <c r="J63" s="750">
        <v>50000</v>
      </c>
      <c r="K63" s="750"/>
      <c r="L63" s="750">
        <v>50000</v>
      </c>
      <c r="M63" s="750"/>
      <c r="N63" s="751">
        <v>0</v>
      </c>
      <c r="O63" s="751">
        <v>50000</v>
      </c>
      <c r="P63" s="750">
        <v>0</v>
      </c>
      <c r="Q63" s="750"/>
      <c r="R63" s="750">
        <v>0</v>
      </c>
      <c r="S63" s="750"/>
      <c r="T63" s="750">
        <v>0</v>
      </c>
      <c r="U63" s="750"/>
      <c r="V63" s="750">
        <v>0</v>
      </c>
      <c r="W63" s="750"/>
      <c r="X63" s="750">
        <v>0</v>
      </c>
      <c r="Y63" s="750"/>
      <c r="Z63" s="750">
        <v>0</v>
      </c>
      <c r="AA63" s="750"/>
      <c r="AB63" s="750">
        <v>0</v>
      </c>
      <c r="AC63" s="750"/>
      <c r="AD63" s="750">
        <v>0</v>
      </c>
      <c r="AE63" s="750"/>
      <c r="AF63" s="750">
        <v>0</v>
      </c>
      <c r="AG63" s="750"/>
      <c r="AH63" s="750"/>
      <c r="AI63" s="750"/>
      <c r="AJ63" s="750">
        <v>0</v>
      </c>
      <c r="AK63" s="750"/>
      <c r="AL63" s="750">
        <v>0</v>
      </c>
      <c r="AM63" s="750"/>
      <c r="AN63" s="750">
        <v>0</v>
      </c>
      <c r="AO63" s="750"/>
      <c r="AP63" s="750">
        <v>0</v>
      </c>
      <c r="AQ63" s="750"/>
      <c r="AR63" s="750">
        <v>0</v>
      </c>
      <c r="AS63" s="750"/>
      <c r="AT63" s="769">
        <f t="shared" si="2"/>
        <v>50000</v>
      </c>
      <c r="AU63" s="750">
        <f t="shared" si="3"/>
        <v>200000</v>
      </c>
      <c r="AV63" s="769">
        <f t="shared" si="4"/>
        <v>0</v>
      </c>
      <c r="AW63" s="752">
        <f t="shared" si="0"/>
        <v>50000</v>
      </c>
      <c r="AX63" s="752" t="s">
        <v>2004</v>
      </c>
      <c r="AY63" s="696">
        <v>90000</v>
      </c>
    </row>
    <row r="64" spans="1:51" s="752" customFormat="1" hidden="1">
      <c r="A64" s="743">
        <f t="shared" si="5"/>
        <v>60</v>
      </c>
      <c r="B64" s="744"/>
      <c r="C64" s="745" t="s">
        <v>1170</v>
      </c>
      <c r="D64" s="746" t="s">
        <v>1252</v>
      </c>
      <c r="E64" s="747">
        <f t="shared" si="1"/>
        <v>910000</v>
      </c>
      <c r="F64" s="748">
        <v>50000</v>
      </c>
      <c r="G64" s="749"/>
      <c r="H64" s="750">
        <v>50000</v>
      </c>
      <c r="I64" s="750"/>
      <c r="J64" s="750">
        <v>50000</v>
      </c>
      <c r="K64" s="750"/>
      <c r="L64" s="750">
        <v>50000</v>
      </c>
      <c r="M64" s="750"/>
      <c r="N64" s="750">
        <v>50000</v>
      </c>
      <c r="O64" s="750"/>
      <c r="P64" s="750">
        <v>50000</v>
      </c>
      <c r="Q64" s="750"/>
      <c r="R64" s="750">
        <v>50000</v>
      </c>
      <c r="S64" s="750"/>
      <c r="T64" s="750">
        <v>50000</v>
      </c>
      <c r="U64" s="750"/>
      <c r="V64" s="750">
        <v>50000</v>
      </c>
      <c r="W64" s="750"/>
      <c r="X64" s="750">
        <v>50000</v>
      </c>
      <c r="Y64" s="750"/>
      <c r="Z64" s="750">
        <v>50000</v>
      </c>
      <c r="AA64" s="750"/>
      <c r="AB64" s="750">
        <v>50000</v>
      </c>
      <c r="AC64" s="750"/>
      <c r="AD64" s="750">
        <v>150000</v>
      </c>
      <c r="AE64" s="750"/>
      <c r="AF64" s="750">
        <v>0</v>
      </c>
      <c r="AG64" s="750"/>
      <c r="AH64" s="751">
        <v>0</v>
      </c>
      <c r="AI64" s="751"/>
      <c r="AJ64" s="751">
        <v>0</v>
      </c>
      <c r="AK64" s="751"/>
      <c r="AL64" s="750">
        <v>40000</v>
      </c>
      <c r="AM64" s="750"/>
      <c r="AN64" s="750">
        <v>40000</v>
      </c>
      <c r="AO64" s="750"/>
      <c r="AP64" s="750">
        <v>40000</v>
      </c>
      <c r="AQ64" s="750"/>
      <c r="AR64" s="750">
        <v>40000</v>
      </c>
      <c r="AS64" s="750"/>
      <c r="AT64" s="769">
        <f t="shared" si="2"/>
        <v>0</v>
      </c>
      <c r="AU64" s="750">
        <f t="shared" si="3"/>
        <v>910000</v>
      </c>
      <c r="AV64" s="769">
        <f t="shared" si="4"/>
        <v>0</v>
      </c>
      <c r="AW64" s="752">
        <f t="shared" si="0"/>
        <v>0</v>
      </c>
      <c r="AX64" s="752" t="s">
        <v>1124</v>
      </c>
      <c r="AY64" s="696">
        <v>100000</v>
      </c>
    </row>
    <row r="65" spans="1:51" s="725" customFormat="1" hidden="1">
      <c r="A65" s="738">
        <f t="shared" si="5"/>
        <v>61</v>
      </c>
      <c r="B65" s="716"/>
      <c r="C65" s="717" t="s">
        <v>1171</v>
      </c>
      <c r="D65" s="731" t="s">
        <v>1253</v>
      </c>
      <c r="E65" s="727">
        <f t="shared" si="1"/>
        <v>1010000</v>
      </c>
      <c r="F65" s="739">
        <v>50000</v>
      </c>
      <c r="G65" s="740"/>
      <c r="H65" s="729">
        <v>50000</v>
      </c>
      <c r="I65" s="729"/>
      <c r="J65" s="729">
        <v>50000</v>
      </c>
      <c r="K65" s="729"/>
      <c r="L65" s="729">
        <v>50000</v>
      </c>
      <c r="M65" s="729"/>
      <c r="N65" s="729">
        <v>50000</v>
      </c>
      <c r="O65" s="729"/>
      <c r="P65" s="729">
        <v>50000</v>
      </c>
      <c r="Q65" s="729"/>
      <c r="R65" s="729">
        <v>50000</v>
      </c>
      <c r="S65" s="729"/>
      <c r="T65" s="729">
        <v>50000</v>
      </c>
      <c r="U65" s="729"/>
      <c r="V65" s="729">
        <v>50000</v>
      </c>
      <c r="W65" s="729"/>
      <c r="X65" s="729">
        <v>50000</v>
      </c>
      <c r="Y65" s="729"/>
      <c r="Z65" s="729">
        <v>50000</v>
      </c>
      <c r="AA65" s="729"/>
      <c r="AB65" s="729">
        <v>50000</v>
      </c>
      <c r="AC65" s="729"/>
      <c r="AD65" s="729">
        <v>150000</v>
      </c>
      <c r="AE65" s="729"/>
      <c r="AF65" s="729">
        <v>50000</v>
      </c>
      <c r="AG65" s="729"/>
      <c r="AH65" s="741">
        <v>0</v>
      </c>
      <c r="AI65" s="741"/>
      <c r="AJ65" s="729">
        <v>50000</v>
      </c>
      <c r="AK65" s="729"/>
      <c r="AL65" s="729">
        <v>40000</v>
      </c>
      <c r="AM65" s="729"/>
      <c r="AN65" s="729">
        <v>40000</v>
      </c>
      <c r="AO65" s="729"/>
      <c r="AP65" s="729">
        <v>40000</v>
      </c>
      <c r="AQ65" s="729"/>
      <c r="AR65" s="729">
        <v>40000</v>
      </c>
      <c r="AS65" s="729"/>
      <c r="AT65" s="769">
        <f t="shared" si="2"/>
        <v>0</v>
      </c>
      <c r="AU65" s="729">
        <f t="shared" si="3"/>
        <v>1010000</v>
      </c>
      <c r="AV65" s="769">
        <f t="shared" si="4"/>
        <v>0</v>
      </c>
      <c r="AW65" s="725">
        <f t="shared" si="0"/>
        <v>0</v>
      </c>
      <c r="AX65" s="725" t="s">
        <v>1129</v>
      </c>
      <c r="AY65" s="696">
        <v>100000</v>
      </c>
    </row>
    <row r="66" spans="1:51" s="725" customFormat="1" hidden="1">
      <c r="A66" s="738">
        <f t="shared" si="5"/>
        <v>62</v>
      </c>
      <c r="B66" s="716"/>
      <c r="C66" s="717" t="s">
        <v>1172</v>
      </c>
      <c r="D66" s="731" t="s">
        <v>1254</v>
      </c>
      <c r="E66" s="727">
        <f t="shared" si="1"/>
        <v>870000</v>
      </c>
      <c r="F66" s="739">
        <v>50000</v>
      </c>
      <c r="G66" s="740"/>
      <c r="H66" s="729">
        <v>50000</v>
      </c>
      <c r="I66" s="729"/>
      <c r="J66" s="729">
        <v>50000</v>
      </c>
      <c r="K66" s="729"/>
      <c r="L66" s="729">
        <v>50000</v>
      </c>
      <c r="M66" s="729"/>
      <c r="N66" s="729">
        <v>50000</v>
      </c>
      <c r="O66" s="729"/>
      <c r="P66" s="729">
        <v>50000</v>
      </c>
      <c r="Q66" s="729"/>
      <c r="R66" s="729">
        <v>50000</v>
      </c>
      <c r="S66" s="729"/>
      <c r="T66" s="729">
        <v>50000</v>
      </c>
      <c r="U66" s="729"/>
      <c r="V66" s="741">
        <v>0</v>
      </c>
      <c r="W66" s="741">
        <v>50000</v>
      </c>
      <c r="X66" s="741">
        <v>0</v>
      </c>
      <c r="Y66" s="741">
        <v>50000</v>
      </c>
      <c r="Z66" s="741">
        <v>0</v>
      </c>
      <c r="AA66" s="741">
        <v>50000</v>
      </c>
      <c r="AB66" s="741">
        <v>0</v>
      </c>
      <c r="AC66" s="741">
        <v>50000</v>
      </c>
      <c r="AD66" s="741">
        <v>0</v>
      </c>
      <c r="AE66" s="741">
        <v>50000</v>
      </c>
      <c r="AF66" s="729">
        <v>0</v>
      </c>
      <c r="AG66" s="729"/>
      <c r="AH66" s="741">
        <v>0</v>
      </c>
      <c r="AI66" s="741">
        <v>50000</v>
      </c>
      <c r="AJ66" s="741">
        <v>0</v>
      </c>
      <c r="AK66" s="741">
        <v>50000</v>
      </c>
      <c r="AL66" s="729">
        <v>40000</v>
      </c>
      <c r="AM66" s="729"/>
      <c r="AN66" s="729">
        <v>40000</v>
      </c>
      <c r="AO66" s="729"/>
      <c r="AP66" s="741">
        <v>0</v>
      </c>
      <c r="AQ66" s="741">
        <v>40000</v>
      </c>
      <c r="AR66" s="741">
        <v>0</v>
      </c>
      <c r="AS66" s="741">
        <v>40000</v>
      </c>
      <c r="AT66" s="769">
        <f t="shared" si="2"/>
        <v>430000</v>
      </c>
      <c r="AU66" s="729">
        <f t="shared" si="3"/>
        <v>440000</v>
      </c>
      <c r="AV66" s="769">
        <f t="shared" si="4"/>
        <v>-50000</v>
      </c>
      <c r="AW66" s="725">
        <f t="shared" si="0"/>
        <v>480000</v>
      </c>
      <c r="AX66" s="725" t="s">
        <v>1147</v>
      </c>
      <c r="AY66" s="696">
        <v>100000</v>
      </c>
    </row>
    <row r="67" spans="1:51" s="725" customFormat="1" hidden="1">
      <c r="A67" s="738">
        <f t="shared" si="5"/>
        <v>63</v>
      </c>
      <c r="B67" s="716"/>
      <c r="C67" s="717" t="s">
        <v>1173</v>
      </c>
      <c r="D67" s="731" t="s">
        <v>1255</v>
      </c>
      <c r="E67" s="727">
        <f t="shared" si="1"/>
        <v>960000</v>
      </c>
      <c r="F67" s="739">
        <v>50000</v>
      </c>
      <c r="G67" s="740"/>
      <c r="H67" s="729">
        <v>50000</v>
      </c>
      <c r="I67" s="729"/>
      <c r="J67" s="729">
        <v>50000</v>
      </c>
      <c r="K67" s="729"/>
      <c r="L67" s="729">
        <v>50000</v>
      </c>
      <c r="M67" s="729"/>
      <c r="N67" s="729">
        <v>50000</v>
      </c>
      <c r="O67" s="729"/>
      <c r="P67" s="729">
        <v>50000</v>
      </c>
      <c r="Q67" s="729"/>
      <c r="R67" s="729">
        <v>50000</v>
      </c>
      <c r="S67" s="729"/>
      <c r="T67" s="729">
        <v>50000</v>
      </c>
      <c r="U67" s="729"/>
      <c r="V67" s="729">
        <v>50000</v>
      </c>
      <c r="W67" s="729"/>
      <c r="X67" s="729">
        <v>50000</v>
      </c>
      <c r="Y67" s="729"/>
      <c r="Z67" s="729">
        <v>50000</v>
      </c>
      <c r="AA67" s="729"/>
      <c r="AB67" s="729">
        <v>50000</v>
      </c>
      <c r="AC67" s="729"/>
      <c r="AD67" s="729">
        <v>150000</v>
      </c>
      <c r="AE67" s="729"/>
      <c r="AF67" s="729">
        <v>50000</v>
      </c>
      <c r="AG67" s="729"/>
      <c r="AH67" s="741">
        <v>0</v>
      </c>
      <c r="AI67" s="741"/>
      <c r="AJ67" s="741">
        <v>0</v>
      </c>
      <c r="AK67" s="741"/>
      <c r="AL67" s="729">
        <v>40000</v>
      </c>
      <c r="AM67" s="729"/>
      <c r="AN67" s="729">
        <v>40000</v>
      </c>
      <c r="AO67" s="729"/>
      <c r="AP67" s="729">
        <v>40000</v>
      </c>
      <c r="AQ67" s="729"/>
      <c r="AR67" s="729">
        <v>40000</v>
      </c>
      <c r="AS67" s="729"/>
      <c r="AT67" s="769">
        <f t="shared" si="2"/>
        <v>0</v>
      </c>
      <c r="AU67" s="729">
        <f t="shared" si="3"/>
        <v>960000</v>
      </c>
      <c r="AV67" s="769">
        <f t="shared" si="4"/>
        <v>0</v>
      </c>
      <c r="AW67" s="725">
        <f t="shared" si="0"/>
        <v>0</v>
      </c>
      <c r="AX67" s="725" t="s">
        <v>1160</v>
      </c>
      <c r="AY67" s="696">
        <v>100000</v>
      </c>
    </row>
    <row r="68" spans="1:51" s="725" customFormat="1" hidden="1">
      <c r="A68" s="738">
        <f t="shared" si="5"/>
        <v>64</v>
      </c>
      <c r="B68" s="716"/>
      <c r="C68" s="717" t="s">
        <v>1174</v>
      </c>
      <c r="D68" s="731" t="s">
        <v>1256</v>
      </c>
      <c r="E68" s="727">
        <f t="shared" si="1"/>
        <v>420000</v>
      </c>
      <c r="F68" s="739">
        <v>50000</v>
      </c>
      <c r="G68" s="740"/>
      <c r="H68" s="729">
        <v>50000</v>
      </c>
      <c r="I68" s="729"/>
      <c r="J68" s="729">
        <v>50000</v>
      </c>
      <c r="K68" s="729"/>
      <c r="L68" s="729">
        <v>0</v>
      </c>
      <c r="M68" s="729"/>
      <c r="N68" s="729">
        <v>0</v>
      </c>
      <c r="O68" s="729"/>
      <c r="P68" s="729">
        <v>50000</v>
      </c>
      <c r="Q68" s="729"/>
      <c r="R68" s="729">
        <v>50000</v>
      </c>
      <c r="S68" s="729"/>
      <c r="T68" s="729">
        <v>50000</v>
      </c>
      <c r="U68" s="729"/>
      <c r="V68" s="729">
        <v>0</v>
      </c>
      <c r="W68" s="729"/>
      <c r="X68" s="729">
        <v>0</v>
      </c>
      <c r="Y68" s="729"/>
      <c r="Z68" s="729">
        <v>0</v>
      </c>
      <c r="AA68" s="729"/>
      <c r="AB68" s="729">
        <v>0</v>
      </c>
      <c r="AC68" s="729"/>
      <c r="AD68" s="729">
        <v>0</v>
      </c>
      <c r="AE68" s="729"/>
      <c r="AF68" s="729">
        <v>0</v>
      </c>
      <c r="AG68" s="729"/>
      <c r="AH68" s="729"/>
      <c r="AI68" s="729"/>
      <c r="AJ68" s="729">
        <v>0</v>
      </c>
      <c r="AK68" s="729"/>
      <c r="AL68" s="729">
        <v>0</v>
      </c>
      <c r="AM68" s="729"/>
      <c r="AN68" s="741">
        <v>0</v>
      </c>
      <c r="AO68" s="741">
        <v>40000</v>
      </c>
      <c r="AP68" s="729">
        <v>40000</v>
      </c>
      <c r="AQ68" s="729"/>
      <c r="AR68" s="729">
        <v>40000</v>
      </c>
      <c r="AS68" s="729"/>
      <c r="AT68" s="769">
        <f t="shared" si="2"/>
        <v>40000</v>
      </c>
      <c r="AU68" s="729">
        <f t="shared" si="3"/>
        <v>380000</v>
      </c>
      <c r="AV68" s="769">
        <f t="shared" si="4"/>
        <v>0</v>
      </c>
      <c r="AW68" s="725">
        <f t="shared" si="0"/>
        <v>40000</v>
      </c>
      <c r="AX68" s="725" t="s">
        <v>1164</v>
      </c>
      <c r="AY68" s="696">
        <v>100000</v>
      </c>
    </row>
    <row r="69" spans="1:51" s="725" customFormat="1" hidden="1">
      <c r="A69" s="738">
        <f t="shared" si="5"/>
        <v>65</v>
      </c>
      <c r="B69" s="716"/>
      <c r="C69" s="717" t="s">
        <v>1175</v>
      </c>
      <c r="D69" s="731" t="s">
        <v>1257</v>
      </c>
      <c r="E69" s="727">
        <f t="shared" si="1"/>
        <v>960000</v>
      </c>
      <c r="F69" s="739">
        <v>50000</v>
      </c>
      <c r="G69" s="740"/>
      <c r="H69" s="729">
        <v>50000</v>
      </c>
      <c r="I69" s="729"/>
      <c r="J69" s="729">
        <v>50000</v>
      </c>
      <c r="K69" s="729"/>
      <c r="L69" s="729">
        <v>50000</v>
      </c>
      <c r="M69" s="729"/>
      <c r="N69" s="729">
        <v>50000</v>
      </c>
      <c r="O69" s="729"/>
      <c r="P69" s="729">
        <v>50000</v>
      </c>
      <c r="Q69" s="729"/>
      <c r="R69" s="729">
        <v>50000</v>
      </c>
      <c r="S69" s="729"/>
      <c r="T69" s="729">
        <v>50000</v>
      </c>
      <c r="U69" s="729"/>
      <c r="V69" s="729">
        <v>50000</v>
      </c>
      <c r="W69" s="729"/>
      <c r="X69" s="729">
        <v>50000</v>
      </c>
      <c r="Y69" s="729"/>
      <c r="Z69" s="729">
        <v>50000</v>
      </c>
      <c r="AA69" s="729"/>
      <c r="AB69" s="729">
        <v>50000</v>
      </c>
      <c r="AC69" s="729"/>
      <c r="AD69" s="729">
        <v>150000</v>
      </c>
      <c r="AE69" s="729"/>
      <c r="AF69" s="729">
        <v>50000</v>
      </c>
      <c r="AG69" s="729"/>
      <c r="AH69" s="741">
        <v>0</v>
      </c>
      <c r="AI69" s="741"/>
      <c r="AJ69" s="741">
        <v>0</v>
      </c>
      <c r="AK69" s="741"/>
      <c r="AL69" s="729">
        <v>40000</v>
      </c>
      <c r="AM69" s="729"/>
      <c r="AN69" s="729">
        <v>40000</v>
      </c>
      <c r="AO69" s="729"/>
      <c r="AP69" s="729">
        <v>40000</v>
      </c>
      <c r="AQ69" s="729"/>
      <c r="AR69" s="729">
        <v>40000</v>
      </c>
      <c r="AS69" s="729"/>
      <c r="AT69" s="769">
        <f t="shared" si="2"/>
        <v>0</v>
      </c>
      <c r="AU69" s="729">
        <f t="shared" si="3"/>
        <v>960000</v>
      </c>
      <c r="AV69" s="769">
        <f t="shared" si="4"/>
        <v>0</v>
      </c>
      <c r="AW69" s="725">
        <f t="shared" ref="AW69:AW132" si="6">SUMIF(AX:AX,C69,AY:AY)</f>
        <v>0</v>
      </c>
      <c r="AX69" s="725" t="s">
        <v>1186</v>
      </c>
      <c r="AY69" s="696">
        <v>100000</v>
      </c>
    </row>
    <row r="70" spans="1:51" s="725" customFormat="1" hidden="1">
      <c r="A70" s="738">
        <f t="shared" si="5"/>
        <v>66</v>
      </c>
      <c r="B70" s="716"/>
      <c r="C70" s="717" t="s">
        <v>1176</v>
      </c>
      <c r="D70" s="731" t="s">
        <v>1258</v>
      </c>
      <c r="E70" s="727">
        <f t="shared" ref="E70:E133" si="7">+SUM(F70:AR70)</f>
        <v>960000</v>
      </c>
      <c r="F70" s="739">
        <v>50000</v>
      </c>
      <c r="G70" s="740"/>
      <c r="H70" s="729">
        <v>50000</v>
      </c>
      <c r="I70" s="729"/>
      <c r="J70" s="729">
        <v>50000</v>
      </c>
      <c r="K70" s="729"/>
      <c r="L70" s="729">
        <v>50000</v>
      </c>
      <c r="M70" s="729"/>
      <c r="N70" s="729">
        <v>50000</v>
      </c>
      <c r="O70" s="729"/>
      <c r="P70" s="729">
        <v>50000</v>
      </c>
      <c r="Q70" s="729"/>
      <c r="R70" s="729">
        <v>50000</v>
      </c>
      <c r="S70" s="729"/>
      <c r="T70" s="729">
        <v>50000</v>
      </c>
      <c r="U70" s="729"/>
      <c r="V70" s="729">
        <v>50000</v>
      </c>
      <c r="W70" s="729"/>
      <c r="X70" s="729">
        <v>50000</v>
      </c>
      <c r="Y70" s="729"/>
      <c r="Z70" s="729">
        <v>50000</v>
      </c>
      <c r="AA70" s="729"/>
      <c r="AB70" s="729">
        <v>50000</v>
      </c>
      <c r="AC70" s="729"/>
      <c r="AD70" s="729">
        <v>150000</v>
      </c>
      <c r="AE70" s="729"/>
      <c r="AF70" s="729">
        <v>50000</v>
      </c>
      <c r="AG70" s="729"/>
      <c r="AH70" s="741">
        <v>0</v>
      </c>
      <c r="AI70" s="741"/>
      <c r="AJ70" s="741">
        <v>0</v>
      </c>
      <c r="AK70" s="741"/>
      <c r="AL70" s="729">
        <v>40000</v>
      </c>
      <c r="AM70" s="729"/>
      <c r="AN70" s="729">
        <v>40000</v>
      </c>
      <c r="AO70" s="729"/>
      <c r="AP70" s="729">
        <v>40000</v>
      </c>
      <c r="AQ70" s="729"/>
      <c r="AR70" s="729">
        <v>40000</v>
      </c>
      <c r="AS70" s="729"/>
      <c r="AT70" s="769">
        <f t="shared" ref="AT70:AT133" si="8">+AS70+AQ70+AO70+AM70+AK70+AI70+AG70+AE70+AC70+AA70+Y70+W70+U70+S70+Q70+O70+M70+K70+I70+G70</f>
        <v>0</v>
      </c>
      <c r="AU70" s="729">
        <f t="shared" ref="AU70:AU133" si="9">+E70-AT70</f>
        <v>960000</v>
      </c>
      <c r="AV70" s="769">
        <f t="shared" ref="AV70:AV133" si="10">+AT70-AW70</f>
        <v>0</v>
      </c>
      <c r="AW70" s="725">
        <f t="shared" si="6"/>
        <v>0</v>
      </c>
      <c r="AX70" s="725" t="s">
        <v>1193</v>
      </c>
      <c r="AY70" s="696">
        <v>100000</v>
      </c>
    </row>
    <row r="71" spans="1:51" s="725" customFormat="1" hidden="1">
      <c r="A71" s="738">
        <f t="shared" ref="A71:A134" si="11">+A70+1</f>
        <v>67</v>
      </c>
      <c r="B71" s="716"/>
      <c r="C71" s="717" t="s">
        <v>1177</v>
      </c>
      <c r="D71" s="731" t="s">
        <v>1259</v>
      </c>
      <c r="E71" s="727">
        <f t="shared" si="7"/>
        <v>960000</v>
      </c>
      <c r="F71" s="739">
        <v>50000</v>
      </c>
      <c r="G71" s="740"/>
      <c r="H71" s="729">
        <v>50000</v>
      </c>
      <c r="I71" s="729"/>
      <c r="J71" s="729">
        <v>50000</v>
      </c>
      <c r="K71" s="729"/>
      <c r="L71" s="729">
        <v>50000</v>
      </c>
      <c r="M71" s="729"/>
      <c r="N71" s="729">
        <v>50000</v>
      </c>
      <c r="O71" s="729"/>
      <c r="P71" s="729">
        <v>50000</v>
      </c>
      <c r="Q71" s="729"/>
      <c r="R71" s="729">
        <v>50000</v>
      </c>
      <c r="S71" s="729"/>
      <c r="T71" s="729">
        <v>50000</v>
      </c>
      <c r="U71" s="729"/>
      <c r="V71" s="729">
        <v>50000</v>
      </c>
      <c r="W71" s="729"/>
      <c r="X71" s="729">
        <v>50000</v>
      </c>
      <c r="Y71" s="729"/>
      <c r="Z71" s="729">
        <v>50000</v>
      </c>
      <c r="AA71" s="729"/>
      <c r="AB71" s="729">
        <v>50000</v>
      </c>
      <c r="AC71" s="729"/>
      <c r="AD71" s="729">
        <v>150000</v>
      </c>
      <c r="AE71" s="729"/>
      <c r="AF71" s="729">
        <v>50000</v>
      </c>
      <c r="AG71" s="729"/>
      <c r="AH71" s="741">
        <v>0</v>
      </c>
      <c r="AI71" s="741"/>
      <c r="AJ71" s="741">
        <v>0</v>
      </c>
      <c r="AK71" s="741"/>
      <c r="AL71" s="729">
        <v>40000</v>
      </c>
      <c r="AM71" s="729"/>
      <c r="AN71" s="729">
        <v>40000</v>
      </c>
      <c r="AO71" s="729"/>
      <c r="AP71" s="729">
        <v>40000</v>
      </c>
      <c r="AQ71" s="729"/>
      <c r="AR71" s="729">
        <v>40000</v>
      </c>
      <c r="AS71" s="729"/>
      <c r="AT71" s="769">
        <f t="shared" si="8"/>
        <v>0</v>
      </c>
      <c r="AU71" s="729">
        <f t="shared" si="9"/>
        <v>960000</v>
      </c>
      <c r="AV71" s="769">
        <f t="shared" si="10"/>
        <v>0</v>
      </c>
      <c r="AW71" s="725">
        <f t="shared" si="6"/>
        <v>0</v>
      </c>
      <c r="AX71" s="725" t="s">
        <v>1290</v>
      </c>
      <c r="AY71" s="696">
        <v>100000</v>
      </c>
    </row>
    <row r="72" spans="1:51" s="725" customFormat="1" hidden="1">
      <c r="A72" s="738">
        <f t="shared" si="11"/>
        <v>68</v>
      </c>
      <c r="B72" s="716"/>
      <c r="C72" s="717" t="s">
        <v>1178</v>
      </c>
      <c r="D72" s="731" t="s">
        <v>1260</v>
      </c>
      <c r="E72" s="727">
        <f t="shared" si="7"/>
        <v>1010000</v>
      </c>
      <c r="F72" s="739">
        <v>50000</v>
      </c>
      <c r="G72" s="740"/>
      <c r="H72" s="729">
        <v>50000</v>
      </c>
      <c r="I72" s="729"/>
      <c r="J72" s="729">
        <v>50000</v>
      </c>
      <c r="K72" s="729"/>
      <c r="L72" s="729">
        <v>50000</v>
      </c>
      <c r="M72" s="729"/>
      <c r="N72" s="729">
        <v>50000</v>
      </c>
      <c r="O72" s="729"/>
      <c r="P72" s="729">
        <v>50000</v>
      </c>
      <c r="Q72" s="729"/>
      <c r="R72" s="729">
        <v>50000</v>
      </c>
      <c r="S72" s="729"/>
      <c r="T72" s="729">
        <v>50000</v>
      </c>
      <c r="U72" s="729"/>
      <c r="V72" s="729">
        <v>50000</v>
      </c>
      <c r="W72" s="729"/>
      <c r="X72" s="729">
        <v>50000</v>
      </c>
      <c r="Y72" s="729"/>
      <c r="Z72" s="729">
        <v>50000</v>
      </c>
      <c r="AA72" s="729"/>
      <c r="AB72" s="729">
        <v>50000</v>
      </c>
      <c r="AC72" s="729"/>
      <c r="AD72" s="729">
        <v>150000</v>
      </c>
      <c r="AE72" s="729"/>
      <c r="AF72" s="729">
        <v>50000</v>
      </c>
      <c r="AG72" s="729"/>
      <c r="AH72" s="741">
        <v>0</v>
      </c>
      <c r="AI72" s="741"/>
      <c r="AJ72" s="729">
        <v>50000</v>
      </c>
      <c r="AK72" s="729"/>
      <c r="AL72" s="729">
        <v>40000</v>
      </c>
      <c r="AM72" s="729"/>
      <c r="AN72" s="729">
        <v>40000</v>
      </c>
      <c r="AO72" s="729"/>
      <c r="AP72" s="729">
        <v>40000</v>
      </c>
      <c r="AQ72" s="729"/>
      <c r="AR72" s="729">
        <v>40000</v>
      </c>
      <c r="AS72" s="729"/>
      <c r="AT72" s="769">
        <f t="shared" si="8"/>
        <v>0</v>
      </c>
      <c r="AU72" s="729">
        <f t="shared" si="9"/>
        <v>1010000</v>
      </c>
      <c r="AV72" s="769">
        <f t="shared" si="10"/>
        <v>0</v>
      </c>
      <c r="AW72" s="725">
        <f t="shared" si="6"/>
        <v>0</v>
      </c>
      <c r="AX72" s="725" t="s">
        <v>1309</v>
      </c>
      <c r="AY72" s="696">
        <v>100000</v>
      </c>
    </row>
    <row r="73" spans="1:51" s="725" customFormat="1" hidden="1">
      <c r="A73" s="738">
        <f t="shared" si="11"/>
        <v>69</v>
      </c>
      <c r="B73" s="716"/>
      <c r="C73" s="717" t="s">
        <v>1179</v>
      </c>
      <c r="D73" s="731" t="s">
        <v>1261</v>
      </c>
      <c r="E73" s="727">
        <f t="shared" si="7"/>
        <v>960000</v>
      </c>
      <c r="F73" s="739">
        <v>50000</v>
      </c>
      <c r="G73" s="740"/>
      <c r="H73" s="729">
        <v>50000</v>
      </c>
      <c r="I73" s="729"/>
      <c r="J73" s="729">
        <v>50000</v>
      </c>
      <c r="K73" s="729"/>
      <c r="L73" s="729">
        <v>50000</v>
      </c>
      <c r="M73" s="729"/>
      <c r="N73" s="729">
        <v>50000</v>
      </c>
      <c r="O73" s="729"/>
      <c r="P73" s="729">
        <v>50000</v>
      </c>
      <c r="Q73" s="729"/>
      <c r="R73" s="729">
        <v>50000</v>
      </c>
      <c r="S73" s="729"/>
      <c r="T73" s="729">
        <v>50000</v>
      </c>
      <c r="U73" s="729"/>
      <c r="V73" s="729">
        <v>50000</v>
      </c>
      <c r="W73" s="729"/>
      <c r="X73" s="729">
        <v>50000</v>
      </c>
      <c r="Y73" s="729"/>
      <c r="Z73" s="729">
        <v>50000</v>
      </c>
      <c r="AA73" s="729"/>
      <c r="AB73" s="729">
        <v>50000</v>
      </c>
      <c r="AC73" s="729"/>
      <c r="AD73" s="729">
        <v>150000</v>
      </c>
      <c r="AE73" s="729"/>
      <c r="AF73" s="729">
        <v>50000</v>
      </c>
      <c r="AG73" s="729"/>
      <c r="AH73" s="741">
        <v>0</v>
      </c>
      <c r="AI73" s="741"/>
      <c r="AJ73" s="741">
        <v>0</v>
      </c>
      <c r="AK73" s="741"/>
      <c r="AL73" s="729">
        <v>40000</v>
      </c>
      <c r="AM73" s="729"/>
      <c r="AN73" s="729">
        <v>40000</v>
      </c>
      <c r="AO73" s="729"/>
      <c r="AP73" s="729">
        <v>40000</v>
      </c>
      <c r="AQ73" s="729"/>
      <c r="AR73" s="729">
        <v>40000</v>
      </c>
      <c r="AS73" s="729"/>
      <c r="AT73" s="769">
        <f t="shared" si="8"/>
        <v>0</v>
      </c>
      <c r="AU73" s="729">
        <f t="shared" si="9"/>
        <v>960000</v>
      </c>
      <c r="AV73" s="769">
        <f t="shared" si="10"/>
        <v>0</v>
      </c>
      <c r="AW73" s="725">
        <f t="shared" si="6"/>
        <v>0</v>
      </c>
      <c r="AX73" s="725" t="s">
        <v>1312</v>
      </c>
      <c r="AY73" s="696">
        <v>100000</v>
      </c>
    </row>
    <row r="74" spans="1:51" s="725" customFormat="1" hidden="1">
      <c r="A74" s="738">
        <f t="shared" si="11"/>
        <v>70</v>
      </c>
      <c r="B74" s="716"/>
      <c r="C74" s="717" t="s">
        <v>1180</v>
      </c>
      <c r="D74" s="731" t="s">
        <v>1262</v>
      </c>
      <c r="E74" s="727">
        <f t="shared" si="7"/>
        <v>960000</v>
      </c>
      <c r="F74" s="739">
        <v>50000</v>
      </c>
      <c r="G74" s="740"/>
      <c r="H74" s="729">
        <v>50000</v>
      </c>
      <c r="I74" s="729"/>
      <c r="J74" s="729">
        <v>50000</v>
      </c>
      <c r="K74" s="729"/>
      <c r="L74" s="729">
        <v>50000</v>
      </c>
      <c r="M74" s="729"/>
      <c r="N74" s="729">
        <v>50000</v>
      </c>
      <c r="O74" s="729"/>
      <c r="P74" s="729">
        <v>50000</v>
      </c>
      <c r="Q74" s="729"/>
      <c r="R74" s="729">
        <v>50000</v>
      </c>
      <c r="S74" s="729"/>
      <c r="T74" s="729">
        <v>50000</v>
      </c>
      <c r="U74" s="729"/>
      <c r="V74" s="729">
        <v>50000</v>
      </c>
      <c r="W74" s="729"/>
      <c r="X74" s="729">
        <v>50000</v>
      </c>
      <c r="Y74" s="729"/>
      <c r="Z74" s="729">
        <v>50000</v>
      </c>
      <c r="AA74" s="729"/>
      <c r="AB74" s="729">
        <v>50000</v>
      </c>
      <c r="AC74" s="729"/>
      <c r="AD74" s="729">
        <v>100000</v>
      </c>
      <c r="AE74" s="729"/>
      <c r="AF74" s="729">
        <v>50000</v>
      </c>
      <c r="AG74" s="729"/>
      <c r="AH74" s="741">
        <v>0</v>
      </c>
      <c r="AI74" s="741"/>
      <c r="AJ74" s="729">
        <v>50000</v>
      </c>
      <c r="AK74" s="729"/>
      <c r="AL74" s="729">
        <v>40000</v>
      </c>
      <c r="AM74" s="729"/>
      <c r="AN74" s="729">
        <v>40000</v>
      </c>
      <c r="AO74" s="729"/>
      <c r="AP74" s="729">
        <v>40000</v>
      </c>
      <c r="AQ74" s="729"/>
      <c r="AR74" s="729">
        <v>40000</v>
      </c>
      <c r="AS74" s="729"/>
      <c r="AT74" s="769">
        <f t="shared" si="8"/>
        <v>0</v>
      </c>
      <c r="AU74" s="729">
        <f t="shared" si="9"/>
        <v>960000</v>
      </c>
      <c r="AV74" s="769">
        <f t="shared" si="10"/>
        <v>0</v>
      </c>
      <c r="AW74" s="725">
        <f t="shared" si="6"/>
        <v>0</v>
      </c>
      <c r="AX74" s="725" t="s">
        <v>1314</v>
      </c>
      <c r="AY74" s="696">
        <v>100000</v>
      </c>
    </row>
    <row r="75" spans="1:51" s="752" customFormat="1" hidden="1">
      <c r="A75" s="743">
        <f t="shared" si="11"/>
        <v>71</v>
      </c>
      <c r="B75" s="744"/>
      <c r="C75" s="745" t="s">
        <v>1181</v>
      </c>
      <c r="D75" s="746" t="s">
        <v>1263</v>
      </c>
      <c r="E75" s="747">
        <f t="shared" si="7"/>
        <v>960000</v>
      </c>
      <c r="F75" s="748">
        <v>50000</v>
      </c>
      <c r="G75" s="749"/>
      <c r="H75" s="750">
        <v>50000</v>
      </c>
      <c r="I75" s="750"/>
      <c r="J75" s="750">
        <v>50000</v>
      </c>
      <c r="K75" s="750"/>
      <c r="L75" s="750">
        <v>50000</v>
      </c>
      <c r="M75" s="750"/>
      <c r="N75" s="750">
        <v>50000</v>
      </c>
      <c r="O75" s="750"/>
      <c r="P75" s="750">
        <v>50000</v>
      </c>
      <c r="Q75" s="750"/>
      <c r="R75" s="750">
        <v>50000</v>
      </c>
      <c r="S75" s="750"/>
      <c r="T75" s="750">
        <v>50000</v>
      </c>
      <c r="U75" s="750"/>
      <c r="V75" s="750">
        <v>50000</v>
      </c>
      <c r="W75" s="750"/>
      <c r="X75" s="750">
        <v>50000</v>
      </c>
      <c r="Y75" s="750"/>
      <c r="Z75" s="750">
        <v>50000</v>
      </c>
      <c r="AA75" s="750"/>
      <c r="AB75" s="750">
        <v>50000</v>
      </c>
      <c r="AC75" s="750"/>
      <c r="AD75" s="750">
        <v>150000</v>
      </c>
      <c r="AE75" s="750"/>
      <c r="AF75" s="750">
        <v>50000</v>
      </c>
      <c r="AG75" s="750"/>
      <c r="AH75" s="751">
        <v>0</v>
      </c>
      <c r="AI75" s="751"/>
      <c r="AJ75" s="751">
        <v>0</v>
      </c>
      <c r="AK75" s="751"/>
      <c r="AL75" s="750">
        <v>40000</v>
      </c>
      <c r="AM75" s="750"/>
      <c r="AN75" s="750">
        <v>40000</v>
      </c>
      <c r="AO75" s="750"/>
      <c r="AP75" s="750">
        <v>40000</v>
      </c>
      <c r="AQ75" s="750"/>
      <c r="AR75" s="750">
        <v>40000</v>
      </c>
      <c r="AS75" s="750"/>
      <c r="AT75" s="769">
        <f t="shared" si="8"/>
        <v>0</v>
      </c>
      <c r="AU75" s="750">
        <f t="shared" si="9"/>
        <v>960000</v>
      </c>
      <c r="AV75" s="769">
        <f t="shared" si="10"/>
        <v>0</v>
      </c>
      <c r="AW75" s="752">
        <f t="shared" si="6"/>
        <v>0</v>
      </c>
      <c r="AX75" s="752" t="s">
        <v>1457</v>
      </c>
      <c r="AY75" s="696">
        <v>100000</v>
      </c>
    </row>
    <row r="76" spans="1:51" s="752" customFormat="1" hidden="1">
      <c r="A76" s="743">
        <f t="shared" si="11"/>
        <v>72</v>
      </c>
      <c r="B76" s="744"/>
      <c r="C76" s="745" t="s">
        <v>1182</v>
      </c>
      <c r="D76" s="746" t="s">
        <v>1264</v>
      </c>
      <c r="E76" s="747">
        <f t="shared" si="7"/>
        <v>960000</v>
      </c>
      <c r="F76" s="748">
        <v>50000</v>
      </c>
      <c r="G76" s="749"/>
      <c r="H76" s="750">
        <v>50000</v>
      </c>
      <c r="I76" s="750"/>
      <c r="J76" s="750">
        <v>50000</v>
      </c>
      <c r="K76" s="750"/>
      <c r="L76" s="750">
        <v>50000</v>
      </c>
      <c r="M76" s="750"/>
      <c r="N76" s="750">
        <v>50000</v>
      </c>
      <c r="O76" s="750"/>
      <c r="P76" s="750">
        <v>50000</v>
      </c>
      <c r="Q76" s="750"/>
      <c r="R76" s="750">
        <v>50000</v>
      </c>
      <c r="S76" s="750"/>
      <c r="T76" s="750">
        <v>50000</v>
      </c>
      <c r="U76" s="750"/>
      <c r="V76" s="750">
        <v>50000</v>
      </c>
      <c r="W76" s="750"/>
      <c r="X76" s="750">
        <v>50000</v>
      </c>
      <c r="Y76" s="750"/>
      <c r="Z76" s="750">
        <v>50000</v>
      </c>
      <c r="AA76" s="750"/>
      <c r="AB76" s="750">
        <v>50000</v>
      </c>
      <c r="AC76" s="750"/>
      <c r="AD76" s="750">
        <v>150000</v>
      </c>
      <c r="AE76" s="750"/>
      <c r="AF76" s="750">
        <v>50000</v>
      </c>
      <c r="AG76" s="750"/>
      <c r="AH76" s="751">
        <v>0</v>
      </c>
      <c r="AI76" s="751"/>
      <c r="AJ76" s="751">
        <v>0</v>
      </c>
      <c r="AK76" s="751"/>
      <c r="AL76" s="750">
        <v>40000</v>
      </c>
      <c r="AM76" s="750"/>
      <c r="AN76" s="750">
        <v>40000</v>
      </c>
      <c r="AO76" s="750"/>
      <c r="AP76" s="750">
        <v>40000</v>
      </c>
      <c r="AQ76" s="750"/>
      <c r="AR76" s="750">
        <v>40000</v>
      </c>
      <c r="AS76" s="750"/>
      <c r="AT76" s="769">
        <f t="shared" si="8"/>
        <v>0</v>
      </c>
      <c r="AU76" s="750">
        <f t="shared" si="9"/>
        <v>960000</v>
      </c>
      <c r="AV76" s="769">
        <f t="shared" si="10"/>
        <v>0</v>
      </c>
      <c r="AW76" s="752">
        <f t="shared" si="6"/>
        <v>0</v>
      </c>
      <c r="AX76" s="752" t="s">
        <v>1682</v>
      </c>
      <c r="AY76" s="696">
        <v>100000</v>
      </c>
    </row>
    <row r="77" spans="1:51" s="752" customFormat="1" hidden="1">
      <c r="A77" s="743">
        <f t="shared" si="11"/>
        <v>73</v>
      </c>
      <c r="B77" s="744"/>
      <c r="C77" s="745" t="s">
        <v>1183</v>
      </c>
      <c r="D77" s="746" t="s">
        <v>1265</v>
      </c>
      <c r="E77" s="747">
        <f t="shared" si="7"/>
        <v>960000</v>
      </c>
      <c r="F77" s="748">
        <v>50000</v>
      </c>
      <c r="G77" s="749"/>
      <c r="H77" s="750">
        <v>50000</v>
      </c>
      <c r="I77" s="750"/>
      <c r="J77" s="750">
        <v>50000</v>
      </c>
      <c r="K77" s="750"/>
      <c r="L77" s="750">
        <v>50000</v>
      </c>
      <c r="M77" s="750"/>
      <c r="N77" s="750">
        <v>50000</v>
      </c>
      <c r="O77" s="750"/>
      <c r="P77" s="750">
        <v>50000</v>
      </c>
      <c r="Q77" s="750"/>
      <c r="R77" s="750">
        <v>50000</v>
      </c>
      <c r="S77" s="750"/>
      <c r="T77" s="750">
        <v>50000</v>
      </c>
      <c r="U77" s="750"/>
      <c r="V77" s="750">
        <v>50000</v>
      </c>
      <c r="W77" s="750"/>
      <c r="X77" s="750">
        <v>50000</v>
      </c>
      <c r="Y77" s="750"/>
      <c r="Z77" s="750">
        <v>50000</v>
      </c>
      <c r="AA77" s="750"/>
      <c r="AB77" s="750">
        <v>50000</v>
      </c>
      <c r="AC77" s="750"/>
      <c r="AD77" s="750">
        <v>150000</v>
      </c>
      <c r="AE77" s="750"/>
      <c r="AF77" s="750">
        <v>50000</v>
      </c>
      <c r="AG77" s="750"/>
      <c r="AH77" s="751">
        <v>0</v>
      </c>
      <c r="AI77" s="751"/>
      <c r="AJ77" s="751">
        <v>0</v>
      </c>
      <c r="AK77" s="751"/>
      <c r="AL77" s="750">
        <v>40000</v>
      </c>
      <c r="AM77" s="750"/>
      <c r="AN77" s="750">
        <v>40000</v>
      </c>
      <c r="AO77" s="750"/>
      <c r="AP77" s="750">
        <v>40000</v>
      </c>
      <c r="AQ77" s="750"/>
      <c r="AR77" s="750">
        <v>40000</v>
      </c>
      <c r="AS77" s="750"/>
      <c r="AT77" s="769">
        <f t="shared" si="8"/>
        <v>0</v>
      </c>
      <c r="AU77" s="750">
        <f t="shared" si="9"/>
        <v>960000</v>
      </c>
      <c r="AV77" s="769">
        <f t="shared" si="10"/>
        <v>0</v>
      </c>
      <c r="AW77" s="752">
        <f t="shared" si="6"/>
        <v>0</v>
      </c>
      <c r="AX77" s="752" t="s">
        <v>1780</v>
      </c>
      <c r="AY77" s="696">
        <v>100000</v>
      </c>
    </row>
    <row r="78" spans="1:51" s="752" customFormat="1" hidden="1">
      <c r="A78" s="743">
        <f t="shared" si="11"/>
        <v>74</v>
      </c>
      <c r="B78" s="744"/>
      <c r="C78" s="745" t="s">
        <v>1184</v>
      </c>
      <c r="D78" s="746" t="s">
        <v>1266</v>
      </c>
      <c r="E78" s="747">
        <f t="shared" si="7"/>
        <v>960000</v>
      </c>
      <c r="F78" s="748">
        <v>50000</v>
      </c>
      <c r="G78" s="749"/>
      <c r="H78" s="750">
        <v>50000</v>
      </c>
      <c r="I78" s="750"/>
      <c r="J78" s="750">
        <v>50000</v>
      </c>
      <c r="K78" s="750"/>
      <c r="L78" s="750">
        <v>50000</v>
      </c>
      <c r="M78" s="750"/>
      <c r="N78" s="750">
        <v>50000</v>
      </c>
      <c r="O78" s="750"/>
      <c r="P78" s="750">
        <v>50000</v>
      </c>
      <c r="Q78" s="750"/>
      <c r="R78" s="750">
        <v>50000</v>
      </c>
      <c r="S78" s="750"/>
      <c r="T78" s="750">
        <v>50000</v>
      </c>
      <c r="U78" s="750"/>
      <c r="V78" s="750">
        <v>50000</v>
      </c>
      <c r="W78" s="750"/>
      <c r="X78" s="750">
        <v>50000</v>
      </c>
      <c r="Y78" s="750"/>
      <c r="Z78" s="750">
        <v>50000</v>
      </c>
      <c r="AA78" s="750"/>
      <c r="AB78" s="750">
        <v>50000</v>
      </c>
      <c r="AC78" s="750"/>
      <c r="AD78" s="750">
        <v>150000</v>
      </c>
      <c r="AE78" s="750"/>
      <c r="AF78" s="750">
        <v>50000</v>
      </c>
      <c r="AG78" s="750"/>
      <c r="AH78" s="751">
        <v>0</v>
      </c>
      <c r="AI78" s="751"/>
      <c r="AJ78" s="751">
        <v>0</v>
      </c>
      <c r="AK78" s="751"/>
      <c r="AL78" s="750">
        <v>40000</v>
      </c>
      <c r="AM78" s="750"/>
      <c r="AN78" s="750">
        <v>40000</v>
      </c>
      <c r="AO78" s="750"/>
      <c r="AP78" s="750">
        <v>40000</v>
      </c>
      <c r="AQ78" s="750"/>
      <c r="AR78" s="750">
        <v>40000</v>
      </c>
      <c r="AS78" s="750"/>
      <c r="AT78" s="769">
        <f t="shared" si="8"/>
        <v>0</v>
      </c>
      <c r="AU78" s="750">
        <f t="shared" si="9"/>
        <v>960000</v>
      </c>
      <c r="AV78" s="769">
        <f t="shared" si="10"/>
        <v>0</v>
      </c>
      <c r="AW78" s="752">
        <f t="shared" si="6"/>
        <v>0</v>
      </c>
      <c r="AX78" s="752" t="s">
        <v>1804</v>
      </c>
      <c r="AY78" s="696">
        <v>100000</v>
      </c>
    </row>
    <row r="79" spans="1:51" s="752" customFormat="1">
      <c r="A79" s="743">
        <f t="shared" si="11"/>
        <v>75</v>
      </c>
      <c r="B79" s="744"/>
      <c r="C79" s="745" t="s">
        <v>1185</v>
      </c>
      <c r="D79" s="746" t="s">
        <v>1267</v>
      </c>
      <c r="E79" s="747">
        <f t="shared" si="7"/>
        <v>100000</v>
      </c>
      <c r="F79" s="748">
        <v>50000</v>
      </c>
      <c r="G79" s="749"/>
      <c r="H79" s="751">
        <v>0</v>
      </c>
      <c r="I79" s="756">
        <v>50000</v>
      </c>
      <c r="J79" s="750">
        <v>0</v>
      </c>
      <c r="K79" s="750"/>
      <c r="L79" s="750">
        <v>0</v>
      </c>
      <c r="M79" s="750"/>
      <c r="N79" s="750">
        <v>0</v>
      </c>
      <c r="O79" s="750"/>
      <c r="P79" s="750">
        <v>0</v>
      </c>
      <c r="Q79" s="750"/>
      <c r="R79" s="750">
        <v>0</v>
      </c>
      <c r="S79" s="750"/>
      <c r="T79" s="750">
        <v>0</v>
      </c>
      <c r="U79" s="750"/>
      <c r="V79" s="750">
        <v>0</v>
      </c>
      <c r="W79" s="750"/>
      <c r="X79" s="750">
        <v>0</v>
      </c>
      <c r="Y79" s="750"/>
      <c r="Z79" s="750">
        <v>0</v>
      </c>
      <c r="AA79" s="750"/>
      <c r="AB79" s="750">
        <v>0</v>
      </c>
      <c r="AC79" s="750"/>
      <c r="AD79" s="750">
        <v>0</v>
      </c>
      <c r="AE79" s="750"/>
      <c r="AF79" s="750">
        <v>0</v>
      </c>
      <c r="AG79" s="750"/>
      <c r="AH79" s="750"/>
      <c r="AI79" s="750"/>
      <c r="AJ79" s="750">
        <v>0</v>
      </c>
      <c r="AK79" s="750"/>
      <c r="AL79" s="750">
        <v>0</v>
      </c>
      <c r="AM79" s="750"/>
      <c r="AN79" s="750">
        <v>0</v>
      </c>
      <c r="AO79" s="750"/>
      <c r="AP79" s="750">
        <v>0</v>
      </c>
      <c r="AQ79" s="750"/>
      <c r="AR79" s="750">
        <v>0</v>
      </c>
      <c r="AS79" s="750"/>
      <c r="AT79" s="769">
        <f t="shared" si="8"/>
        <v>50000</v>
      </c>
      <c r="AU79" s="750">
        <f t="shared" si="9"/>
        <v>50000</v>
      </c>
      <c r="AV79" s="771">
        <f t="shared" si="10"/>
        <v>50000</v>
      </c>
      <c r="AW79" s="752">
        <f t="shared" si="6"/>
        <v>0</v>
      </c>
      <c r="AX79" s="752" t="s">
        <v>1805</v>
      </c>
      <c r="AY79" s="696">
        <v>100000</v>
      </c>
    </row>
    <row r="80" spans="1:51" s="752" customFormat="1" hidden="1">
      <c r="A80" s="743">
        <f t="shared" si="11"/>
        <v>76</v>
      </c>
      <c r="B80" s="744"/>
      <c r="C80" s="745" t="s">
        <v>1186</v>
      </c>
      <c r="D80" s="746" t="s">
        <v>1268</v>
      </c>
      <c r="E80" s="747">
        <f t="shared" si="7"/>
        <v>500000</v>
      </c>
      <c r="F80" s="748">
        <v>50000</v>
      </c>
      <c r="G80" s="749"/>
      <c r="H80" s="750">
        <v>50000</v>
      </c>
      <c r="I80" s="750"/>
      <c r="J80" s="750">
        <v>50000</v>
      </c>
      <c r="K80" s="750"/>
      <c r="L80" s="750">
        <v>50000</v>
      </c>
      <c r="M80" s="750"/>
      <c r="N80" s="750">
        <v>50000</v>
      </c>
      <c r="O80" s="750"/>
      <c r="P80" s="750">
        <v>50000</v>
      </c>
      <c r="Q80" s="750"/>
      <c r="R80" s="750">
        <v>50000</v>
      </c>
      <c r="S80" s="750"/>
      <c r="T80" s="750">
        <v>50000</v>
      </c>
      <c r="U80" s="750"/>
      <c r="V80" s="751">
        <v>0</v>
      </c>
      <c r="W80" s="751">
        <v>50000</v>
      </c>
      <c r="X80" s="751">
        <v>0</v>
      </c>
      <c r="Y80" s="751">
        <v>50000</v>
      </c>
      <c r="Z80" s="750">
        <v>0</v>
      </c>
      <c r="AA80" s="750"/>
      <c r="AB80" s="750">
        <v>0</v>
      </c>
      <c r="AC80" s="750"/>
      <c r="AD80" s="750">
        <v>0</v>
      </c>
      <c r="AE80" s="750"/>
      <c r="AF80" s="750">
        <v>0</v>
      </c>
      <c r="AG80" s="750"/>
      <c r="AH80" s="750"/>
      <c r="AI80" s="750"/>
      <c r="AJ80" s="750">
        <v>0</v>
      </c>
      <c r="AK80" s="750"/>
      <c r="AL80" s="750">
        <v>0</v>
      </c>
      <c r="AM80" s="750"/>
      <c r="AN80" s="750">
        <v>0</v>
      </c>
      <c r="AO80" s="750"/>
      <c r="AP80" s="750">
        <v>0</v>
      </c>
      <c r="AQ80" s="750"/>
      <c r="AR80" s="750">
        <v>0</v>
      </c>
      <c r="AS80" s="750"/>
      <c r="AT80" s="769">
        <f t="shared" si="8"/>
        <v>100000</v>
      </c>
      <c r="AU80" s="750">
        <f t="shared" si="9"/>
        <v>400000</v>
      </c>
      <c r="AV80" s="769">
        <f t="shared" si="10"/>
        <v>0</v>
      </c>
      <c r="AW80" s="752">
        <f t="shared" si="6"/>
        <v>100000</v>
      </c>
      <c r="AX80" s="752" t="s">
        <v>1811</v>
      </c>
      <c r="AY80" s="696">
        <v>100000</v>
      </c>
    </row>
    <row r="81" spans="1:51" s="752" customFormat="1" hidden="1">
      <c r="A81" s="743">
        <f t="shared" si="11"/>
        <v>77</v>
      </c>
      <c r="B81" s="744"/>
      <c r="C81" s="745" t="s">
        <v>1187</v>
      </c>
      <c r="D81" s="746" t="s">
        <v>1269</v>
      </c>
      <c r="E81" s="747">
        <f t="shared" si="7"/>
        <v>450000</v>
      </c>
      <c r="F81" s="748">
        <v>50000</v>
      </c>
      <c r="G81" s="749"/>
      <c r="H81" s="750">
        <v>50000</v>
      </c>
      <c r="I81" s="750"/>
      <c r="J81" s="750">
        <v>50000</v>
      </c>
      <c r="K81" s="750"/>
      <c r="L81" s="750">
        <v>50000</v>
      </c>
      <c r="M81" s="750"/>
      <c r="N81" s="750">
        <v>50000</v>
      </c>
      <c r="O81" s="750"/>
      <c r="P81" s="750">
        <v>50000</v>
      </c>
      <c r="Q81" s="750"/>
      <c r="R81" s="750">
        <v>50000</v>
      </c>
      <c r="S81" s="750"/>
      <c r="T81" s="750">
        <v>50000</v>
      </c>
      <c r="U81" s="750"/>
      <c r="V81" s="750">
        <v>50000</v>
      </c>
      <c r="W81" s="750"/>
      <c r="X81" s="750">
        <v>0</v>
      </c>
      <c r="Y81" s="750"/>
      <c r="Z81" s="750">
        <v>0</v>
      </c>
      <c r="AA81" s="750"/>
      <c r="AB81" s="750">
        <v>0</v>
      </c>
      <c r="AC81" s="750"/>
      <c r="AD81" s="750">
        <v>0</v>
      </c>
      <c r="AE81" s="750"/>
      <c r="AF81" s="750">
        <v>0</v>
      </c>
      <c r="AG81" s="750"/>
      <c r="AH81" s="750"/>
      <c r="AI81" s="750"/>
      <c r="AJ81" s="750">
        <v>0</v>
      </c>
      <c r="AK81" s="750"/>
      <c r="AL81" s="750">
        <v>0</v>
      </c>
      <c r="AM81" s="750"/>
      <c r="AN81" s="750">
        <v>0</v>
      </c>
      <c r="AO81" s="750"/>
      <c r="AP81" s="750">
        <v>0</v>
      </c>
      <c r="AQ81" s="750"/>
      <c r="AR81" s="750">
        <v>0</v>
      </c>
      <c r="AS81" s="750"/>
      <c r="AT81" s="769">
        <f t="shared" si="8"/>
        <v>0</v>
      </c>
      <c r="AU81" s="750">
        <f t="shared" si="9"/>
        <v>450000</v>
      </c>
      <c r="AV81" s="769">
        <f t="shared" si="10"/>
        <v>0</v>
      </c>
      <c r="AW81" s="752">
        <f t="shared" si="6"/>
        <v>0</v>
      </c>
      <c r="AX81" s="752" t="s">
        <v>1813</v>
      </c>
      <c r="AY81" s="696">
        <v>100000</v>
      </c>
    </row>
    <row r="82" spans="1:51" s="752" customFormat="1" hidden="1">
      <c r="A82" s="743">
        <f t="shared" si="11"/>
        <v>78</v>
      </c>
      <c r="B82" s="744"/>
      <c r="C82" s="745" t="s">
        <v>1188</v>
      </c>
      <c r="D82" s="746" t="s">
        <v>1270</v>
      </c>
      <c r="E82" s="747">
        <f t="shared" si="7"/>
        <v>960000</v>
      </c>
      <c r="F82" s="748">
        <v>50000</v>
      </c>
      <c r="G82" s="749"/>
      <c r="H82" s="750">
        <v>50000</v>
      </c>
      <c r="I82" s="750"/>
      <c r="J82" s="750">
        <v>50000</v>
      </c>
      <c r="K82" s="750"/>
      <c r="L82" s="750">
        <v>50000</v>
      </c>
      <c r="M82" s="750"/>
      <c r="N82" s="750">
        <v>50000</v>
      </c>
      <c r="O82" s="750"/>
      <c r="P82" s="750">
        <v>50000</v>
      </c>
      <c r="Q82" s="750"/>
      <c r="R82" s="750">
        <v>50000</v>
      </c>
      <c r="S82" s="750"/>
      <c r="T82" s="750">
        <v>50000</v>
      </c>
      <c r="U82" s="750"/>
      <c r="V82" s="750">
        <v>50000</v>
      </c>
      <c r="W82" s="750"/>
      <c r="X82" s="750">
        <v>50000</v>
      </c>
      <c r="Y82" s="750"/>
      <c r="Z82" s="750">
        <v>50000</v>
      </c>
      <c r="AA82" s="750"/>
      <c r="AB82" s="750">
        <v>50000</v>
      </c>
      <c r="AC82" s="750"/>
      <c r="AD82" s="750">
        <v>150000</v>
      </c>
      <c r="AE82" s="750"/>
      <c r="AF82" s="750">
        <v>50000</v>
      </c>
      <c r="AG82" s="750"/>
      <c r="AH82" s="751">
        <v>0</v>
      </c>
      <c r="AI82" s="751"/>
      <c r="AJ82" s="751">
        <v>0</v>
      </c>
      <c r="AK82" s="751"/>
      <c r="AL82" s="750">
        <v>40000</v>
      </c>
      <c r="AM82" s="750"/>
      <c r="AN82" s="750">
        <v>40000</v>
      </c>
      <c r="AO82" s="750"/>
      <c r="AP82" s="750">
        <v>40000</v>
      </c>
      <c r="AQ82" s="750"/>
      <c r="AR82" s="750">
        <v>40000</v>
      </c>
      <c r="AS82" s="750"/>
      <c r="AT82" s="769">
        <f t="shared" si="8"/>
        <v>0</v>
      </c>
      <c r="AU82" s="750">
        <f t="shared" si="9"/>
        <v>960000</v>
      </c>
      <c r="AV82" s="769">
        <f t="shared" si="10"/>
        <v>0</v>
      </c>
      <c r="AW82" s="752">
        <f t="shared" si="6"/>
        <v>0</v>
      </c>
      <c r="AX82" s="752" t="s">
        <v>1824</v>
      </c>
      <c r="AY82" s="696">
        <v>100000</v>
      </c>
    </row>
    <row r="83" spans="1:51" s="752" customFormat="1" hidden="1">
      <c r="A83" s="743">
        <f t="shared" si="11"/>
        <v>79</v>
      </c>
      <c r="B83" s="744"/>
      <c r="C83" s="745" t="s">
        <v>1189</v>
      </c>
      <c r="D83" s="746" t="s">
        <v>1271</v>
      </c>
      <c r="E83" s="747">
        <f t="shared" si="7"/>
        <v>960000</v>
      </c>
      <c r="F83" s="748">
        <v>50000</v>
      </c>
      <c r="G83" s="749"/>
      <c r="H83" s="750">
        <v>50000</v>
      </c>
      <c r="I83" s="750"/>
      <c r="J83" s="750">
        <v>50000</v>
      </c>
      <c r="K83" s="750"/>
      <c r="L83" s="750">
        <v>50000</v>
      </c>
      <c r="M83" s="750"/>
      <c r="N83" s="750">
        <v>50000</v>
      </c>
      <c r="O83" s="750"/>
      <c r="P83" s="750">
        <v>50000</v>
      </c>
      <c r="Q83" s="750"/>
      <c r="R83" s="750">
        <v>50000</v>
      </c>
      <c r="S83" s="750"/>
      <c r="T83" s="750">
        <v>50000</v>
      </c>
      <c r="U83" s="750"/>
      <c r="V83" s="750">
        <v>50000</v>
      </c>
      <c r="W83" s="750"/>
      <c r="X83" s="750">
        <v>50000</v>
      </c>
      <c r="Y83" s="750"/>
      <c r="Z83" s="750">
        <v>50000</v>
      </c>
      <c r="AA83" s="750"/>
      <c r="AB83" s="750">
        <v>50000</v>
      </c>
      <c r="AC83" s="750"/>
      <c r="AD83" s="750">
        <v>150000</v>
      </c>
      <c r="AE83" s="750"/>
      <c r="AF83" s="750">
        <v>50000</v>
      </c>
      <c r="AG83" s="750"/>
      <c r="AH83" s="751">
        <v>0</v>
      </c>
      <c r="AI83" s="751"/>
      <c r="AJ83" s="751">
        <v>0</v>
      </c>
      <c r="AK83" s="751"/>
      <c r="AL83" s="750">
        <v>40000</v>
      </c>
      <c r="AM83" s="750"/>
      <c r="AN83" s="750">
        <v>40000</v>
      </c>
      <c r="AO83" s="750"/>
      <c r="AP83" s="750">
        <v>40000</v>
      </c>
      <c r="AQ83" s="750"/>
      <c r="AR83" s="750">
        <v>40000</v>
      </c>
      <c r="AS83" s="750"/>
      <c r="AT83" s="769">
        <f t="shared" si="8"/>
        <v>0</v>
      </c>
      <c r="AU83" s="750">
        <f t="shared" si="9"/>
        <v>960000</v>
      </c>
      <c r="AV83" s="769">
        <f t="shared" si="10"/>
        <v>0</v>
      </c>
      <c r="AW83" s="752">
        <f t="shared" si="6"/>
        <v>0</v>
      </c>
      <c r="AX83" s="752" t="s">
        <v>1827</v>
      </c>
      <c r="AY83" s="696">
        <v>100000</v>
      </c>
    </row>
    <row r="84" spans="1:51" s="752" customFormat="1" hidden="1">
      <c r="A84" s="743">
        <f t="shared" si="11"/>
        <v>80</v>
      </c>
      <c r="B84" s="744"/>
      <c r="C84" s="745" t="s">
        <v>1190</v>
      </c>
      <c r="D84" s="746" t="s">
        <v>1272</v>
      </c>
      <c r="E84" s="747">
        <f t="shared" si="7"/>
        <v>960000</v>
      </c>
      <c r="F84" s="748">
        <v>50000</v>
      </c>
      <c r="G84" s="749"/>
      <c r="H84" s="750">
        <v>50000</v>
      </c>
      <c r="I84" s="750"/>
      <c r="J84" s="750">
        <v>50000</v>
      </c>
      <c r="K84" s="750"/>
      <c r="L84" s="750">
        <v>50000</v>
      </c>
      <c r="M84" s="750"/>
      <c r="N84" s="750">
        <v>50000</v>
      </c>
      <c r="O84" s="750"/>
      <c r="P84" s="750">
        <v>50000</v>
      </c>
      <c r="Q84" s="750"/>
      <c r="R84" s="750">
        <v>50000</v>
      </c>
      <c r="S84" s="750"/>
      <c r="T84" s="750">
        <v>50000</v>
      </c>
      <c r="U84" s="750"/>
      <c r="V84" s="750">
        <v>50000</v>
      </c>
      <c r="W84" s="750"/>
      <c r="X84" s="750">
        <v>50000</v>
      </c>
      <c r="Y84" s="750"/>
      <c r="Z84" s="750">
        <v>50000</v>
      </c>
      <c r="AA84" s="750"/>
      <c r="AB84" s="750">
        <v>50000</v>
      </c>
      <c r="AC84" s="750"/>
      <c r="AD84" s="750">
        <v>150000</v>
      </c>
      <c r="AE84" s="750"/>
      <c r="AF84" s="750">
        <v>50000</v>
      </c>
      <c r="AG84" s="750"/>
      <c r="AH84" s="751">
        <v>0</v>
      </c>
      <c r="AI84" s="751"/>
      <c r="AJ84" s="751">
        <v>0</v>
      </c>
      <c r="AK84" s="751"/>
      <c r="AL84" s="750">
        <v>40000</v>
      </c>
      <c r="AM84" s="750"/>
      <c r="AN84" s="750">
        <v>40000</v>
      </c>
      <c r="AO84" s="750"/>
      <c r="AP84" s="750">
        <v>40000</v>
      </c>
      <c r="AQ84" s="750"/>
      <c r="AR84" s="750">
        <v>40000</v>
      </c>
      <c r="AS84" s="750"/>
      <c r="AT84" s="769">
        <f t="shared" si="8"/>
        <v>0</v>
      </c>
      <c r="AU84" s="750">
        <f t="shared" si="9"/>
        <v>960000</v>
      </c>
      <c r="AV84" s="769">
        <f t="shared" si="10"/>
        <v>0</v>
      </c>
      <c r="AW84" s="752">
        <f t="shared" si="6"/>
        <v>0</v>
      </c>
      <c r="AX84" s="752" t="s">
        <v>1831</v>
      </c>
      <c r="AY84" s="696">
        <v>100000</v>
      </c>
    </row>
    <row r="85" spans="1:51" s="725" customFormat="1" hidden="1">
      <c r="A85" s="738">
        <f t="shared" si="11"/>
        <v>81</v>
      </c>
      <c r="B85" s="716"/>
      <c r="C85" s="717" t="s">
        <v>1191</v>
      </c>
      <c r="D85" s="731" t="s">
        <v>1273</v>
      </c>
      <c r="E85" s="727">
        <f t="shared" si="7"/>
        <v>1010000</v>
      </c>
      <c r="F85" s="739">
        <v>50000</v>
      </c>
      <c r="G85" s="740"/>
      <c r="H85" s="729">
        <v>50000</v>
      </c>
      <c r="I85" s="729"/>
      <c r="J85" s="729">
        <v>50000</v>
      </c>
      <c r="K85" s="729"/>
      <c r="L85" s="729">
        <v>50000</v>
      </c>
      <c r="M85" s="729"/>
      <c r="N85" s="729">
        <v>50000</v>
      </c>
      <c r="O85" s="729"/>
      <c r="P85" s="729">
        <v>50000</v>
      </c>
      <c r="Q85" s="729"/>
      <c r="R85" s="729">
        <v>50000</v>
      </c>
      <c r="S85" s="729"/>
      <c r="T85" s="729">
        <v>50000</v>
      </c>
      <c r="U85" s="729"/>
      <c r="V85" s="729">
        <v>50000</v>
      </c>
      <c r="W85" s="729"/>
      <c r="X85" s="729">
        <v>50000</v>
      </c>
      <c r="Y85" s="729"/>
      <c r="Z85" s="729">
        <v>50000</v>
      </c>
      <c r="AA85" s="729"/>
      <c r="AB85" s="729">
        <v>50000</v>
      </c>
      <c r="AC85" s="729"/>
      <c r="AD85" s="729">
        <v>150000</v>
      </c>
      <c r="AE85" s="729"/>
      <c r="AF85" s="729">
        <v>50000</v>
      </c>
      <c r="AG85" s="729"/>
      <c r="AH85" s="741">
        <v>0</v>
      </c>
      <c r="AI85" s="741"/>
      <c r="AJ85" s="729">
        <v>50000</v>
      </c>
      <c r="AK85" s="729"/>
      <c r="AL85" s="729">
        <v>40000</v>
      </c>
      <c r="AM85" s="729"/>
      <c r="AN85" s="729">
        <v>40000</v>
      </c>
      <c r="AO85" s="729"/>
      <c r="AP85" s="729">
        <v>40000</v>
      </c>
      <c r="AQ85" s="729"/>
      <c r="AR85" s="729">
        <v>40000</v>
      </c>
      <c r="AS85" s="729"/>
      <c r="AT85" s="769">
        <f t="shared" si="8"/>
        <v>0</v>
      </c>
      <c r="AU85" s="729">
        <f t="shared" si="9"/>
        <v>1010000</v>
      </c>
      <c r="AV85" s="769">
        <f t="shared" si="10"/>
        <v>0</v>
      </c>
      <c r="AW85" s="725">
        <f t="shared" si="6"/>
        <v>0</v>
      </c>
      <c r="AX85" s="725" t="s">
        <v>1841</v>
      </c>
      <c r="AY85" s="696">
        <v>100000</v>
      </c>
    </row>
    <row r="86" spans="1:51" s="725" customFormat="1" hidden="1">
      <c r="A86" s="738">
        <f t="shared" si="11"/>
        <v>82</v>
      </c>
      <c r="B86" s="716"/>
      <c r="C86" s="717" t="s">
        <v>1192</v>
      </c>
      <c r="D86" s="731" t="s">
        <v>1274</v>
      </c>
      <c r="E86" s="727">
        <f t="shared" si="7"/>
        <v>960000</v>
      </c>
      <c r="F86" s="739">
        <v>50000</v>
      </c>
      <c r="G86" s="740"/>
      <c r="H86" s="729">
        <v>50000</v>
      </c>
      <c r="I86" s="729"/>
      <c r="J86" s="729">
        <v>50000</v>
      </c>
      <c r="K86" s="729"/>
      <c r="L86" s="729">
        <v>50000</v>
      </c>
      <c r="M86" s="729"/>
      <c r="N86" s="729">
        <v>50000</v>
      </c>
      <c r="O86" s="729"/>
      <c r="P86" s="729">
        <v>50000</v>
      </c>
      <c r="Q86" s="729"/>
      <c r="R86" s="729">
        <v>50000</v>
      </c>
      <c r="S86" s="729"/>
      <c r="T86" s="729">
        <v>50000</v>
      </c>
      <c r="U86" s="729"/>
      <c r="V86" s="729">
        <v>50000</v>
      </c>
      <c r="W86" s="729"/>
      <c r="X86" s="729">
        <v>50000</v>
      </c>
      <c r="Y86" s="729"/>
      <c r="Z86" s="729">
        <v>50000</v>
      </c>
      <c r="AA86" s="729"/>
      <c r="AB86" s="729">
        <v>50000</v>
      </c>
      <c r="AC86" s="729"/>
      <c r="AD86" s="729">
        <v>100000</v>
      </c>
      <c r="AE86" s="729"/>
      <c r="AF86" s="729">
        <v>50000</v>
      </c>
      <c r="AG86" s="729"/>
      <c r="AH86" s="741">
        <v>0</v>
      </c>
      <c r="AI86" s="741"/>
      <c r="AJ86" s="741">
        <v>0</v>
      </c>
      <c r="AK86" s="741">
        <v>50000</v>
      </c>
      <c r="AL86" s="729">
        <v>40000</v>
      </c>
      <c r="AM86" s="729"/>
      <c r="AN86" s="729">
        <v>40000</v>
      </c>
      <c r="AO86" s="729"/>
      <c r="AP86" s="729">
        <v>40000</v>
      </c>
      <c r="AQ86" s="729"/>
      <c r="AR86" s="729">
        <v>40000</v>
      </c>
      <c r="AS86" s="729"/>
      <c r="AT86" s="769">
        <f t="shared" si="8"/>
        <v>50000</v>
      </c>
      <c r="AU86" s="729">
        <f t="shared" si="9"/>
        <v>910000</v>
      </c>
      <c r="AV86" s="769">
        <f t="shared" si="10"/>
        <v>0</v>
      </c>
      <c r="AW86" s="725">
        <f t="shared" si="6"/>
        <v>50000</v>
      </c>
      <c r="AX86" s="725" t="s">
        <v>1843</v>
      </c>
      <c r="AY86" s="696">
        <v>100000</v>
      </c>
    </row>
    <row r="87" spans="1:51" s="725" customFormat="1" hidden="1">
      <c r="A87" s="738">
        <f t="shared" si="11"/>
        <v>83</v>
      </c>
      <c r="B87" s="716"/>
      <c r="C87" s="717" t="s">
        <v>1193</v>
      </c>
      <c r="D87" s="731" t="s">
        <v>1275</v>
      </c>
      <c r="E87" s="727">
        <f t="shared" si="7"/>
        <v>860000</v>
      </c>
      <c r="F87" s="739">
        <v>50000</v>
      </c>
      <c r="G87" s="740"/>
      <c r="H87" s="729">
        <v>50000</v>
      </c>
      <c r="I87" s="729"/>
      <c r="J87" s="729">
        <v>50000</v>
      </c>
      <c r="K87" s="729"/>
      <c r="L87" s="729">
        <v>50000</v>
      </c>
      <c r="M87" s="729"/>
      <c r="N87" s="729">
        <v>50000</v>
      </c>
      <c r="O87" s="729"/>
      <c r="P87" s="729">
        <v>50000</v>
      </c>
      <c r="Q87" s="729"/>
      <c r="R87" s="729">
        <v>50000</v>
      </c>
      <c r="S87" s="729"/>
      <c r="T87" s="729">
        <v>50000</v>
      </c>
      <c r="U87" s="729"/>
      <c r="V87" s="729">
        <v>50000</v>
      </c>
      <c r="W87" s="729"/>
      <c r="X87" s="729">
        <v>50000</v>
      </c>
      <c r="Y87" s="729"/>
      <c r="Z87" s="729">
        <v>50000</v>
      </c>
      <c r="AA87" s="729"/>
      <c r="AB87" s="729">
        <v>50000</v>
      </c>
      <c r="AC87" s="729"/>
      <c r="AD87" s="741">
        <v>0</v>
      </c>
      <c r="AE87" s="741">
        <v>50000</v>
      </c>
      <c r="AF87" s="729">
        <v>0</v>
      </c>
      <c r="AG87" s="729"/>
      <c r="AH87" s="741">
        <v>0</v>
      </c>
      <c r="AI87" s="741"/>
      <c r="AJ87" s="729">
        <v>50000</v>
      </c>
      <c r="AK87" s="729"/>
      <c r="AL87" s="729">
        <v>40000</v>
      </c>
      <c r="AM87" s="729"/>
      <c r="AN87" s="729">
        <v>40000</v>
      </c>
      <c r="AO87" s="729"/>
      <c r="AP87" s="729">
        <v>40000</v>
      </c>
      <c r="AQ87" s="729"/>
      <c r="AR87" s="729">
        <v>40000</v>
      </c>
      <c r="AS87" s="729"/>
      <c r="AT87" s="769">
        <f t="shared" si="8"/>
        <v>50000</v>
      </c>
      <c r="AU87" s="729">
        <f t="shared" si="9"/>
        <v>810000</v>
      </c>
      <c r="AV87" s="769">
        <f t="shared" si="10"/>
        <v>-50000</v>
      </c>
      <c r="AW87" s="725">
        <f t="shared" si="6"/>
        <v>100000</v>
      </c>
      <c r="AX87" s="725" t="s">
        <v>1844</v>
      </c>
      <c r="AY87" s="696">
        <v>100000</v>
      </c>
    </row>
    <row r="88" spans="1:51" s="725" customFormat="1" hidden="1">
      <c r="A88" s="738">
        <f t="shared" si="11"/>
        <v>84</v>
      </c>
      <c r="B88" s="716"/>
      <c r="C88" s="758" t="s">
        <v>1276</v>
      </c>
      <c r="D88" s="731" t="s">
        <v>1283</v>
      </c>
      <c r="E88" s="727">
        <f t="shared" si="7"/>
        <v>400000</v>
      </c>
      <c r="F88" s="742">
        <v>50000</v>
      </c>
      <c r="G88" s="759"/>
      <c r="H88" s="729">
        <v>50000</v>
      </c>
      <c r="I88" s="729"/>
      <c r="J88" s="729">
        <v>50000</v>
      </c>
      <c r="K88" s="729"/>
      <c r="L88" s="729">
        <v>50000</v>
      </c>
      <c r="M88" s="729"/>
      <c r="N88" s="729">
        <v>50000</v>
      </c>
      <c r="O88" s="729"/>
      <c r="P88" s="729">
        <v>50000</v>
      </c>
      <c r="Q88" s="729"/>
      <c r="R88" s="729">
        <v>50000</v>
      </c>
      <c r="S88" s="729"/>
      <c r="T88" s="729">
        <v>50000</v>
      </c>
      <c r="U88" s="729"/>
      <c r="V88" s="729">
        <v>0</v>
      </c>
      <c r="W88" s="729"/>
      <c r="X88" s="729">
        <v>0</v>
      </c>
      <c r="Y88" s="729"/>
      <c r="Z88" s="729">
        <v>0</v>
      </c>
      <c r="AA88" s="729"/>
      <c r="AB88" s="729">
        <v>0</v>
      </c>
      <c r="AC88" s="729"/>
      <c r="AD88" s="729">
        <v>0</v>
      </c>
      <c r="AE88" s="729"/>
      <c r="AF88" s="729">
        <v>0</v>
      </c>
      <c r="AG88" s="729"/>
      <c r="AH88" s="729"/>
      <c r="AI88" s="729"/>
      <c r="AJ88" s="729">
        <v>0</v>
      </c>
      <c r="AK88" s="729"/>
      <c r="AL88" s="729">
        <v>0</v>
      </c>
      <c r="AM88" s="729"/>
      <c r="AN88" s="729">
        <v>0</v>
      </c>
      <c r="AO88" s="729"/>
      <c r="AP88" s="729">
        <v>0</v>
      </c>
      <c r="AQ88" s="729"/>
      <c r="AR88" s="729">
        <v>0</v>
      </c>
      <c r="AS88" s="729"/>
      <c r="AT88" s="769">
        <f t="shared" si="8"/>
        <v>0</v>
      </c>
      <c r="AU88" s="729">
        <f t="shared" si="9"/>
        <v>400000</v>
      </c>
      <c r="AV88" s="769">
        <f t="shared" si="10"/>
        <v>0</v>
      </c>
      <c r="AW88" s="725">
        <f t="shared" si="6"/>
        <v>0</v>
      </c>
      <c r="AX88" s="725" t="s">
        <v>1845</v>
      </c>
      <c r="AY88" s="696">
        <v>100000</v>
      </c>
    </row>
    <row r="89" spans="1:51" s="725" customFormat="1" hidden="1">
      <c r="A89" s="738">
        <f t="shared" si="11"/>
        <v>85</v>
      </c>
      <c r="B89" s="716"/>
      <c r="C89" s="758" t="s">
        <v>1277</v>
      </c>
      <c r="D89" s="731" t="s">
        <v>1284</v>
      </c>
      <c r="E89" s="727">
        <f t="shared" si="7"/>
        <v>960000</v>
      </c>
      <c r="F89" s="742">
        <v>50000</v>
      </c>
      <c r="G89" s="759"/>
      <c r="H89" s="729">
        <v>50000</v>
      </c>
      <c r="I89" s="729"/>
      <c r="J89" s="729">
        <v>50000</v>
      </c>
      <c r="K89" s="729"/>
      <c r="L89" s="729">
        <v>50000</v>
      </c>
      <c r="M89" s="729"/>
      <c r="N89" s="729">
        <v>50000</v>
      </c>
      <c r="O89" s="729"/>
      <c r="P89" s="729">
        <v>50000</v>
      </c>
      <c r="Q89" s="729"/>
      <c r="R89" s="729">
        <v>50000</v>
      </c>
      <c r="S89" s="729"/>
      <c r="T89" s="729">
        <v>50000</v>
      </c>
      <c r="U89" s="729"/>
      <c r="V89" s="729">
        <v>50000</v>
      </c>
      <c r="W89" s="729"/>
      <c r="X89" s="729">
        <v>50000</v>
      </c>
      <c r="Y89" s="729"/>
      <c r="Z89" s="729">
        <v>50000</v>
      </c>
      <c r="AA89" s="729"/>
      <c r="AB89" s="729">
        <v>50000</v>
      </c>
      <c r="AC89" s="729"/>
      <c r="AD89" s="729">
        <v>150000</v>
      </c>
      <c r="AE89" s="729"/>
      <c r="AF89" s="729">
        <v>50000</v>
      </c>
      <c r="AG89" s="729"/>
      <c r="AH89" s="741">
        <v>0</v>
      </c>
      <c r="AI89" s="741"/>
      <c r="AJ89" s="741">
        <v>0</v>
      </c>
      <c r="AK89" s="741"/>
      <c r="AL89" s="729">
        <v>40000</v>
      </c>
      <c r="AM89" s="729"/>
      <c r="AN89" s="729">
        <v>40000</v>
      </c>
      <c r="AO89" s="729"/>
      <c r="AP89" s="729">
        <v>40000</v>
      </c>
      <c r="AQ89" s="729"/>
      <c r="AR89" s="729">
        <v>40000</v>
      </c>
      <c r="AS89" s="729"/>
      <c r="AT89" s="769">
        <f t="shared" si="8"/>
        <v>0</v>
      </c>
      <c r="AU89" s="729">
        <f t="shared" si="9"/>
        <v>960000</v>
      </c>
      <c r="AV89" s="769">
        <f t="shared" si="10"/>
        <v>0</v>
      </c>
      <c r="AW89" s="725">
        <f t="shared" si="6"/>
        <v>0</v>
      </c>
      <c r="AX89" s="725" t="s">
        <v>1847</v>
      </c>
      <c r="AY89" s="696">
        <v>100000</v>
      </c>
    </row>
    <row r="90" spans="1:51" s="725" customFormat="1" hidden="1">
      <c r="A90" s="738">
        <f t="shared" si="11"/>
        <v>86</v>
      </c>
      <c r="B90" s="716"/>
      <c r="C90" s="758" t="s">
        <v>1278</v>
      </c>
      <c r="D90" s="731" t="s">
        <v>1285</v>
      </c>
      <c r="E90" s="727">
        <f t="shared" si="7"/>
        <v>860000</v>
      </c>
      <c r="F90" s="742">
        <v>50000</v>
      </c>
      <c r="G90" s="759"/>
      <c r="H90" s="729">
        <v>50000</v>
      </c>
      <c r="I90" s="729"/>
      <c r="J90" s="729">
        <v>50000</v>
      </c>
      <c r="K90" s="729"/>
      <c r="L90" s="729">
        <v>50000</v>
      </c>
      <c r="M90" s="729"/>
      <c r="N90" s="729">
        <v>50000</v>
      </c>
      <c r="O90" s="729"/>
      <c r="P90" s="729">
        <v>50000</v>
      </c>
      <c r="Q90" s="729"/>
      <c r="R90" s="729">
        <v>50000</v>
      </c>
      <c r="S90" s="729"/>
      <c r="T90" s="729">
        <v>50000</v>
      </c>
      <c r="U90" s="729"/>
      <c r="V90" s="729">
        <v>0</v>
      </c>
      <c r="W90" s="729"/>
      <c r="X90" s="741">
        <v>0</v>
      </c>
      <c r="Y90" s="741">
        <v>50000</v>
      </c>
      <c r="Z90" s="729">
        <v>0</v>
      </c>
      <c r="AA90" s="729"/>
      <c r="AB90" s="741">
        <v>0</v>
      </c>
      <c r="AC90" s="741">
        <v>50000</v>
      </c>
      <c r="AD90" s="741">
        <v>0</v>
      </c>
      <c r="AE90" s="741">
        <v>50000</v>
      </c>
      <c r="AF90" s="741">
        <v>0</v>
      </c>
      <c r="AG90" s="741">
        <v>50000</v>
      </c>
      <c r="AH90" s="741">
        <v>0</v>
      </c>
      <c r="AI90" s="741">
        <v>50000</v>
      </c>
      <c r="AJ90" s="741">
        <v>0</v>
      </c>
      <c r="AK90" s="741">
        <v>50000</v>
      </c>
      <c r="AL90" s="729">
        <v>40000</v>
      </c>
      <c r="AM90" s="729"/>
      <c r="AN90" s="729">
        <v>40000</v>
      </c>
      <c r="AO90" s="729"/>
      <c r="AP90" s="729">
        <v>40000</v>
      </c>
      <c r="AQ90" s="729"/>
      <c r="AR90" s="729">
        <v>40000</v>
      </c>
      <c r="AS90" s="729"/>
      <c r="AT90" s="769">
        <f t="shared" si="8"/>
        <v>300000</v>
      </c>
      <c r="AU90" s="729">
        <f t="shared" si="9"/>
        <v>560000</v>
      </c>
      <c r="AV90" s="769">
        <f t="shared" si="10"/>
        <v>0</v>
      </c>
      <c r="AW90" s="725">
        <f t="shared" si="6"/>
        <v>300000</v>
      </c>
      <c r="AX90" s="725" t="s">
        <v>1883</v>
      </c>
      <c r="AY90" s="696">
        <v>100000</v>
      </c>
    </row>
    <row r="91" spans="1:51" s="725" customFormat="1" hidden="1">
      <c r="A91" s="738">
        <f t="shared" si="11"/>
        <v>87</v>
      </c>
      <c r="B91" s="716"/>
      <c r="C91" s="758" t="s">
        <v>1279</v>
      </c>
      <c r="D91" s="731" t="s">
        <v>1286</v>
      </c>
      <c r="E91" s="727">
        <f t="shared" si="7"/>
        <v>350000</v>
      </c>
      <c r="F91" s="760">
        <v>0</v>
      </c>
      <c r="G91" s="761">
        <v>50000</v>
      </c>
      <c r="H91" s="729">
        <v>50000</v>
      </c>
      <c r="I91" s="729"/>
      <c r="J91" s="729">
        <v>50000</v>
      </c>
      <c r="K91" s="729"/>
      <c r="L91" s="729">
        <v>50000</v>
      </c>
      <c r="M91" s="729"/>
      <c r="N91" s="729">
        <v>0</v>
      </c>
      <c r="O91" s="729"/>
      <c r="P91" s="729">
        <v>50000</v>
      </c>
      <c r="Q91" s="729"/>
      <c r="R91" s="729">
        <v>50000</v>
      </c>
      <c r="S91" s="729"/>
      <c r="T91" s="729">
        <v>50000</v>
      </c>
      <c r="U91" s="729"/>
      <c r="V91" s="729">
        <v>0</v>
      </c>
      <c r="W91" s="729"/>
      <c r="X91" s="729">
        <v>0</v>
      </c>
      <c r="Y91" s="729"/>
      <c r="Z91" s="729">
        <v>0</v>
      </c>
      <c r="AA91" s="729"/>
      <c r="AB91" s="729">
        <v>0</v>
      </c>
      <c r="AC91" s="729"/>
      <c r="AD91" s="729">
        <v>0</v>
      </c>
      <c r="AE91" s="729"/>
      <c r="AF91" s="729">
        <v>0</v>
      </c>
      <c r="AG91" s="729"/>
      <c r="AH91" s="729"/>
      <c r="AI91" s="729"/>
      <c r="AJ91" s="729">
        <v>0</v>
      </c>
      <c r="AK91" s="729"/>
      <c r="AL91" s="729">
        <v>0</v>
      </c>
      <c r="AM91" s="729"/>
      <c r="AN91" s="729">
        <v>0</v>
      </c>
      <c r="AO91" s="729"/>
      <c r="AP91" s="729">
        <v>0</v>
      </c>
      <c r="AQ91" s="729"/>
      <c r="AR91" s="729">
        <v>0</v>
      </c>
      <c r="AS91" s="729"/>
      <c r="AT91" s="769">
        <f t="shared" si="8"/>
        <v>50000</v>
      </c>
      <c r="AU91" s="729">
        <f t="shared" si="9"/>
        <v>300000</v>
      </c>
      <c r="AV91" s="769">
        <f t="shared" si="10"/>
        <v>0</v>
      </c>
      <c r="AW91" s="725">
        <f t="shared" si="6"/>
        <v>50000</v>
      </c>
      <c r="AX91" s="725" t="s">
        <v>1906</v>
      </c>
      <c r="AY91" s="696">
        <v>100000</v>
      </c>
    </row>
    <row r="92" spans="1:51" s="725" customFormat="1" hidden="1">
      <c r="A92" s="738">
        <f t="shared" si="11"/>
        <v>88</v>
      </c>
      <c r="B92" s="716"/>
      <c r="C92" s="758" t="s">
        <v>1280</v>
      </c>
      <c r="D92" s="731" t="s">
        <v>1287</v>
      </c>
      <c r="E92" s="727">
        <f t="shared" si="7"/>
        <v>960000</v>
      </c>
      <c r="F92" s="742">
        <v>50000</v>
      </c>
      <c r="G92" s="759"/>
      <c r="H92" s="729">
        <v>50000</v>
      </c>
      <c r="I92" s="729"/>
      <c r="J92" s="729">
        <v>50000</v>
      </c>
      <c r="K92" s="729"/>
      <c r="L92" s="729">
        <v>50000</v>
      </c>
      <c r="M92" s="729"/>
      <c r="N92" s="729">
        <v>50000</v>
      </c>
      <c r="O92" s="729"/>
      <c r="P92" s="729">
        <v>50000</v>
      </c>
      <c r="Q92" s="729"/>
      <c r="R92" s="729">
        <v>50000</v>
      </c>
      <c r="S92" s="729"/>
      <c r="T92" s="729">
        <v>50000</v>
      </c>
      <c r="U92" s="729"/>
      <c r="V92" s="729">
        <v>50000</v>
      </c>
      <c r="W92" s="729"/>
      <c r="X92" s="729">
        <v>50000</v>
      </c>
      <c r="Y92" s="729"/>
      <c r="Z92" s="729">
        <v>50000</v>
      </c>
      <c r="AA92" s="729"/>
      <c r="AB92" s="729">
        <v>50000</v>
      </c>
      <c r="AC92" s="729"/>
      <c r="AD92" s="729">
        <v>100000</v>
      </c>
      <c r="AE92" s="729"/>
      <c r="AF92" s="729">
        <v>50000</v>
      </c>
      <c r="AG92" s="729"/>
      <c r="AH92" s="750">
        <v>0</v>
      </c>
      <c r="AI92" s="750"/>
      <c r="AJ92" s="741">
        <v>0</v>
      </c>
      <c r="AK92" s="741">
        <v>50000</v>
      </c>
      <c r="AL92" s="729">
        <v>40000</v>
      </c>
      <c r="AM92" s="729"/>
      <c r="AN92" s="729">
        <v>40000</v>
      </c>
      <c r="AO92" s="729"/>
      <c r="AP92" s="729">
        <v>40000</v>
      </c>
      <c r="AQ92" s="729"/>
      <c r="AR92" s="729">
        <v>40000</v>
      </c>
      <c r="AS92" s="729"/>
      <c r="AT92" s="769">
        <f t="shared" si="8"/>
        <v>50000</v>
      </c>
      <c r="AU92" s="729">
        <f t="shared" si="9"/>
        <v>910000</v>
      </c>
      <c r="AV92" s="769">
        <f t="shared" si="10"/>
        <v>0</v>
      </c>
      <c r="AW92" s="725">
        <f t="shared" si="6"/>
        <v>50000</v>
      </c>
      <c r="AX92" s="725" t="s">
        <v>1361</v>
      </c>
      <c r="AY92" s="696">
        <v>140000</v>
      </c>
    </row>
    <row r="93" spans="1:51" s="725" customFormat="1" hidden="1">
      <c r="A93" s="738">
        <f t="shared" si="11"/>
        <v>89</v>
      </c>
      <c r="B93" s="716"/>
      <c r="C93" s="758" t="s">
        <v>1281</v>
      </c>
      <c r="D93" s="731" t="s">
        <v>1288</v>
      </c>
      <c r="E93" s="727">
        <f t="shared" si="7"/>
        <v>350000</v>
      </c>
      <c r="F93" s="742">
        <v>0</v>
      </c>
      <c r="G93" s="759"/>
      <c r="H93" s="729">
        <v>50000</v>
      </c>
      <c r="I93" s="729"/>
      <c r="J93" s="729">
        <v>50000</v>
      </c>
      <c r="K93" s="729"/>
      <c r="L93" s="729">
        <v>50000</v>
      </c>
      <c r="M93" s="729"/>
      <c r="N93" s="729">
        <v>50000</v>
      </c>
      <c r="O93" s="729"/>
      <c r="P93" s="729">
        <v>50000</v>
      </c>
      <c r="Q93" s="729"/>
      <c r="R93" s="729">
        <v>50000</v>
      </c>
      <c r="S93" s="729"/>
      <c r="T93" s="729">
        <v>0</v>
      </c>
      <c r="U93" s="729"/>
      <c r="V93" s="729">
        <v>0</v>
      </c>
      <c r="W93" s="729"/>
      <c r="X93" s="729">
        <v>0</v>
      </c>
      <c r="Y93" s="729"/>
      <c r="Z93" s="729">
        <v>0</v>
      </c>
      <c r="AA93" s="729"/>
      <c r="AB93" s="729">
        <v>0</v>
      </c>
      <c r="AC93" s="729"/>
      <c r="AD93" s="741">
        <v>0</v>
      </c>
      <c r="AE93" s="741">
        <v>50000</v>
      </c>
      <c r="AF93" s="729">
        <v>0</v>
      </c>
      <c r="AG93" s="729"/>
      <c r="AH93" s="729"/>
      <c r="AI93" s="729"/>
      <c r="AJ93" s="729">
        <v>0</v>
      </c>
      <c r="AK93" s="729"/>
      <c r="AL93" s="729">
        <v>0</v>
      </c>
      <c r="AM93" s="729"/>
      <c r="AN93" s="729">
        <v>0</v>
      </c>
      <c r="AO93" s="729"/>
      <c r="AP93" s="729">
        <v>0</v>
      </c>
      <c r="AQ93" s="729"/>
      <c r="AR93" s="729">
        <v>0</v>
      </c>
      <c r="AS93" s="729"/>
      <c r="AT93" s="769">
        <f t="shared" si="8"/>
        <v>50000</v>
      </c>
      <c r="AU93" s="729">
        <f t="shared" si="9"/>
        <v>300000</v>
      </c>
      <c r="AV93" s="769">
        <f t="shared" si="10"/>
        <v>0</v>
      </c>
      <c r="AW93" s="725">
        <f t="shared" si="6"/>
        <v>50000</v>
      </c>
      <c r="AX93" s="725" t="s">
        <v>1786</v>
      </c>
      <c r="AY93" s="696">
        <v>140000</v>
      </c>
    </row>
    <row r="94" spans="1:51" s="725" customFormat="1" hidden="1">
      <c r="A94" s="738">
        <f t="shared" si="11"/>
        <v>90</v>
      </c>
      <c r="B94" s="716"/>
      <c r="C94" s="758" t="s">
        <v>1282</v>
      </c>
      <c r="D94" s="731" t="s">
        <v>1289</v>
      </c>
      <c r="E94" s="727">
        <f t="shared" si="7"/>
        <v>440000</v>
      </c>
      <c r="F94" s="742">
        <v>50000</v>
      </c>
      <c r="G94" s="759"/>
      <c r="H94" s="729">
        <v>50000</v>
      </c>
      <c r="I94" s="729"/>
      <c r="J94" s="729">
        <v>50000</v>
      </c>
      <c r="K94" s="729"/>
      <c r="L94" s="729">
        <v>50000</v>
      </c>
      <c r="M94" s="729"/>
      <c r="N94" s="729">
        <v>50000</v>
      </c>
      <c r="O94" s="729"/>
      <c r="P94" s="729">
        <v>50000</v>
      </c>
      <c r="Q94" s="729"/>
      <c r="R94" s="729">
        <v>50000</v>
      </c>
      <c r="S94" s="729"/>
      <c r="T94" s="729">
        <v>50000</v>
      </c>
      <c r="U94" s="729"/>
      <c r="V94" s="729">
        <v>0</v>
      </c>
      <c r="W94" s="729"/>
      <c r="X94" s="729">
        <v>0</v>
      </c>
      <c r="Y94" s="729"/>
      <c r="Z94" s="729">
        <v>0</v>
      </c>
      <c r="AA94" s="729"/>
      <c r="AB94" s="729">
        <v>0</v>
      </c>
      <c r="AC94" s="729"/>
      <c r="AD94" s="729">
        <v>0</v>
      </c>
      <c r="AE94" s="729"/>
      <c r="AF94" s="729">
        <v>0</v>
      </c>
      <c r="AG94" s="729"/>
      <c r="AH94" s="729"/>
      <c r="AI94" s="729"/>
      <c r="AJ94" s="729">
        <v>0</v>
      </c>
      <c r="AK94" s="729"/>
      <c r="AL94" s="729">
        <v>0</v>
      </c>
      <c r="AM94" s="729"/>
      <c r="AN94" s="741">
        <v>0</v>
      </c>
      <c r="AO94" s="741">
        <v>40000</v>
      </c>
      <c r="AP94" s="729">
        <v>0</v>
      </c>
      <c r="AQ94" s="729"/>
      <c r="AR94" s="729">
        <v>0</v>
      </c>
      <c r="AS94" s="729"/>
      <c r="AT94" s="769">
        <f t="shared" si="8"/>
        <v>40000</v>
      </c>
      <c r="AU94" s="729">
        <f t="shared" si="9"/>
        <v>400000</v>
      </c>
      <c r="AV94" s="769">
        <f t="shared" si="10"/>
        <v>-10000</v>
      </c>
      <c r="AW94" s="725">
        <f t="shared" si="6"/>
        <v>50000</v>
      </c>
      <c r="AX94" s="725" t="s">
        <v>1135</v>
      </c>
      <c r="AY94" s="696">
        <v>150000</v>
      </c>
    </row>
    <row r="95" spans="1:51" s="752" customFormat="1" hidden="1">
      <c r="A95" s="743">
        <f t="shared" si="11"/>
        <v>91</v>
      </c>
      <c r="B95" s="762"/>
      <c r="C95" s="745" t="s">
        <v>1290</v>
      </c>
      <c r="D95" s="746" t="s">
        <v>1299</v>
      </c>
      <c r="E95" s="747">
        <f t="shared" si="7"/>
        <v>400000</v>
      </c>
      <c r="F95" s="750">
        <v>0</v>
      </c>
      <c r="G95" s="750"/>
      <c r="H95" s="751">
        <v>0</v>
      </c>
      <c r="I95" s="756">
        <v>50000</v>
      </c>
      <c r="J95" s="750">
        <v>50000</v>
      </c>
      <c r="K95" s="750"/>
      <c r="L95" s="750">
        <v>50000</v>
      </c>
      <c r="M95" s="750"/>
      <c r="N95" s="750">
        <v>0</v>
      </c>
      <c r="O95" s="750"/>
      <c r="P95" s="750">
        <v>50000</v>
      </c>
      <c r="Q95" s="750"/>
      <c r="R95" s="750">
        <v>50000</v>
      </c>
      <c r="S95" s="750"/>
      <c r="T95" s="750">
        <v>50000</v>
      </c>
      <c r="U95" s="750"/>
      <c r="V95" s="751">
        <v>0</v>
      </c>
      <c r="W95" s="751">
        <v>50000</v>
      </c>
      <c r="X95" s="750">
        <v>50000</v>
      </c>
      <c r="Y95" s="750"/>
      <c r="Z95" s="750">
        <v>0</v>
      </c>
      <c r="AA95" s="750"/>
      <c r="AB95" s="750">
        <v>0</v>
      </c>
      <c r="AC95" s="750"/>
      <c r="AD95" s="750">
        <v>0</v>
      </c>
      <c r="AE95" s="750"/>
      <c r="AF95" s="750">
        <v>0</v>
      </c>
      <c r="AG95" s="750"/>
      <c r="AH95" s="750"/>
      <c r="AI95" s="750"/>
      <c r="AJ95" s="750">
        <v>0</v>
      </c>
      <c r="AK95" s="750"/>
      <c r="AL95" s="750">
        <v>0</v>
      </c>
      <c r="AM95" s="750"/>
      <c r="AN95" s="750">
        <v>0</v>
      </c>
      <c r="AO95" s="750"/>
      <c r="AP95" s="750">
        <v>0</v>
      </c>
      <c r="AQ95" s="750"/>
      <c r="AR95" s="750">
        <v>0</v>
      </c>
      <c r="AS95" s="750"/>
      <c r="AT95" s="769">
        <f t="shared" si="8"/>
        <v>100000</v>
      </c>
      <c r="AU95" s="750">
        <f t="shared" si="9"/>
        <v>300000</v>
      </c>
      <c r="AV95" s="769">
        <f t="shared" si="10"/>
        <v>0</v>
      </c>
      <c r="AW95" s="752">
        <f t="shared" si="6"/>
        <v>100000</v>
      </c>
      <c r="AX95" s="752" t="s">
        <v>1295</v>
      </c>
      <c r="AY95" s="696">
        <v>150000</v>
      </c>
    </row>
    <row r="96" spans="1:51" s="752" customFormat="1" hidden="1">
      <c r="A96" s="743">
        <f t="shared" si="11"/>
        <v>92</v>
      </c>
      <c r="B96" s="762"/>
      <c r="C96" s="745" t="s">
        <v>1291</v>
      </c>
      <c r="D96" s="746" t="s">
        <v>1300</v>
      </c>
      <c r="E96" s="747">
        <f t="shared" si="7"/>
        <v>960000</v>
      </c>
      <c r="F96" s="750">
        <v>50000</v>
      </c>
      <c r="G96" s="750"/>
      <c r="H96" s="750">
        <v>50000</v>
      </c>
      <c r="I96" s="750"/>
      <c r="J96" s="750">
        <v>50000</v>
      </c>
      <c r="K96" s="750"/>
      <c r="L96" s="750">
        <v>50000</v>
      </c>
      <c r="M96" s="750"/>
      <c r="N96" s="750">
        <v>50000</v>
      </c>
      <c r="O96" s="750"/>
      <c r="P96" s="750">
        <v>50000</v>
      </c>
      <c r="Q96" s="750"/>
      <c r="R96" s="750">
        <v>50000</v>
      </c>
      <c r="S96" s="750"/>
      <c r="T96" s="750">
        <v>50000</v>
      </c>
      <c r="U96" s="750"/>
      <c r="V96" s="750">
        <v>50000</v>
      </c>
      <c r="W96" s="750"/>
      <c r="X96" s="750">
        <v>50000</v>
      </c>
      <c r="Y96" s="750"/>
      <c r="Z96" s="750">
        <v>50000</v>
      </c>
      <c r="AA96" s="750"/>
      <c r="AB96" s="750">
        <v>50000</v>
      </c>
      <c r="AC96" s="750"/>
      <c r="AD96" s="750">
        <v>100000</v>
      </c>
      <c r="AE96" s="750"/>
      <c r="AF96" s="750">
        <v>50000</v>
      </c>
      <c r="AG96" s="750"/>
      <c r="AH96" s="751">
        <v>0</v>
      </c>
      <c r="AI96" s="751"/>
      <c r="AJ96" s="751">
        <v>0</v>
      </c>
      <c r="AK96" s="751">
        <v>50000</v>
      </c>
      <c r="AL96" s="750">
        <v>40000</v>
      </c>
      <c r="AM96" s="750"/>
      <c r="AN96" s="750">
        <v>40000</v>
      </c>
      <c r="AO96" s="750"/>
      <c r="AP96" s="750">
        <v>40000</v>
      </c>
      <c r="AQ96" s="750"/>
      <c r="AR96" s="750">
        <v>40000</v>
      </c>
      <c r="AS96" s="750"/>
      <c r="AT96" s="769">
        <f t="shared" si="8"/>
        <v>50000</v>
      </c>
      <c r="AU96" s="750">
        <f t="shared" si="9"/>
        <v>910000</v>
      </c>
      <c r="AV96" s="769">
        <f t="shared" si="10"/>
        <v>0</v>
      </c>
      <c r="AW96" s="752">
        <f t="shared" si="6"/>
        <v>50000</v>
      </c>
      <c r="AX96" s="752" t="s">
        <v>1321</v>
      </c>
      <c r="AY96" s="696">
        <v>150000</v>
      </c>
    </row>
    <row r="97" spans="1:51" s="752" customFormat="1" hidden="1">
      <c r="A97" s="743">
        <f t="shared" si="11"/>
        <v>93</v>
      </c>
      <c r="B97" s="762"/>
      <c r="C97" s="745" t="s">
        <v>1292</v>
      </c>
      <c r="D97" s="746" t="s">
        <v>1301</v>
      </c>
      <c r="E97" s="747">
        <f t="shared" si="7"/>
        <v>960000</v>
      </c>
      <c r="F97" s="750">
        <v>50000</v>
      </c>
      <c r="G97" s="750"/>
      <c r="H97" s="750">
        <v>50000</v>
      </c>
      <c r="I97" s="750"/>
      <c r="J97" s="750">
        <v>50000</v>
      </c>
      <c r="K97" s="750"/>
      <c r="L97" s="750">
        <v>50000</v>
      </c>
      <c r="M97" s="750"/>
      <c r="N97" s="750">
        <v>50000</v>
      </c>
      <c r="O97" s="750"/>
      <c r="P97" s="750">
        <v>50000</v>
      </c>
      <c r="Q97" s="750"/>
      <c r="R97" s="750">
        <v>50000</v>
      </c>
      <c r="S97" s="750"/>
      <c r="T97" s="750">
        <v>50000</v>
      </c>
      <c r="U97" s="750"/>
      <c r="V97" s="750">
        <v>50000</v>
      </c>
      <c r="W97" s="750"/>
      <c r="X97" s="750">
        <v>50000</v>
      </c>
      <c r="Y97" s="750"/>
      <c r="Z97" s="750">
        <v>50000</v>
      </c>
      <c r="AA97" s="750"/>
      <c r="AB97" s="750">
        <v>50000</v>
      </c>
      <c r="AC97" s="750"/>
      <c r="AD97" s="750">
        <v>150000</v>
      </c>
      <c r="AE97" s="750"/>
      <c r="AF97" s="750">
        <v>50000</v>
      </c>
      <c r="AG97" s="750"/>
      <c r="AH97" s="751">
        <v>0</v>
      </c>
      <c r="AI97" s="751"/>
      <c r="AJ97" s="751">
        <v>0</v>
      </c>
      <c r="AK97" s="751"/>
      <c r="AL97" s="750">
        <v>40000</v>
      </c>
      <c r="AM97" s="750"/>
      <c r="AN97" s="750">
        <v>40000</v>
      </c>
      <c r="AO97" s="750"/>
      <c r="AP97" s="750">
        <v>40000</v>
      </c>
      <c r="AQ97" s="750"/>
      <c r="AR97" s="750">
        <v>40000</v>
      </c>
      <c r="AS97" s="750"/>
      <c r="AT97" s="769">
        <f t="shared" si="8"/>
        <v>0</v>
      </c>
      <c r="AU97" s="750">
        <f t="shared" si="9"/>
        <v>960000</v>
      </c>
      <c r="AV97" s="769">
        <f t="shared" si="10"/>
        <v>0</v>
      </c>
      <c r="AW97" s="752">
        <f t="shared" si="6"/>
        <v>0</v>
      </c>
      <c r="AX97" s="752" t="s">
        <v>1783</v>
      </c>
      <c r="AY97" s="696">
        <v>150000</v>
      </c>
    </row>
    <row r="98" spans="1:51" s="752" customFormat="1" hidden="1">
      <c r="A98" s="743">
        <f t="shared" si="11"/>
        <v>94</v>
      </c>
      <c r="B98" s="762"/>
      <c r="C98" s="745" t="s">
        <v>1293</v>
      </c>
      <c r="D98" s="746" t="s">
        <v>1302</v>
      </c>
      <c r="E98" s="747">
        <f t="shared" si="7"/>
        <v>960000</v>
      </c>
      <c r="F98" s="750">
        <v>50000</v>
      </c>
      <c r="G98" s="750"/>
      <c r="H98" s="750">
        <v>50000</v>
      </c>
      <c r="I98" s="750"/>
      <c r="J98" s="750">
        <v>50000</v>
      </c>
      <c r="K98" s="750"/>
      <c r="L98" s="750">
        <v>50000</v>
      </c>
      <c r="M98" s="750"/>
      <c r="N98" s="750">
        <v>50000</v>
      </c>
      <c r="O98" s="750"/>
      <c r="P98" s="750">
        <v>50000</v>
      </c>
      <c r="Q98" s="750"/>
      <c r="R98" s="750">
        <v>50000</v>
      </c>
      <c r="S98" s="750"/>
      <c r="T98" s="750">
        <v>50000</v>
      </c>
      <c r="U98" s="750"/>
      <c r="V98" s="751">
        <v>0</v>
      </c>
      <c r="W98" s="729"/>
      <c r="X98" s="751">
        <v>0</v>
      </c>
      <c r="Y98" s="729"/>
      <c r="Z98" s="750">
        <v>150000</v>
      </c>
      <c r="AA98" s="750"/>
      <c r="AB98" s="750">
        <v>50000</v>
      </c>
      <c r="AC98" s="750"/>
      <c r="AD98" s="750">
        <v>150000</v>
      </c>
      <c r="AE98" s="750"/>
      <c r="AF98" s="750">
        <v>50000</v>
      </c>
      <c r="AG98" s="750"/>
      <c r="AH98" s="751">
        <v>0</v>
      </c>
      <c r="AI98" s="751"/>
      <c r="AJ98" s="751">
        <v>0</v>
      </c>
      <c r="AK98" s="751"/>
      <c r="AL98" s="750">
        <v>40000</v>
      </c>
      <c r="AM98" s="750"/>
      <c r="AN98" s="750">
        <v>40000</v>
      </c>
      <c r="AO98" s="750"/>
      <c r="AP98" s="750">
        <v>40000</v>
      </c>
      <c r="AQ98" s="750"/>
      <c r="AR98" s="750">
        <v>40000</v>
      </c>
      <c r="AS98" s="750"/>
      <c r="AT98" s="769">
        <f t="shared" si="8"/>
        <v>0</v>
      </c>
      <c r="AU98" s="750">
        <f t="shared" si="9"/>
        <v>960000</v>
      </c>
      <c r="AV98" s="769">
        <f t="shared" si="10"/>
        <v>0</v>
      </c>
      <c r="AW98" s="752">
        <f t="shared" si="6"/>
        <v>0</v>
      </c>
      <c r="AX98" s="752" t="s">
        <v>1834</v>
      </c>
      <c r="AY98" s="696">
        <v>150000</v>
      </c>
    </row>
    <row r="99" spans="1:51" s="752" customFormat="1" hidden="1">
      <c r="A99" s="743">
        <f t="shared" si="11"/>
        <v>95</v>
      </c>
      <c r="B99" s="762"/>
      <c r="C99" s="745" t="s">
        <v>1294</v>
      </c>
      <c r="D99" s="746" t="s">
        <v>1303</v>
      </c>
      <c r="E99" s="747">
        <f t="shared" si="7"/>
        <v>350000</v>
      </c>
      <c r="F99" s="750">
        <v>50000</v>
      </c>
      <c r="G99" s="750"/>
      <c r="H99" s="750">
        <v>50000</v>
      </c>
      <c r="I99" s="750"/>
      <c r="J99" s="750">
        <v>50000</v>
      </c>
      <c r="K99" s="750"/>
      <c r="L99" s="750">
        <v>50000</v>
      </c>
      <c r="M99" s="750"/>
      <c r="N99" s="750">
        <v>50000</v>
      </c>
      <c r="O99" s="750"/>
      <c r="P99" s="750">
        <v>50000</v>
      </c>
      <c r="Q99" s="750"/>
      <c r="R99" s="750">
        <v>50000</v>
      </c>
      <c r="S99" s="750"/>
      <c r="T99" s="750">
        <v>0</v>
      </c>
      <c r="U99" s="750"/>
      <c r="V99" s="750">
        <v>0</v>
      </c>
      <c r="W99" s="750"/>
      <c r="X99" s="750">
        <v>0</v>
      </c>
      <c r="Y99" s="750"/>
      <c r="Z99" s="750">
        <v>0</v>
      </c>
      <c r="AA99" s="750"/>
      <c r="AB99" s="750">
        <v>0</v>
      </c>
      <c r="AC99" s="750"/>
      <c r="AD99" s="750">
        <v>0</v>
      </c>
      <c r="AE99" s="750"/>
      <c r="AF99" s="750">
        <v>0</v>
      </c>
      <c r="AG99" s="750"/>
      <c r="AH99" s="750"/>
      <c r="AI99" s="750"/>
      <c r="AJ99" s="750">
        <v>0</v>
      </c>
      <c r="AK99" s="750"/>
      <c r="AL99" s="750">
        <v>0</v>
      </c>
      <c r="AM99" s="750"/>
      <c r="AN99" s="750">
        <v>0</v>
      </c>
      <c r="AO99" s="750"/>
      <c r="AP99" s="750">
        <v>0</v>
      </c>
      <c r="AQ99" s="750"/>
      <c r="AR99" s="750">
        <v>0</v>
      </c>
      <c r="AS99" s="750"/>
      <c r="AT99" s="769">
        <f t="shared" si="8"/>
        <v>0</v>
      </c>
      <c r="AU99" s="750">
        <f t="shared" si="9"/>
        <v>350000</v>
      </c>
      <c r="AV99" s="769">
        <f t="shared" si="10"/>
        <v>0</v>
      </c>
      <c r="AW99" s="752">
        <f t="shared" si="6"/>
        <v>0</v>
      </c>
      <c r="AX99" s="752" t="s">
        <v>1835</v>
      </c>
      <c r="AY99" s="696">
        <v>150000</v>
      </c>
    </row>
    <row r="100" spans="1:51" s="752" customFormat="1" hidden="1">
      <c r="A100" s="743">
        <f t="shared" si="11"/>
        <v>96</v>
      </c>
      <c r="B100" s="762"/>
      <c r="C100" s="745" t="s">
        <v>1295</v>
      </c>
      <c r="D100" s="746" t="s">
        <v>1304</v>
      </c>
      <c r="E100" s="747">
        <f t="shared" si="7"/>
        <v>600000</v>
      </c>
      <c r="F100" s="751">
        <v>0</v>
      </c>
      <c r="G100" s="756">
        <v>50000</v>
      </c>
      <c r="H100" s="750">
        <v>50000</v>
      </c>
      <c r="I100" s="750"/>
      <c r="J100" s="750">
        <v>50000</v>
      </c>
      <c r="K100" s="750"/>
      <c r="L100" s="750">
        <v>50000</v>
      </c>
      <c r="M100" s="750"/>
      <c r="N100" s="750">
        <v>50000</v>
      </c>
      <c r="O100" s="750"/>
      <c r="P100" s="750">
        <v>50000</v>
      </c>
      <c r="Q100" s="750"/>
      <c r="R100" s="750">
        <v>50000</v>
      </c>
      <c r="S100" s="750"/>
      <c r="T100" s="750">
        <v>50000</v>
      </c>
      <c r="U100" s="750"/>
      <c r="V100" s="750">
        <v>50000</v>
      </c>
      <c r="W100" s="750"/>
      <c r="X100" s="750">
        <v>50000</v>
      </c>
      <c r="Y100" s="750"/>
      <c r="Z100" s="751">
        <v>0</v>
      </c>
      <c r="AA100" s="751">
        <v>50000</v>
      </c>
      <c r="AB100" s="751">
        <v>0</v>
      </c>
      <c r="AC100" s="751">
        <v>50000</v>
      </c>
      <c r="AD100" s="750">
        <v>0</v>
      </c>
      <c r="AE100" s="750"/>
      <c r="AF100" s="750">
        <v>0</v>
      </c>
      <c r="AG100" s="750"/>
      <c r="AH100" s="751">
        <v>0</v>
      </c>
      <c r="AI100" s="751"/>
      <c r="AJ100" s="750">
        <v>0</v>
      </c>
      <c r="AK100" s="750"/>
      <c r="AL100" s="750">
        <v>0</v>
      </c>
      <c r="AM100" s="750"/>
      <c r="AN100" s="750">
        <v>0</v>
      </c>
      <c r="AO100" s="750"/>
      <c r="AP100" s="750">
        <v>0</v>
      </c>
      <c r="AQ100" s="750"/>
      <c r="AR100" s="750">
        <v>0</v>
      </c>
      <c r="AS100" s="750"/>
      <c r="AT100" s="769">
        <f t="shared" si="8"/>
        <v>150000</v>
      </c>
      <c r="AU100" s="750">
        <f t="shared" si="9"/>
        <v>450000</v>
      </c>
      <c r="AV100" s="769">
        <f t="shared" si="10"/>
        <v>0</v>
      </c>
      <c r="AW100" s="752">
        <f t="shared" si="6"/>
        <v>150000</v>
      </c>
      <c r="AX100" s="752" t="s">
        <v>1839</v>
      </c>
      <c r="AY100" s="696">
        <v>150000</v>
      </c>
    </row>
    <row r="101" spans="1:51" s="752" customFormat="1">
      <c r="A101" s="743">
        <f t="shared" si="11"/>
        <v>97</v>
      </c>
      <c r="B101" s="762"/>
      <c r="C101" s="745" t="s">
        <v>1296</v>
      </c>
      <c r="D101" s="746" t="s">
        <v>1305</v>
      </c>
      <c r="E101" s="747">
        <f t="shared" si="7"/>
        <v>450000</v>
      </c>
      <c r="F101" s="750">
        <v>50000</v>
      </c>
      <c r="G101" s="750"/>
      <c r="H101" s="750">
        <v>50000</v>
      </c>
      <c r="I101" s="750"/>
      <c r="J101" s="750">
        <v>50000</v>
      </c>
      <c r="K101" s="750"/>
      <c r="L101" s="750">
        <v>50000</v>
      </c>
      <c r="M101" s="750"/>
      <c r="N101" s="750">
        <v>50000</v>
      </c>
      <c r="O101" s="750"/>
      <c r="P101" s="750">
        <v>50000</v>
      </c>
      <c r="Q101" s="750"/>
      <c r="R101" s="750">
        <v>50000</v>
      </c>
      <c r="S101" s="750"/>
      <c r="T101" s="750">
        <v>50000</v>
      </c>
      <c r="U101" s="750"/>
      <c r="V101" s="751">
        <v>0</v>
      </c>
      <c r="W101" s="751">
        <v>50000</v>
      </c>
      <c r="X101" s="750">
        <v>0</v>
      </c>
      <c r="Y101" s="750"/>
      <c r="Z101" s="750">
        <v>0</v>
      </c>
      <c r="AA101" s="750"/>
      <c r="AB101" s="750">
        <v>0</v>
      </c>
      <c r="AC101" s="750"/>
      <c r="AD101" s="750">
        <v>0</v>
      </c>
      <c r="AE101" s="750"/>
      <c r="AF101" s="750">
        <v>0</v>
      </c>
      <c r="AG101" s="750"/>
      <c r="AH101" s="750"/>
      <c r="AI101" s="750"/>
      <c r="AJ101" s="750">
        <v>0</v>
      </c>
      <c r="AK101" s="750"/>
      <c r="AL101" s="750">
        <v>0</v>
      </c>
      <c r="AM101" s="750"/>
      <c r="AN101" s="750">
        <v>0</v>
      </c>
      <c r="AO101" s="750"/>
      <c r="AP101" s="750">
        <v>0</v>
      </c>
      <c r="AQ101" s="750"/>
      <c r="AR101" s="750">
        <v>0</v>
      </c>
      <c r="AS101" s="750"/>
      <c r="AT101" s="769">
        <f t="shared" si="8"/>
        <v>50000</v>
      </c>
      <c r="AU101" s="750">
        <f t="shared" si="9"/>
        <v>400000</v>
      </c>
      <c r="AV101" s="771">
        <f t="shared" si="10"/>
        <v>50000</v>
      </c>
      <c r="AW101" s="752">
        <f t="shared" si="6"/>
        <v>0</v>
      </c>
      <c r="AX101" s="752" t="s">
        <v>1842</v>
      </c>
      <c r="AY101" s="696">
        <v>150000</v>
      </c>
    </row>
    <row r="102" spans="1:51" s="752" customFormat="1" hidden="1">
      <c r="A102" s="743">
        <f t="shared" si="11"/>
        <v>98</v>
      </c>
      <c r="B102" s="762"/>
      <c r="C102" s="745" t="s">
        <v>1297</v>
      </c>
      <c r="D102" s="746" t="s">
        <v>1306</v>
      </c>
      <c r="E102" s="747">
        <f t="shared" si="7"/>
        <v>1010000</v>
      </c>
      <c r="F102" s="750">
        <v>50000</v>
      </c>
      <c r="G102" s="750"/>
      <c r="H102" s="750">
        <v>50000</v>
      </c>
      <c r="I102" s="750"/>
      <c r="J102" s="750">
        <v>50000</v>
      </c>
      <c r="K102" s="750"/>
      <c r="L102" s="750">
        <v>50000</v>
      </c>
      <c r="M102" s="750"/>
      <c r="N102" s="750">
        <v>50000</v>
      </c>
      <c r="O102" s="750"/>
      <c r="P102" s="750">
        <v>50000</v>
      </c>
      <c r="Q102" s="750"/>
      <c r="R102" s="750">
        <v>50000</v>
      </c>
      <c r="S102" s="750"/>
      <c r="T102" s="750">
        <v>50000</v>
      </c>
      <c r="U102" s="750"/>
      <c r="V102" s="750">
        <v>50000</v>
      </c>
      <c r="W102" s="750"/>
      <c r="X102" s="750">
        <v>50000</v>
      </c>
      <c r="Y102" s="750"/>
      <c r="Z102" s="750">
        <v>50000</v>
      </c>
      <c r="AA102" s="750"/>
      <c r="AB102" s="750">
        <v>50000</v>
      </c>
      <c r="AC102" s="750"/>
      <c r="AD102" s="750">
        <v>150000</v>
      </c>
      <c r="AE102" s="750"/>
      <c r="AF102" s="750">
        <v>50000</v>
      </c>
      <c r="AG102" s="750"/>
      <c r="AH102" s="751">
        <v>0</v>
      </c>
      <c r="AI102" s="751"/>
      <c r="AJ102" s="750">
        <v>50000</v>
      </c>
      <c r="AK102" s="750"/>
      <c r="AL102" s="750">
        <v>40000</v>
      </c>
      <c r="AM102" s="750"/>
      <c r="AN102" s="750">
        <v>40000</v>
      </c>
      <c r="AO102" s="750"/>
      <c r="AP102" s="750">
        <v>40000</v>
      </c>
      <c r="AQ102" s="750"/>
      <c r="AR102" s="750">
        <v>40000</v>
      </c>
      <c r="AS102" s="750"/>
      <c r="AT102" s="769">
        <f t="shared" si="8"/>
        <v>0</v>
      </c>
      <c r="AU102" s="750">
        <f t="shared" si="9"/>
        <v>1010000</v>
      </c>
      <c r="AV102" s="769">
        <f t="shared" si="10"/>
        <v>-50000</v>
      </c>
      <c r="AW102" s="752">
        <f t="shared" si="6"/>
        <v>50000</v>
      </c>
      <c r="AX102" s="752" t="s">
        <v>1885</v>
      </c>
      <c r="AY102" s="696">
        <v>150000</v>
      </c>
    </row>
    <row r="103" spans="1:51" s="752" customFormat="1" hidden="1">
      <c r="A103" s="743">
        <f t="shared" si="11"/>
        <v>99</v>
      </c>
      <c r="B103" s="762"/>
      <c r="C103" s="745" t="s">
        <v>1298</v>
      </c>
      <c r="D103" s="746" t="s">
        <v>1307</v>
      </c>
      <c r="E103" s="747">
        <f t="shared" si="7"/>
        <v>960000</v>
      </c>
      <c r="F103" s="750">
        <v>50000</v>
      </c>
      <c r="G103" s="750"/>
      <c r="H103" s="750">
        <v>50000</v>
      </c>
      <c r="I103" s="750"/>
      <c r="J103" s="750">
        <v>50000</v>
      </c>
      <c r="K103" s="750"/>
      <c r="L103" s="750">
        <v>50000</v>
      </c>
      <c r="M103" s="750"/>
      <c r="N103" s="750">
        <v>50000</v>
      </c>
      <c r="O103" s="750"/>
      <c r="P103" s="750">
        <v>50000</v>
      </c>
      <c r="Q103" s="750"/>
      <c r="R103" s="750">
        <v>50000</v>
      </c>
      <c r="S103" s="750"/>
      <c r="T103" s="750">
        <v>50000</v>
      </c>
      <c r="U103" s="750"/>
      <c r="V103" s="751">
        <v>0</v>
      </c>
      <c r="W103" s="729"/>
      <c r="X103" s="751">
        <v>0</v>
      </c>
      <c r="Y103" s="729"/>
      <c r="Z103" s="750">
        <v>150000</v>
      </c>
      <c r="AA103" s="750"/>
      <c r="AB103" s="750">
        <v>50000</v>
      </c>
      <c r="AC103" s="750"/>
      <c r="AD103" s="750">
        <v>150000</v>
      </c>
      <c r="AE103" s="750"/>
      <c r="AF103" s="750">
        <v>50000</v>
      </c>
      <c r="AG103" s="750"/>
      <c r="AH103" s="751">
        <v>0</v>
      </c>
      <c r="AI103" s="751"/>
      <c r="AJ103" s="751">
        <v>0</v>
      </c>
      <c r="AK103" s="751"/>
      <c r="AL103" s="750">
        <v>40000</v>
      </c>
      <c r="AM103" s="750"/>
      <c r="AN103" s="750">
        <v>40000</v>
      </c>
      <c r="AO103" s="750"/>
      <c r="AP103" s="750">
        <v>40000</v>
      </c>
      <c r="AQ103" s="750"/>
      <c r="AR103" s="750">
        <v>40000</v>
      </c>
      <c r="AS103" s="750"/>
      <c r="AT103" s="769">
        <f t="shared" si="8"/>
        <v>0</v>
      </c>
      <c r="AU103" s="750">
        <f t="shared" si="9"/>
        <v>960000</v>
      </c>
      <c r="AV103" s="769">
        <f t="shared" si="10"/>
        <v>0</v>
      </c>
      <c r="AW103" s="752">
        <f t="shared" si="6"/>
        <v>0</v>
      </c>
      <c r="AX103" s="752" t="s">
        <v>1891</v>
      </c>
      <c r="AY103" s="696">
        <v>150000</v>
      </c>
    </row>
    <row r="104" spans="1:51" s="752" customFormat="1" hidden="1">
      <c r="A104" s="743">
        <f t="shared" si="11"/>
        <v>100</v>
      </c>
      <c r="B104" s="762"/>
      <c r="C104" s="745" t="s">
        <v>1308</v>
      </c>
      <c r="D104" s="746" t="s">
        <v>1322</v>
      </c>
      <c r="E104" s="747">
        <f t="shared" si="7"/>
        <v>650000</v>
      </c>
      <c r="F104" s="750">
        <v>0</v>
      </c>
      <c r="G104" s="750"/>
      <c r="H104" s="751">
        <v>0</v>
      </c>
      <c r="I104" s="756">
        <v>50000</v>
      </c>
      <c r="J104" s="750">
        <v>50000</v>
      </c>
      <c r="K104" s="750"/>
      <c r="L104" s="750">
        <v>50000</v>
      </c>
      <c r="M104" s="750"/>
      <c r="N104" s="750">
        <v>50000</v>
      </c>
      <c r="O104" s="750"/>
      <c r="P104" s="750">
        <v>50000</v>
      </c>
      <c r="Q104" s="750"/>
      <c r="R104" s="750">
        <v>50000</v>
      </c>
      <c r="S104" s="750"/>
      <c r="T104" s="750">
        <v>50000</v>
      </c>
      <c r="U104" s="750"/>
      <c r="V104" s="750">
        <v>50000</v>
      </c>
      <c r="W104" s="750"/>
      <c r="X104" s="750">
        <v>50000</v>
      </c>
      <c r="Y104" s="750"/>
      <c r="Z104" s="750">
        <v>50000</v>
      </c>
      <c r="AA104" s="750"/>
      <c r="AB104" s="750">
        <v>50000</v>
      </c>
      <c r="AC104" s="750"/>
      <c r="AD104" s="750">
        <v>100000</v>
      </c>
      <c r="AE104" s="750"/>
      <c r="AF104" s="750">
        <v>0</v>
      </c>
      <c r="AG104" s="750"/>
      <c r="AH104" s="750"/>
      <c r="AI104" s="750"/>
      <c r="AJ104" s="750">
        <v>0</v>
      </c>
      <c r="AK104" s="750"/>
      <c r="AL104" s="750">
        <v>0</v>
      </c>
      <c r="AM104" s="750"/>
      <c r="AN104" s="750">
        <v>0</v>
      </c>
      <c r="AO104" s="750"/>
      <c r="AP104" s="750">
        <v>0</v>
      </c>
      <c r="AQ104" s="750"/>
      <c r="AR104" s="750">
        <v>0</v>
      </c>
      <c r="AS104" s="750"/>
      <c r="AT104" s="769">
        <f t="shared" si="8"/>
        <v>50000</v>
      </c>
      <c r="AU104" s="750">
        <f t="shared" si="9"/>
        <v>600000</v>
      </c>
      <c r="AV104" s="769">
        <f t="shared" si="10"/>
        <v>0</v>
      </c>
      <c r="AW104" s="752">
        <f t="shared" si="6"/>
        <v>50000</v>
      </c>
      <c r="AX104" s="752" t="s">
        <v>1895</v>
      </c>
      <c r="AY104" s="696">
        <v>150000</v>
      </c>
    </row>
    <row r="105" spans="1:51" s="725" customFormat="1" hidden="1">
      <c r="A105" s="738">
        <f t="shared" si="11"/>
        <v>101</v>
      </c>
      <c r="B105" s="726"/>
      <c r="C105" s="717" t="s">
        <v>1309</v>
      </c>
      <c r="D105" s="731" t="s">
        <v>1323</v>
      </c>
      <c r="E105" s="727">
        <f t="shared" si="7"/>
        <v>860000</v>
      </c>
      <c r="F105" s="729">
        <v>0</v>
      </c>
      <c r="G105" s="729"/>
      <c r="H105" s="729">
        <v>0</v>
      </c>
      <c r="I105" s="729"/>
      <c r="J105" s="741">
        <v>0</v>
      </c>
      <c r="K105" s="741">
        <v>50000</v>
      </c>
      <c r="L105" s="729">
        <v>50000</v>
      </c>
      <c r="M105" s="729"/>
      <c r="N105" s="729">
        <v>50000</v>
      </c>
      <c r="O105" s="729"/>
      <c r="P105" s="729">
        <v>50000</v>
      </c>
      <c r="Q105" s="729"/>
      <c r="R105" s="729">
        <v>50000</v>
      </c>
      <c r="S105" s="729"/>
      <c r="T105" s="729">
        <v>50000</v>
      </c>
      <c r="U105" s="729"/>
      <c r="V105" s="729">
        <v>50000</v>
      </c>
      <c r="W105" s="729"/>
      <c r="X105" s="729">
        <v>50000</v>
      </c>
      <c r="Y105" s="729"/>
      <c r="Z105" s="729">
        <v>50000</v>
      </c>
      <c r="AA105" s="729"/>
      <c r="AB105" s="729">
        <v>50000</v>
      </c>
      <c r="AC105" s="729"/>
      <c r="AD105" s="729">
        <v>100000</v>
      </c>
      <c r="AE105" s="729"/>
      <c r="AF105" s="729">
        <v>50000</v>
      </c>
      <c r="AG105" s="729"/>
      <c r="AH105" s="741">
        <v>0</v>
      </c>
      <c r="AI105" s="741"/>
      <c r="AJ105" s="741">
        <v>0</v>
      </c>
      <c r="AK105" s="741">
        <v>50000</v>
      </c>
      <c r="AL105" s="729">
        <v>40000</v>
      </c>
      <c r="AM105" s="729"/>
      <c r="AN105" s="729">
        <v>40000</v>
      </c>
      <c r="AO105" s="729"/>
      <c r="AP105" s="729">
        <v>40000</v>
      </c>
      <c r="AQ105" s="729"/>
      <c r="AR105" s="729">
        <v>40000</v>
      </c>
      <c r="AS105" s="729"/>
      <c r="AT105" s="769">
        <f t="shared" si="8"/>
        <v>100000</v>
      </c>
      <c r="AU105" s="729">
        <f t="shared" si="9"/>
        <v>760000</v>
      </c>
      <c r="AV105" s="769">
        <f t="shared" si="10"/>
        <v>0</v>
      </c>
      <c r="AW105" s="725">
        <f t="shared" si="6"/>
        <v>100000</v>
      </c>
      <c r="AX105" s="725" t="s">
        <v>1898</v>
      </c>
      <c r="AY105" s="696">
        <v>150000</v>
      </c>
    </row>
    <row r="106" spans="1:51" s="725" customFormat="1">
      <c r="A106" s="738">
        <f t="shared" si="11"/>
        <v>102</v>
      </c>
      <c r="B106" s="724"/>
      <c r="C106" s="730" t="s">
        <v>1310</v>
      </c>
      <c r="D106" s="731" t="s">
        <v>1324</v>
      </c>
      <c r="E106" s="727">
        <f t="shared" si="7"/>
        <v>350000</v>
      </c>
      <c r="F106" s="729">
        <v>50000</v>
      </c>
      <c r="G106" s="729"/>
      <c r="H106" s="729">
        <v>0</v>
      </c>
      <c r="I106" s="741">
        <v>50000</v>
      </c>
      <c r="J106" s="741">
        <v>0</v>
      </c>
      <c r="K106" s="741">
        <v>50000</v>
      </c>
      <c r="L106" s="729">
        <v>50000</v>
      </c>
      <c r="M106" s="729"/>
      <c r="N106" s="729">
        <v>50000</v>
      </c>
      <c r="O106" s="729"/>
      <c r="P106" s="729">
        <v>50000</v>
      </c>
      <c r="Q106" s="729"/>
      <c r="R106" s="729">
        <v>50000</v>
      </c>
      <c r="S106" s="729"/>
      <c r="T106" s="729">
        <v>0</v>
      </c>
      <c r="U106" s="729"/>
      <c r="V106" s="729">
        <v>0</v>
      </c>
      <c r="W106" s="729"/>
      <c r="X106" s="729">
        <v>0</v>
      </c>
      <c r="Y106" s="729"/>
      <c r="Z106" s="729">
        <v>0</v>
      </c>
      <c r="AA106" s="729"/>
      <c r="AB106" s="729">
        <v>0</v>
      </c>
      <c r="AC106" s="729"/>
      <c r="AD106" s="729">
        <v>0</v>
      </c>
      <c r="AE106" s="729"/>
      <c r="AF106" s="729">
        <v>0</v>
      </c>
      <c r="AG106" s="729"/>
      <c r="AH106" s="729"/>
      <c r="AI106" s="729"/>
      <c r="AJ106" s="729">
        <v>0</v>
      </c>
      <c r="AK106" s="729"/>
      <c r="AL106" s="729">
        <v>0</v>
      </c>
      <c r="AM106" s="729"/>
      <c r="AN106" s="729">
        <v>0</v>
      </c>
      <c r="AO106" s="729"/>
      <c r="AP106" s="729">
        <v>0</v>
      </c>
      <c r="AQ106" s="729"/>
      <c r="AR106" s="729">
        <v>0</v>
      </c>
      <c r="AS106" s="729"/>
      <c r="AT106" s="769">
        <f t="shared" si="8"/>
        <v>100000</v>
      </c>
      <c r="AU106" s="729">
        <f t="shared" si="9"/>
        <v>250000</v>
      </c>
      <c r="AV106" s="771">
        <f t="shared" si="10"/>
        <v>50000</v>
      </c>
      <c r="AW106" s="725">
        <f t="shared" si="6"/>
        <v>50000</v>
      </c>
      <c r="AX106" s="725" t="s">
        <v>1899</v>
      </c>
      <c r="AY106" s="696">
        <v>150000</v>
      </c>
    </row>
    <row r="107" spans="1:51" s="725" customFormat="1" hidden="1">
      <c r="A107" s="738">
        <f t="shared" si="11"/>
        <v>103</v>
      </c>
      <c r="B107" s="716"/>
      <c r="C107" s="717" t="s">
        <v>1311</v>
      </c>
      <c r="D107" s="731" t="s">
        <v>1325</v>
      </c>
      <c r="E107" s="727">
        <f t="shared" si="7"/>
        <v>600000</v>
      </c>
      <c r="F107" s="729">
        <v>50000</v>
      </c>
      <c r="G107" s="729"/>
      <c r="H107" s="729">
        <v>0</v>
      </c>
      <c r="I107" s="741">
        <v>50000</v>
      </c>
      <c r="J107" s="741">
        <v>0</v>
      </c>
      <c r="K107" s="741">
        <v>50000</v>
      </c>
      <c r="L107" s="729">
        <v>50000</v>
      </c>
      <c r="M107" s="729"/>
      <c r="N107" s="729">
        <v>50000</v>
      </c>
      <c r="O107" s="729"/>
      <c r="P107" s="729">
        <v>50000</v>
      </c>
      <c r="Q107" s="729"/>
      <c r="R107" s="729">
        <v>50000</v>
      </c>
      <c r="S107" s="729"/>
      <c r="T107" s="729">
        <v>0</v>
      </c>
      <c r="U107" s="729"/>
      <c r="V107" s="729">
        <v>0</v>
      </c>
      <c r="W107" s="729"/>
      <c r="X107" s="729">
        <v>0</v>
      </c>
      <c r="Y107" s="729"/>
      <c r="Z107" s="741">
        <v>0</v>
      </c>
      <c r="AA107" s="741">
        <v>50000</v>
      </c>
      <c r="AB107" s="729">
        <v>50000</v>
      </c>
      <c r="AC107" s="729"/>
      <c r="AD107" s="729">
        <v>100000</v>
      </c>
      <c r="AE107" s="729"/>
      <c r="AF107" s="741">
        <v>0</v>
      </c>
      <c r="AG107" s="741"/>
      <c r="AH107" s="741">
        <v>0</v>
      </c>
      <c r="AI107" s="741"/>
      <c r="AJ107" s="741">
        <v>0</v>
      </c>
      <c r="AK107" s="741">
        <v>50000</v>
      </c>
      <c r="AL107" s="729">
        <v>0</v>
      </c>
      <c r="AM107" s="729"/>
      <c r="AN107" s="729">
        <v>0</v>
      </c>
      <c r="AO107" s="729"/>
      <c r="AP107" s="729">
        <v>0</v>
      </c>
      <c r="AQ107" s="729"/>
      <c r="AR107" s="729">
        <v>0</v>
      </c>
      <c r="AS107" s="729"/>
      <c r="AT107" s="769">
        <f t="shared" si="8"/>
        <v>200000</v>
      </c>
      <c r="AU107" s="729">
        <f t="shared" si="9"/>
        <v>400000</v>
      </c>
      <c r="AV107" s="769">
        <f t="shared" si="10"/>
        <v>0</v>
      </c>
      <c r="AW107" s="725">
        <f t="shared" si="6"/>
        <v>200000</v>
      </c>
      <c r="AX107" s="725" t="s">
        <v>1902</v>
      </c>
      <c r="AY107" s="696">
        <v>150000</v>
      </c>
    </row>
    <row r="108" spans="1:51" s="725" customFormat="1">
      <c r="A108" s="738">
        <f t="shared" si="11"/>
        <v>104</v>
      </c>
      <c r="B108" s="716"/>
      <c r="C108" s="717" t="s">
        <v>1312</v>
      </c>
      <c r="D108" s="731" t="s">
        <v>1326</v>
      </c>
      <c r="E108" s="727">
        <f t="shared" si="7"/>
        <v>500000</v>
      </c>
      <c r="F108" s="729">
        <v>50000</v>
      </c>
      <c r="G108" s="729"/>
      <c r="H108" s="729">
        <v>50000</v>
      </c>
      <c r="I108" s="741">
        <v>50000</v>
      </c>
      <c r="J108" s="741">
        <v>0</v>
      </c>
      <c r="K108" s="741">
        <v>50000</v>
      </c>
      <c r="L108" s="729">
        <v>50000</v>
      </c>
      <c r="M108" s="729"/>
      <c r="N108" s="729">
        <v>50000</v>
      </c>
      <c r="O108" s="729"/>
      <c r="P108" s="729">
        <v>50000</v>
      </c>
      <c r="Q108" s="729"/>
      <c r="R108" s="729">
        <v>50000</v>
      </c>
      <c r="S108" s="729"/>
      <c r="T108" s="729">
        <v>50000</v>
      </c>
      <c r="U108" s="729"/>
      <c r="V108" s="741">
        <v>0</v>
      </c>
      <c r="W108" s="741">
        <v>50000</v>
      </c>
      <c r="X108" s="729">
        <v>0</v>
      </c>
      <c r="Y108" s="729"/>
      <c r="Z108" s="729">
        <v>0</v>
      </c>
      <c r="AA108" s="729"/>
      <c r="AB108" s="729">
        <v>0</v>
      </c>
      <c r="AC108" s="729"/>
      <c r="AD108" s="729">
        <v>0</v>
      </c>
      <c r="AE108" s="729"/>
      <c r="AF108" s="729">
        <v>0</v>
      </c>
      <c r="AG108" s="729"/>
      <c r="AH108" s="729"/>
      <c r="AI108" s="729"/>
      <c r="AJ108" s="729">
        <v>0</v>
      </c>
      <c r="AK108" s="729"/>
      <c r="AL108" s="729">
        <v>0</v>
      </c>
      <c r="AM108" s="729"/>
      <c r="AN108" s="729">
        <v>0</v>
      </c>
      <c r="AO108" s="729"/>
      <c r="AP108" s="729">
        <v>0</v>
      </c>
      <c r="AQ108" s="729"/>
      <c r="AR108" s="729">
        <v>0</v>
      </c>
      <c r="AS108" s="729"/>
      <c r="AT108" s="769">
        <f t="shared" si="8"/>
        <v>150000</v>
      </c>
      <c r="AU108" s="729">
        <f t="shared" si="9"/>
        <v>350000</v>
      </c>
      <c r="AV108" s="771">
        <f t="shared" si="10"/>
        <v>50000</v>
      </c>
      <c r="AW108" s="725">
        <f t="shared" si="6"/>
        <v>100000</v>
      </c>
      <c r="AX108" s="725" t="s">
        <v>1584</v>
      </c>
      <c r="AY108" s="696">
        <v>180000</v>
      </c>
    </row>
    <row r="109" spans="1:51" s="725" customFormat="1">
      <c r="A109" s="738">
        <f t="shared" si="11"/>
        <v>105</v>
      </c>
      <c r="B109" s="726"/>
      <c r="C109" s="717" t="s">
        <v>1313</v>
      </c>
      <c r="D109" s="731" t="s">
        <v>1327</v>
      </c>
      <c r="E109" s="727">
        <f t="shared" si="7"/>
        <v>920000</v>
      </c>
      <c r="F109" s="729">
        <v>50000</v>
      </c>
      <c r="G109" s="729"/>
      <c r="H109" s="729">
        <v>50000</v>
      </c>
      <c r="I109" s="729"/>
      <c r="J109" s="729">
        <v>50000</v>
      </c>
      <c r="K109" s="729"/>
      <c r="L109" s="729">
        <v>50000</v>
      </c>
      <c r="M109" s="729"/>
      <c r="N109" s="729">
        <v>50000</v>
      </c>
      <c r="O109" s="729"/>
      <c r="P109" s="729">
        <v>50000</v>
      </c>
      <c r="Q109" s="729"/>
      <c r="R109" s="729">
        <v>50000</v>
      </c>
      <c r="S109" s="729"/>
      <c r="T109" s="729">
        <v>50000</v>
      </c>
      <c r="U109" s="729"/>
      <c r="V109" s="729">
        <v>50000</v>
      </c>
      <c r="W109" s="729"/>
      <c r="X109" s="729">
        <v>50000</v>
      </c>
      <c r="Y109" s="729"/>
      <c r="Z109" s="729">
        <v>50000</v>
      </c>
      <c r="AA109" s="729"/>
      <c r="AB109" s="729">
        <v>50000</v>
      </c>
      <c r="AC109" s="729"/>
      <c r="AD109" s="729">
        <v>100000</v>
      </c>
      <c r="AE109" s="729"/>
      <c r="AF109" s="729">
        <v>50000</v>
      </c>
      <c r="AG109" s="729"/>
      <c r="AH109" s="741">
        <v>0</v>
      </c>
      <c r="AI109" s="741"/>
      <c r="AJ109" s="741">
        <v>0</v>
      </c>
      <c r="AK109" s="741">
        <v>50000</v>
      </c>
      <c r="AL109" s="741">
        <v>0</v>
      </c>
      <c r="AM109" s="751">
        <v>40000</v>
      </c>
      <c r="AN109" s="741">
        <v>0</v>
      </c>
      <c r="AO109" s="751">
        <v>40000</v>
      </c>
      <c r="AP109" s="741">
        <v>0</v>
      </c>
      <c r="AQ109" s="751">
        <v>40000</v>
      </c>
      <c r="AR109" s="741">
        <v>0</v>
      </c>
      <c r="AS109" s="751">
        <v>40000</v>
      </c>
      <c r="AT109" s="769">
        <f t="shared" si="8"/>
        <v>210000</v>
      </c>
      <c r="AU109" s="729">
        <f t="shared" si="9"/>
        <v>710000</v>
      </c>
      <c r="AV109" s="771">
        <f t="shared" si="10"/>
        <v>210000</v>
      </c>
      <c r="AW109" s="725">
        <f t="shared" si="6"/>
        <v>0</v>
      </c>
      <c r="AX109" s="725" t="s">
        <v>1166</v>
      </c>
      <c r="AY109" s="696">
        <v>200000</v>
      </c>
    </row>
    <row r="110" spans="1:51" s="725" customFormat="1" hidden="1">
      <c r="A110" s="738">
        <f t="shared" si="11"/>
        <v>106</v>
      </c>
      <c r="B110" s="726"/>
      <c r="C110" s="717" t="s">
        <v>1314</v>
      </c>
      <c r="D110" s="731" t="s">
        <v>1328</v>
      </c>
      <c r="E110" s="727">
        <f t="shared" si="7"/>
        <v>700000</v>
      </c>
      <c r="F110" s="729">
        <v>50000</v>
      </c>
      <c r="G110" s="729"/>
      <c r="H110" s="729">
        <v>0</v>
      </c>
      <c r="I110" s="729"/>
      <c r="J110" s="741">
        <v>0</v>
      </c>
      <c r="K110" s="741">
        <v>50000</v>
      </c>
      <c r="L110" s="729">
        <v>50000</v>
      </c>
      <c r="M110" s="729"/>
      <c r="N110" s="729">
        <v>50000</v>
      </c>
      <c r="O110" s="729"/>
      <c r="P110" s="729">
        <v>50000</v>
      </c>
      <c r="Q110" s="729"/>
      <c r="R110" s="729">
        <v>50000</v>
      </c>
      <c r="S110" s="729"/>
      <c r="T110" s="729">
        <v>50000</v>
      </c>
      <c r="U110" s="729"/>
      <c r="V110" s="729">
        <v>50000</v>
      </c>
      <c r="W110" s="729"/>
      <c r="X110" s="729">
        <v>50000</v>
      </c>
      <c r="Y110" s="729"/>
      <c r="Z110" s="729">
        <v>50000</v>
      </c>
      <c r="AA110" s="729"/>
      <c r="AB110" s="729">
        <v>50000</v>
      </c>
      <c r="AC110" s="729"/>
      <c r="AD110" s="729">
        <v>50000</v>
      </c>
      <c r="AE110" s="729"/>
      <c r="AF110" s="729">
        <v>50000</v>
      </c>
      <c r="AG110" s="729"/>
      <c r="AH110" s="741">
        <v>0</v>
      </c>
      <c r="AI110" s="741">
        <v>50000</v>
      </c>
      <c r="AJ110" s="729">
        <v>0</v>
      </c>
      <c r="AK110" s="729"/>
      <c r="AL110" s="729">
        <v>0</v>
      </c>
      <c r="AM110" s="729"/>
      <c r="AN110" s="729">
        <v>0</v>
      </c>
      <c r="AO110" s="729"/>
      <c r="AP110" s="729">
        <v>0</v>
      </c>
      <c r="AQ110" s="729"/>
      <c r="AR110" s="729">
        <v>0</v>
      </c>
      <c r="AS110" s="729"/>
      <c r="AT110" s="769">
        <f t="shared" si="8"/>
        <v>100000</v>
      </c>
      <c r="AU110" s="729">
        <f t="shared" si="9"/>
        <v>600000</v>
      </c>
      <c r="AV110" s="769">
        <f t="shared" si="10"/>
        <v>0</v>
      </c>
      <c r="AW110" s="725">
        <f t="shared" si="6"/>
        <v>100000</v>
      </c>
      <c r="AX110" s="725" t="s">
        <v>1311</v>
      </c>
      <c r="AY110" s="696">
        <v>200000</v>
      </c>
    </row>
    <row r="111" spans="1:51" s="725" customFormat="1" hidden="1">
      <c r="A111" s="738">
        <f t="shared" si="11"/>
        <v>107</v>
      </c>
      <c r="B111" s="726"/>
      <c r="C111" s="717" t="s">
        <v>1315</v>
      </c>
      <c r="D111" s="731" t="s">
        <v>1329</v>
      </c>
      <c r="E111" s="727">
        <f t="shared" si="7"/>
        <v>860000</v>
      </c>
      <c r="F111" s="729">
        <v>0</v>
      </c>
      <c r="G111" s="729"/>
      <c r="H111" s="729">
        <v>0</v>
      </c>
      <c r="I111" s="729"/>
      <c r="J111" s="741">
        <v>0</v>
      </c>
      <c r="K111" s="741">
        <v>50000</v>
      </c>
      <c r="L111" s="729">
        <v>50000</v>
      </c>
      <c r="M111" s="729"/>
      <c r="N111" s="729">
        <v>50000</v>
      </c>
      <c r="O111" s="729"/>
      <c r="P111" s="729">
        <v>50000</v>
      </c>
      <c r="Q111" s="729"/>
      <c r="R111" s="729">
        <v>50000</v>
      </c>
      <c r="S111" s="729"/>
      <c r="T111" s="729">
        <v>50000</v>
      </c>
      <c r="U111" s="729"/>
      <c r="V111" s="729">
        <v>50000</v>
      </c>
      <c r="W111" s="729"/>
      <c r="X111" s="729">
        <v>50000</v>
      </c>
      <c r="Y111" s="729"/>
      <c r="Z111" s="729">
        <v>50000</v>
      </c>
      <c r="AA111" s="729"/>
      <c r="AB111" s="729">
        <v>50000</v>
      </c>
      <c r="AC111" s="729"/>
      <c r="AD111" s="729">
        <v>150000</v>
      </c>
      <c r="AE111" s="729"/>
      <c r="AF111" s="729">
        <v>50000</v>
      </c>
      <c r="AG111" s="729"/>
      <c r="AH111" s="741">
        <v>0</v>
      </c>
      <c r="AI111" s="741"/>
      <c r="AJ111" s="741">
        <v>0</v>
      </c>
      <c r="AK111" s="741"/>
      <c r="AL111" s="729">
        <v>40000</v>
      </c>
      <c r="AM111" s="729"/>
      <c r="AN111" s="729">
        <v>40000</v>
      </c>
      <c r="AO111" s="729"/>
      <c r="AP111" s="729">
        <v>40000</v>
      </c>
      <c r="AQ111" s="729"/>
      <c r="AR111" s="729">
        <v>40000</v>
      </c>
      <c r="AS111" s="729"/>
      <c r="AT111" s="769">
        <f t="shared" si="8"/>
        <v>50000</v>
      </c>
      <c r="AU111" s="729">
        <f t="shared" si="9"/>
        <v>810000</v>
      </c>
      <c r="AV111" s="769">
        <f t="shared" si="10"/>
        <v>0</v>
      </c>
      <c r="AW111" s="725">
        <f t="shared" si="6"/>
        <v>50000</v>
      </c>
      <c r="AX111" s="725" t="s">
        <v>1634</v>
      </c>
      <c r="AY111" s="696">
        <v>200000</v>
      </c>
    </row>
    <row r="112" spans="1:51" s="725" customFormat="1" hidden="1">
      <c r="A112" s="738">
        <f t="shared" si="11"/>
        <v>108</v>
      </c>
      <c r="B112" s="726"/>
      <c r="C112" s="717" t="s">
        <v>1316</v>
      </c>
      <c r="D112" s="731" t="s">
        <v>1330</v>
      </c>
      <c r="E112" s="727">
        <f t="shared" si="7"/>
        <v>870000</v>
      </c>
      <c r="F112" s="729">
        <v>50000</v>
      </c>
      <c r="G112" s="729"/>
      <c r="H112" s="729">
        <v>50000</v>
      </c>
      <c r="I112" s="729"/>
      <c r="J112" s="729">
        <v>50000</v>
      </c>
      <c r="K112" s="729"/>
      <c r="L112" s="729">
        <v>50000</v>
      </c>
      <c r="M112" s="729"/>
      <c r="N112" s="729">
        <v>50000</v>
      </c>
      <c r="O112" s="729"/>
      <c r="P112" s="729">
        <v>50000</v>
      </c>
      <c r="Q112" s="729"/>
      <c r="R112" s="729">
        <v>50000</v>
      </c>
      <c r="S112" s="729"/>
      <c r="T112" s="729">
        <v>50000</v>
      </c>
      <c r="U112" s="729"/>
      <c r="V112" s="729">
        <v>50000</v>
      </c>
      <c r="W112" s="729"/>
      <c r="X112" s="729">
        <v>50000</v>
      </c>
      <c r="Y112" s="729"/>
      <c r="Z112" s="741">
        <v>0</v>
      </c>
      <c r="AA112" s="729"/>
      <c r="AB112" s="729">
        <v>50000</v>
      </c>
      <c r="AC112" s="729"/>
      <c r="AD112" s="729">
        <v>100000</v>
      </c>
      <c r="AE112" s="729"/>
      <c r="AF112" s="729">
        <v>50000</v>
      </c>
      <c r="AG112" s="729"/>
      <c r="AH112" s="741">
        <v>0</v>
      </c>
      <c r="AI112" s="741"/>
      <c r="AJ112" s="729">
        <v>50000</v>
      </c>
      <c r="AK112" s="729"/>
      <c r="AL112" s="729">
        <v>40000</v>
      </c>
      <c r="AM112" s="729"/>
      <c r="AN112" s="729">
        <v>40000</v>
      </c>
      <c r="AO112" s="729"/>
      <c r="AP112" s="729">
        <v>40000</v>
      </c>
      <c r="AQ112" s="729"/>
      <c r="AR112" s="741">
        <v>0</v>
      </c>
      <c r="AS112" s="741">
        <v>40000</v>
      </c>
      <c r="AT112" s="769">
        <f t="shared" si="8"/>
        <v>40000</v>
      </c>
      <c r="AU112" s="729">
        <f t="shared" si="9"/>
        <v>830000</v>
      </c>
      <c r="AV112" s="769">
        <f t="shared" si="10"/>
        <v>0</v>
      </c>
      <c r="AW112" s="725">
        <f t="shared" si="6"/>
        <v>40000</v>
      </c>
      <c r="AX112" s="725" t="s">
        <v>1853</v>
      </c>
      <c r="AY112" s="696">
        <v>200000</v>
      </c>
    </row>
    <row r="113" spans="1:51" s="725" customFormat="1">
      <c r="A113" s="738">
        <f t="shared" si="11"/>
        <v>109</v>
      </c>
      <c r="B113" s="726"/>
      <c r="C113" s="717" t="s">
        <v>1317</v>
      </c>
      <c r="D113" s="731" t="s">
        <v>1331</v>
      </c>
      <c r="E113" s="727">
        <f t="shared" si="7"/>
        <v>920000</v>
      </c>
      <c r="F113" s="729">
        <v>50000</v>
      </c>
      <c r="G113" s="729"/>
      <c r="H113" s="729">
        <v>50000</v>
      </c>
      <c r="I113" s="729"/>
      <c r="J113" s="729">
        <v>50000</v>
      </c>
      <c r="K113" s="729"/>
      <c r="L113" s="729">
        <v>50000</v>
      </c>
      <c r="M113" s="729"/>
      <c r="N113" s="729">
        <v>50000</v>
      </c>
      <c r="O113" s="729"/>
      <c r="P113" s="729">
        <v>50000</v>
      </c>
      <c r="Q113" s="729"/>
      <c r="R113" s="741">
        <v>0</v>
      </c>
      <c r="S113" s="741">
        <v>50000</v>
      </c>
      <c r="T113" s="741">
        <v>0</v>
      </c>
      <c r="U113" s="741">
        <v>50000</v>
      </c>
      <c r="V113" s="741">
        <v>0</v>
      </c>
      <c r="W113" s="741">
        <v>50000</v>
      </c>
      <c r="X113" s="741">
        <v>0</v>
      </c>
      <c r="Y113" s="741">
        <v>50000</v>
      </c>
      <c r="Z113" s="729">
        <v>50000</v>
      </c>
      <c r="AA113" s="729"/>
      <c r="AB113" s="741">
        <v>0</v>
      </c>
      <c r="AC113" s="741">
        <v>50000</v>
      </c>
      <c r="AD113" s="741">
        <v>0</v>
      </c>
      <c r="AE113" s="741">
        <v>50000</v>
      </c>
      <c r="AF113" s="741">
        <v>0</v>
      </c>
      <c r="AG113" s="741">
        <v>50000</v>
      </c>
      <c r="AH113" s="741">
        <v>0</v>
      </c>
      <c r="AI113" s="741">
        <v>50000</v>
      </c>
      <c r="AJ113" s="741">
        <v>0</v>
      </c>
      <c r="AK113" s="741">
        <v>50000</v>
      </c>
      <c r="AL113" s="741">
        <v>0</v>
      </c>
      <c r="AM113" s="741">
        <v>40000</v>
      </c>
      <c r="AN113" s="741">
        <v>0</v>
      </c>
      <c r="AO113" s="741">
        <v>40000</v>
      </c>
      <c r="AP113" s="729">
        <v>40000</v>
      </c>
      <c r="AQ113" s="729"/>
      <c r="AR113" s="741">
        <v>0</v>
      </c>
      <c r="AS113" s="741">
        <v>40000</v>
      </c>
      <c r="AT113" s="769">
        <f t="shared" si="8"/>
        <v>570000</v>
      </c>
      <c r="AU113" s="729">
        <f t="shared" si="9"/>
        <v>350000</v>
      </c>
      <c r="AV113" s="771">
        <f t="shared" si="10"/>
        <v>570000</v>
      </c>
      <c r="AW113" s="725">
        <f t="shared" si="6"/>
        <v>0</v>
      </c>
      <c r="AX113" s="725" t="s">
        <v>1672</v>
      </c>
      <c r="AY113" s="696">
        <v>280000</v>
      </c>
    </row>
    <row r="114" spans="1:51" s="725" customFormat="1">
      <c r="A114" s="738">
        <f t="shared" si="11"/>
        <v>110</v>
      </c>
      <c r="B114" s="726"/>
      <c r="C114" s="717" t="s">
        <v>1318</v>
      </c>
      <c r="D114" s="731" t="s">
        <v>1332</v>
      </c>
      <c r="E114" s="727">
        <f t="shared" si="7"/>
        <v>550000</v>
      </c>
      <c r="F114" s="729">
        <v>0</v>
      </c>
      <c r="G114" s="729"/>
      <c r="H114" s="729">
        <v>0</v>
      </c>
      <c r="I114" s="741">
        <v>50000</v>
      </c>
      <c r="J114" s="741">
        <v>0</v>
      </c>
      <c r="K114" s="741">
        <v>50000</v>
      </c>
      <c r="L114" s="729">
        <v>50000</v>
      </c>
      <c r="M114" s="729"/>
      <c r="N114" s="729">
        <v>50000</v>
      </c>
      <c r="O114" s="729"/>
      <c r="P114" s="729">
        <v>50000</v>
      </c>
      <c r="Q114" s="729"/>
      <c r="R114" s="729">
        <v>50000</v>
      </c>
      <c r="S114" s="729"/>
      <c r="T114" s="729">
        <v>50000</v>
      </c>
      <c r="U114" s="729"/>
      <c r="V114" s="741">
        <v>0</v>
      </c>
      <c r="W114" s="741">
        <v>50000</v>
      </c>
      <c r="X114" s="729">
        <v>50000</v>
      </c>
      <c r="Y114" s="729"/>
      <c r="Z114" s="741">
        <v>0</v>
      </c>
      <c r="AA114" s="741">
        <v>50000</v>
      </c>
      <c r="AB114" s="729">
        <v>50000</v>
      </c>
      <c r="AC114" s="729"/>
      <c r="AD114" s="729">
        <v>0</v>
      </c>
      <c r="AE114" s="729"/>
      <c r="AF114" s="729">
        <v>0</v>
      </c>
      <c r="AG114" s="729"/>
      <c r="AH114" s="729"/>
      <c r="AI114" s="729"/>
      <c r="AJ114" s="741">
        <v>0</v>
      </c>
      <c r="AK114" s="741"/>
      <c r="AL114" s="729">
        <v>0</v>
      </c>
      <c r="AM114" s="729"/>
      <c r="AN114" s="729">
        <v>0</v>
      </c>
      <c r="AO114" s="729"/>
      <c r="AP114" s="729">
        <v>0</v>
      </c>
      <c r="AQ114" s="729"/>
      <c r="AR114" s="729">
        <v>0</v>
      </c>
      <c r="AS114" s="729"/>
      <c r="AT114" s="769">
        <f t="shared" si="8"/>
        <v>200000</v>
      </c>
      <c r="AU114" s="729">
        <f t="shared" si="9"/>
        <v>350000</v>
      </c>
      <c r="AV114" s="771">
        <f t="shared" si="10"/>
        <v>200000</v>
      </c>
      <c r="AW114" s="725">
        <f t="shared" si="6"/>
        <v>0</v>
      </c>
      <c r="AX114" s="725" t="s">
        <v>1278</v>
      </c>
      <c r="AY114" s="696">
        <v>300000</v>
      </c>
    </row>
    <row r="115" spans="1:51" s="752" customFormat="1" hidden="1">
      <c r="A115" s="743">
        <f t="shared" si="11"/>
        <v>111</v>
      </c>
      <c r="B115" s="762"/>
      <c r="C115" s="745" t="s">
        <v>1319</v>
      </c>
      <c r="D115" s="746" t="s">
        <v>1333</v>
      </c>
      <c r="E115" s="747">
        <f t="shared" si="7"/>
        <v>400000</v>
      </c>
      <c r="F115" s="750">
        <v>50000</v>
      </c>
      <c r="G115" s="750"/>
      <c r="H115" s="750">
        <v>50000</v>
      </c>
      <c r="I115" s="750"/>
      <c r="J115" s="750">
        <v>50000</v>
      </c>
      <c r="K115" s="750"/>
      <c r="L115" s="750">
        <v>50000</v>
      </c>
      <c r="M115" s="750"/>
      <c r="N115" s="750">
        <v>50000</v>
      </c>
      <c r="O115" s="750"/>
      <c r="P115" s="750">
        <v>50000</v>
      </c>
      <c r="Q115" s="750"/>
      <c r="R115" s="750">
        <v>50000</v>
      </c>
      <c r="S115" s="750"/>
      <c r="T115" s="750">
        <v>50000</v>
      </c>
      <c r="U115" s="750"/>
      <c r="V115" s="750">
        <v>0</v>
      </c>
      <c r="W115" s="750"/>
      <c r="X115" s="750">
        <v>0</v>
      </c>
      <c r="Y115" s="750"/>
      <c r="Z115" s="750">
        <v>0</v>
      </c>
      <c r="AA115" s="750"/>
      <c r="AB115" s="750">
        <v>0</v>
      </c>
      <c r="AC115" s="750"/>
      <c r="AD115" s="750">
        <v>0</v>
      </c>
      <c r="AE115" s="750"/>
      <c r="AF115" s="750">
        <v>0</v>
      </c>
      <c r="AG115" s="750"/>
      <c r="AH115" s="750"/>
      <c r="AI115" s="750"/>
      <c r="AJ115" s="750">
        <v>0</v>
      </c>
      <c r="AK115" s="750"/>
      <c r="AL115" s="750">
        <v>0</v>
      </c>
      <c r="AM115" s="750"/>
      <c r="AN115" s="750">
        <v>0</v>
      </c>
      <c r="AO115" s="750"/>
      <c r="AP115" s="750">
        <v>0</v>
      </c>
      <c r="AQ115" s="750"/>
      <c r="AR115" s="750">
        <v>0</v>
      </c>
      <c r="AS115" s="750"/>
      <c r="AT115" s="769">
        <f t="shared" si="8"/>
        <v>0</v>
      </c>
      <c r="AU115" s="750">
        <f t="shared" si="9"/>
        <v>400000</v>
      </c>
      <c r="AV115" s="769">
        <f t="shared" si="10"/>
        <v>0</v>
      </c>
      <c r="AW115" s="752">
        <f t="shared" si="6"/>
        <v>0</v>
      </c>
      <c r="AX115" s="752" t="s">
        <v>1372</v>
      </c>
      <c r="AY115" s="696">
        <v>320000</v>
      </c>
    </row>
    <row r="116" spans="1:51" s="752" customFormat="1" hidden="1">
      <c r="A116" s="743">
        <f t="shared" si="11"/>
        <v>112</v>
      </c>
      <c r="B116" s="762"/>
      <c r="C116" s="745" t="s">
        <v>1320</v>
      </c>
      <c r="D116" s="746" t="s">
        <v>1334</v>
      </c>
      <c r="E116" s="747">
        <f t="shared" si="7"/>
        <v>770000</v>
      </c>
      <c r="F116" s="750">
        <v>50000</v>
      </c>
      <c r="G116" s="750"/>
      <c r="H116" s="750">
        <v>50000</v>
      </c>
      <c r="I116" s="750"/>
      <c r="J116" s="750">
        <v>50000</v>
      </c>
      <c r="K116" s="750"/>
      <c r="L116" s="750">
        <v>50000</v>
      </c>
      <c r="M116" s="750"/>
      <c r="N116" s="750">
        <v>50000</v>
      </c>
      <c r="O116" s="750"/>
      <c r="P116" s="750">
        <v>50000</v>
      </c>
      <c r="Q116" s="750"/>
      <c r="R116" s="750">
        <v>50000</v>
      </c>
      <c r="S116" s="750"/>
      <c r="T116" s="750">
        <v>50000</v>
      </c>
      <c r="U116" s="750"/>
      <c r="V116" s="750">
        <v>50000</v>
      </c>
      <c r="W116" s="750"/>
      <c r="X116" s="750">
        <v>50000</v>
      </c>
      <c r="Y116" s="750"/>
      <c r="Z116" s="750">
        <v>50000</v>
      </c>
      <c r="AA116" s="750"/>
      <c r="AB116" s="750">
        <v>50000</v>
      </c>
      <c r="AC116" s="750"/>
      <c r="AD116" s="750">
        <v>0</v>
      </c>
      <c r="AE116" s="750"/>
      <c r="AF116" s="750">
        <v>0</v>
      </c>
      <c r="AG116" s="750"/>
      <c r="AH116" s="750"/>
      <c r="AI116" s="750"/>
      <c r="AJ116" s="751">
        <v>0</v>
      </c>
      <c r="AK116" s="751">
        <v>50000</v>
      </c>
      <c r="AL116" s="750">
        <v>0</v>
      </c>
      <c r="AM116" s="750"/>
      <c r="AN116" s="751">
        <v>0</v>
      </c>
      <c r="AO116" s="751">
        <v>40000</v>
      </c>
      <c r="AP116" s="750">
        <v>40000</v>
      </c>
      <c r="AQ116" s="750"/>
      <c r="AR116" s="750">
        <v>40000</v>
      </c>
      <c r="AS116" s="750"/>
      <c r="AT116" s="769">
        <f t="shared" si="8"/>
        <v>90000</v>
      </c>
      <c r="AU116" s="750">
        <f t="shared" si="9"/>
        <v>680000</v>
      </c>
      <c r="AV116" s="769">
        <f t="shared" si="10"/>
        <v>0</v>
      </c>
      <c r="AW116" s="752">
        <f t="shared" si="6"/>
        <v>90000</v>
      </c>
      <c r="AX116" s="752" t="s">
        <v>1943</v>
      </c>
      <c r="AY116" s="696">
        <v>340000</v>
      </c>
    </row>
    <row r="117" spans="1:51" s="752" customFormat="1">
      <c r="A117" s="743">
        <f t="shared" si="11"/>
        <v>113</v>
      </c>
      <c r="B117" s="762"/>
      <c r="C117" s="745" t="s">
        <v>1321</v>
      </c>
      <c r="D117" s="746" t="s">
        <v>1335</v>
      </c>
      <c r="E117" s="747">
        <f t="shared" si="7"/>
        <v>550000</v>
      </c>
      <c r="F117" s="751">
        <v>0</v>
      </c>
      <c r="G117" s="751">
        <v>50000</v>
      </c>
      <c r="H117" s="750">
        <v>50000</v>
      </c>
      <c r="I117" s="751">
        <v>50000</v>
      </c>
      <c r="J117" s="751">
        <v>0</v>
      </c>
      <c r="K117" s="751">
        <v>50000</v>
      </c>
      <c r="L117" s="750">
        <v>50000</v>
      </c>
      <c r="M117" s="750"/>
      <c r="N117" s="750">
        <v>50000</v>
      </c>
      <c r="O117" s="750"/>
      <c r="P117" s="750">
        <v>50000</v>
      </c>
      <c r="Q117" s="750"/>
      <c r="R117" s="750">
        <v>50000</v>
      </c>
      <c r="S117" s="750"/>
      <c r="T117" s="750">
        <v>50000</v>
      </c>
      <c r="U117" s="750"/>
      <c r="V117" s="751">
        <v>0</v>
      </c>
      <c r="W117" s="751">
        <v>50000</v>
      </c>
      <c r="X117" s="750">
        <v>50000</v>
      </c>
      <c r="Y117" s="750"/>
      <c r="Z117" s="750">
        <v>0</v>
      </c>
      <c r="AA117" s="750"/>
      <c r="AB117" s="750">
        <v>0</v>
      </c>
      <c r="AC117" s="750"/>
      <c r="AD117" s="750">
        <v>0</v>
      </c>
      <c r="AE117" s="750"/>
      <c r="AF117" s="750">
        <v>0</v>
      </c>
      <c r="AG117" s="750"/>
      <c r="AH117" s="750"/>
      <c r="AI117" s="750"/>
      <c r="AJ117" s="750">
        <v>0</v>
      </c>
      <c r="AK117" s="750"/>
      <c r="AL117" s="750">
        <v>0</v>
      </c>
      <c r="AM117" s="750"/>
      <c r="AN117" s="750">
        <v>0</v>
      </c>
      <c r="AO117" s="750"/>
      <c r="AP117" s="750">
        <v>0</v>
      </c>
      <c r="AQ117" s="750"/>
      <c r="AR117" s="750">
        <v>0</v>
      </c>
      <c r="AS117" s="750"/>
      <c r="AT117" s="769">
        <f t="shared" si="8"/>
        <v>200000</v>
      </c>
      <c r="AU117" s="750">
        <f t="shared" si="9"/>
        <v>350000</v>
      </c>
      <c r="AV117" s="771">
        <f t="shared" si="10"/>
        <v>50000</v>
      </c>
      <c r="AW117" s="752">
        <f t="shared" si="6"/>
        <v>150000</v>
      </c>
      <c r="AX117" s="752" t="s">
        <v>1172</v>
      </c>
      <c r="AY117" s="696">
        <v>480000</v>
      </c>
    </row>
    <row r="118" spans="1:51" s="752" customFormat="1">
      <c r="A118" s="743">
        <f t="shared" si="11"/>
        <v>114</v>
      </c>
      <c r="B118" s="762"/>
      <c r="C118" s="757" t="s">
        <v>1336</v>
      </c>
      <c r="D118" s="746" t="s">
        <v>1463</v>
      </c>
      <c r="E118" s="747">
        <f t="shared" si="7"/>
        <v>690000</v>
      </c>
      <c r="F118" s="750">
        <v>50000</v>
      </c>
      <c r="G118" s="750"/>
      <c r="H118" s="750">
        <v>50000</v>
      </c>
      <c r="I118" s="750"/>
      <c r="J118" s="750">
        <v>50000</v>
      </c>
      <c r="K118" s="750"/>
      <c r="L118" s="750">
        <v>50000</v>
      </c>
      <c r="M118" s="750"/>
      <c r="N118" s="750">
        <v>50000</v>
      </c>
      <c r="O118" s="750"/>
      <c r="P118" s="750">
        <v>50000</v>
      </c>
      <c r="Q118" s="750"/>
      <c r="R118" s="750">
        <v>50000</v>
      </c>
      <c r="S118" s="750"/>
      <c r="T118" s="750">
        <v>50000</v>
      </c>
      <c r="U118" s="750"/>
      <c r="V118" s="751">
        <v>0</v>
      </c>
      <c r="W118" s="751">
        <v>50000</v>
      </c>
      <c r="X118" s="751">
        <v>0</v>
      </c>
      <c r="Y118" s="751">
        <v>50000</v>
      </c>
      <c r="Z118" s="751">
        <v>0</v>
      </c>
      <c r="AA118" s="751">
        <v>50000</v>
      </c>
      <c r="AB118" s="750">
        <v>50000</v>
      </c>
      <c r="AC118" s="750"/>
      <c r="AD118" s="750">
        <v>0</v>
      </c>
      <c r="AE118" s="750"/>
      <c r="AF118" s="750">
        <v>0</v>
      </c>
      <c r="AG118" s="750"/>
      <c r="AH118" s="751">
        <v>0</v>
      </c>
      <c r="AI118" s="751">
        <v>50000</v>
      </c>
      <c r="AJ118" s="750">
        <v>0</v>
      </c>
      <c r="AK118" s="750"/>
      <c r="AL118" s="750">
        <v>0</v>
      </c>
      <c r="AM118" s="750"/>
      <c r="AN118" s="751">
        <v>0</v>
      </c>
      <c r="AO118" s="751">
        <v>40000</v>
      </c>
      <c r="AP118" s="750">
        <v>0</v>
      </c>
      <c r="AQ118" s="750"/>
      <c r="AR118" s="750">
        <v>0</v>
      </c>
      <c r="AS118" s="750"/>
      <c r="AT118" s="769">
        <f t="shared" si="8"/>
        <v>240000</v>
      </c>
      <c r="AU118" s="750">
        <f t="shared" si="9"/>
        <v>450000</v>
      </c>
      <c r="AV118" s="771">
        <f t="shared" si="10"/>
        <v>240000</v>
      </c>
      <c r="AW118" s="752">
        <f t="shared" si="6"/>
        <v>0</v>
      </c>
      <c r="AY118" s="753"/>
    </row>
    <row r="119" spans="1:51" s="752" customFormat="1">
      <c r="A119" s="743">
        <f t="shared" si="11"/>
        <v>115</v>
      </c>
      <c r="B119" s="762"/>
      <c r="C119" s="757" t="s">
        <v>1337</v>
      </c>
      <c r="D119" s="746" t="s">
        <v>1464</v>
      </c>
      <c r="E119" s="747">
        <f t="shared" si="7"/>
        <v>880000</v>
      </c>
      <c r="F119" s="750">
        <v>50000</v>
      </c>
      <c r="G119" s="750"/>
      <c r="H119" s="750">
        <v>50000</v>
      </c>
      <c r="I119" s="750"/>
      <c r="J119" s="750">
        <v>50000</v>
      </c>
      <c r="K119" s="750"/>
      <c r="L119" s="750">
        <v>50000</v>
      </c>
      <c r="M119" s="750"/>
      <c r="N119" s="750">
        <v>50000</v>
      </c>
      <c r="O119" s="750"/>
      <c r="P119" s="750">
        <v>50000</v>
      </c>
      <c r="Q119" s="750"/>
      <c r="R119" s="750">
        <v>50000</v>
      </c>
      <c r="S119" s="750"/>
      <c r="T119" s="750">
        <v>50000</v>
      </c>
      <c r="U119" s="750"/>
      <c r="V119" s="751">
        <v>0</v>
      </c>
      <c r="W119" s="751">
        <v>50000</v>
      </c>
      <c r="X119" s="751">
        <v>0</v>
      </c>
      <c r="Y119" s="751">
        <v>50000</v>
      </c>
      <c r="Z119" s="751">
        <v>0</v>
      </c>
      <c r="AA119" s="751">
        <v>50000</v>
      </c>
      <c r="AB119" s="751">
        <v>0</v>
      </c>
      <c r="AC119" s="751">
        <v>50000</v>
      </c>
      <c r="AD119" s="751">
        <v>0</v>
      </c>
      <c r="AE119" s="751">
        <v>50000</v>
      </c>
      <c r="AF119" s="751">
        <v>0</v>
      </c>
      <c r="AG119" s="751">
        <v>50000</v>
      </c>
      <c r="AH119" s="751">
        <v>0</v>
      </c>
      <c r="AI119" s="751">
        <v>50000</v>
      </c>
      <c r="AJ119" s="751">
        <v>0</v>
      </c>
      <c r="AK119" s="751">
        <v>50000</v>
      </c>
      <c r="AL119" s="751">
        <v>0</v>
      </c>
      <c r="AM119" s="751">
        <v>40000</v>
      </c>
      <c r="AN119" s="751">
        <v>0</v>
      </c>
      <c r="AO119" s="751">
        <v>40000</v>
      </c>
      <c r="AP119" s="750">
        <v>0</v>
      </c>
      <c r="AQ119" s="750"/>
      <c r="AR119" s="751">
        <v>0</v>
      </c>
      <c r="AS119" s="751">
        <v>40000</v>
      </c>
      <c r="AT119" s="769">
        <f t="shared" si="8"/>
        <v>520000</v>
      </c>
      <c r="AU119" s="750">
        <f t="shared" si="9"/>
        <v>360000</v>
      </c>
      <c r="AV119" s="771">
        <f t="shared" si="10"/>
        <v>520000</v>
      </c>
      <c r="AW119" s="752">
        <f t="shared" si="6"/>
        <v>0</v>
      </c>
      <c r="AY119" s="753"/>
    </row>
    <row r="120" spans="1:51" s="752" customFormat="1">
      <c r="A120" s="743">
        <f t="shared" si="11"/>
        <v>116</v>
      </c>
      <c r="B120" s="762"/>
      <c r="C120" s="757" t="s">
        <v>1338</v>
      </c>
      <c r="D120" s="746" t="s">
        <v>1465</v>
      </c>
      <c r="E120" s="747">
        <f t="shared" si="7"/>
        <v>880000</v>
      </c>
      <c r="F120" s="750">
        <v>50000</v>
      </c>
      <c r="G120" s="750"/>
      <c r="H120" s="750">
        <v>50000</v>
      </c>
      <c r="I120" s="750"/>
      <c r="J120" s="750">
        <v>50000</v>
      </c>
      <c r="K120" s="750"/>
      <c r="L120" s="750">
        <v>50000</v>
      </c>
      <c r="M120" s="750"/>
      <c r="N120" s="750">
        <v>50000</v>
      </c>
      <c r="O120" s="750"/>
      <c r="P120" s="750">
        <v>50000</v>
      </c>
      <c r="Q120" s="750"/>
      <c r="R120" s="750">
        <v>50000</v>
      </c>
      <c r="S120" s="750"/>
      <c r="T120" s="750">
        <v>50000</v>
      </c>
      <c r="U120" s="750"/>
      <c r="V120" s="751">
        <v>0</v>
      </c>
      <c r="W120" s="751">
        <v>50000</v>
      </c>
      <c r="X120" s="751">
        <v>0</v>
      </c>
      <c r="Y120" s="751">
        <v>50000</v>
      </c>
      <c r="Z120" s="750">
        <v>50000</v>
      </c>
      <c r="AA120" s="750"/>
      <c r="AB120" s="751">
        <v>0</v>
      </c>
      <c r="AC120" s="751">
        <v>50000</v>
      </c>
      <c r="AD120" s="751">
        <v>0</v>
      </c>
      <c r="AE120" s="751">
        <v>50000</v>
      </c>
      <c r="AF120" s="751">
        <v>0</v>
      </c>
      <c r="AG120" s="751">
        <v>50000</v>
      </c>
      <c r="AH120" s="751">
        <v>0</v>
      </c>
      <c r="AI120" s="751">
        <v>50000</v>
      </c>
      <c r="AJ120" s="751">
        <v>0</v>
      </c>
      <c r="AK120" s="751">
        <v>50000</v>
      </c>
      <c r="AL120" s="751">
        <v>0</v>
      </c>
      <c r="AM120" s="751">
        <v>40000</v>
      </c>
      <c r="AN120" s="751">
        <v>0</v>
      </c>
      <c r="AO120" s="751">
        <v>40000</v>
      </c>
      <c r="AP120" s="750">
        <v>0</v>
      </c>
      <c r="AQ120" s="750"/>
      <c r="AR120" s="751">
        <v>0</v>
      </c>
      <c r="AS120" s="751">
        <v>40000</v>
      </c>
      <c r="AT120" s="769">
        <f t="shared" si="8"/>
        <v>470000</v>
      </c>
      <c r="AU120" s="750">
        <f t="shared" si="9"/>
        <v>410000</v>
      </c>
      <c r="AV120" s="771">
        <f t="shared" si="10"/>
        <v>470000</v>
      </c>
      <c r="AW120" s="752">
        <f t="shared" si="6"/>
        <v>0</v>
      </c>
      <c r="AY120" s="753"/>
    </row>
    <row r="121" spans="1:51" s="752" customFormat="1">
      <c r="A121" s="743">
        <f t="shared" si="11"/>
        <v>117</v>
      </c>
      <c r="B121" s="762"/>
      <c r="C121" s="757" t="s">
        <v>1339</v>
      </c>
      <c r="D121" s="746" t="s">
        <v>1466</v>
      </c>
      <c r="E121" s="747">
        <f t="shared" si="7"/>
        <v>880000</v>
      </c>
      <c r="F121" s="750">
        <v>50000</v>
      </c>
      <c r="G121" s="750"/>
      <c r="H121" s="750">
        <v>50000</v>
      </c>
      <c r="I121" s="750"/>
      <c r="J121" s="750">
        <v>50000</v>
      </c>
      <c r="K121" s="750"/>
      <c r="L121" s="750">
        <v>50000</v>
      </c>
      <c r="M121" s="750"/>
      <c r="N121" s="750">
        <v>50000</v>
      </c>
      <c r="O121" s="750"/>
      <c r="P121" s="750">
        <v>50000</v>
      </c>
      <c r="Q121" s="750"/>
      <c r="R121" s="750">
        <v>50000</v>
      </c>
      <c r="S121" s="750"/>
      <c r="T121" s="750">
        <v>50000</v>
      </c>
      <c r="U121" s="750"/>
      <c r="V121" s="751">
        <v>0</v>
      </c>
      <c r="W121" s="751">
        <v>50000</v>
      </c>
      <c r="X121" s="751">
        <v>0</v>
      </c>
      <c r="Y121" s="751">
        <v>50000</v>
      </c>
      <c r="Z121" s="751">
        <v>0</v>
      </c>
      <c r="AA121" s="751">
        <v>50000</v>
      </c>
      <c r="AB121" s="751">
        <v>0</v>
      </c>
      <c r="AC121" s="751">
        <v>50000</v>
      </c>
      <c r="AD121" s="751">
        <v>0</v>
      </c>
      <c r="AE121" s="751">
        <v>50000</v>
      </c>
      <c r="AF121" s="751">
        <v>0</v>
      </c>
      <c r="AG121" s="751">
        <v>50000</v>
      </c>
      <c r="AH121" s="751">
        <v>0</v>
      </c>
      <c r="AI121" s="751">
        <v>50000</v>
      </c>
      <c r="AJ121" s="751">
        <v>0</v>
      </c>
      <c r="AK121" s="751">
        <v>50000</v>
      </c>
      <c r="AL121" s="751">
        <v>0</v>
      </c>
      <c r="AM121" s="751">
        <v>40000</v>
      </c>
      <c r="AN121" s="751">
        <v>0</v>
      </c>
      <c r="AO121" s="751">
        <v>40000</v>
      </c>
      <c r="AP121" s="750">
        <v>0</v>
      </c>
      <c r="AQ121" s="750"/>
      <c r="AR121" s="751">
        <v>0</v>
      </c>
      <c r="AS121" s="751">
        <v>40000</v>
      </c>
      <c r="AT121" s="769">
        <f t="shared" si="8"/>
        <v>520000</v>
      </c>
      <c r="AU121" s="750">
        <f t="shared" si="9"/>
        <v>360000</v>
      </c>
      <c r="AV121" s="771">
        <f t="shared" si="10"/>
        <v>520000</v>
      </c>
      <c r="AW121" s="752">
        <f t="shared" si="6"/>
        <v>0</v>
      </c>
      <c r="AY121" s="753"/>
    </row>
    <row r="122" spans="1:51" s="752" customFormat="1">
      <c r="A122" s="743">
        <f t="shared" si="11"/>
        <v>118</v>
      </c>
      <c r="B122" s="762"/>
      <c r="C122" s="757" t="s">
        <v>1340</v>
      </c>
      <c r="D122" s="746" t="s">
        <v>1467</v>
      </c>
      <c r="E122" s="747">
        <f t="shared" si="7"/>
        <v>920000</v>
      </c>
      <c r="F122" s="750">
        <v>50000</v>
      </c>
      <c r="G122" s="750"/>
      <c r="H122" s="750">
        <v>50000</v>
      </c>
      <c r="I122" s="750"/>
      <c r="J122" s="750">
        <v>50000</v>
      </c>
      <c r="K122" s="750"/>
      <c r="L122" s="750">
        <v>50000</v>
      </c>
      <c r="M122" s="750"/>
      <c r="N122" s="750">
        <v>50000</v>
      </c>
      <c r="O122" s="750"/>
      <c r="P122" s="750">
        <v>50000</v>
      </c>
      <c r="Q122" s="750"/>
      <c r="R122" s="750">
        <v>50000</v>
      </c>
      <c r="S122" s="750"/>
      <c r="T122" s="750">
        <v>50000</v>
      </c>
      <c r="U122" s="750"/>
      <c r="V122" s="750">
        <v>50000</v>
      </c>
      <c r="W122" s="750"/>
      <c r="X122" s="750">
        <v>50000</v>
      </c>
      <c r="Y122" s="750"/>
      <c r="Z122" s="750">
        <v>50000</v>
      </c>
      <c r="AA122" s="750"/>
      <c r="AB122" s="750">
        <v>50000</v>
      </c>
      <c r="AC122" s="750"/>
      <c r="AD122" s="751">
        <v>0</v>
      </c>
      <c r="AE122" s="751">
        <v>50000</v>
      </c>
      <c r="AF122" s="751">
        <v>0</v>
      </c>
      <c r="AG122" s="751">
        <v>50000</v>
      </c>
      <c r="AH122" s="751">
        <v>0</v>
      </c>
      <c r="AI122" s="751">
        <v>50000</v>
      </c>
      <c r="AJ122" s="751">
        <v>0</v>
      </c>
      <c r="AK122" s="751">
        <v>50000</v>
      </c>
      <c r="AL122" s="751">
        <v>0</v>
      </c>
      <c r="AM122" s="751">
        <v>40000</v>
      </c>
      <c r="AN122" s="751">
        <v>0</v>
      </c>
      <c r="AO122" s="751">
        <v>40000</v>
      </c>
      <c r="AP122" s="751">
        <v>0</v>
      </c>
      <c r="AQ122" s="751">
        <v>40000</v>
      </c>
      <c r="AR122" s="751">
        <v>0</v>
      </c>
      <c r="AS122" s="751">
        <v>40000</v>
      </c>
      <c r="AT122" s="769">
        <f t="shared" si="8"/>
        <v>360000</v>
      </c>
      <c r="AU122" s="750">
        <f t="shared" si="9"/>
        <v>560000</v>
      </c>
      <c r="AV122" s="771">
        <f t="shared" si="10"/>
        <v>360000</v>
      </c>
      <c r="AW122" s="752">
        <f t="shared" si="6"/>
        <v>0</v>
      </c>
      <c r="AY122" s="753"/>
    </row>
    <row r="123" spans="1:51" s="752" customFormat="1">
      <c r="A123" s="743">
        <f t="shared" si="11"/>
        <v>119</v>
      </c>
      <c r="B123" s="762"/>
      <c r="C123" s="757" t="s">
        <v>1341</v>
      </c>
      <c r="D123" s="746" t="s">
        <v>1468</v>
      </c>
      <c r="E123" s="747">
        <f t="shared" si="7"/>
        <v>600000</v>
      </c>
      <c r="F123" s="750">
        <v>50000</v>
      </c>
      <c r="G123" s="750"/>
      <c r="H123" s="750">
        <v>50000</v>
      </c>
      <c r="I123" s="750"/>
      <c r="J123" s="750">
        <v>50000</v>
      </c>
      <c r="K123" s="750"/>
      <c r="L123" s="750">
        <v>50000</v>
      </c>
      <c r="M123" s="750"/>
      <c r="N123" s="750">
        <v>50000</v>
      </c>
      <c r="O123" s="750"/>
      <c r="P123" s="750">
        <v>50000</v>
      </c>
      <c r="Q123" s="750"/>
      <c r="R123" s="750">
        <v>50000</v>
      </c>
      <c r="S123" s="750"/>
      <c r="T123" s="750">
        <v>50000</v>
      </c>
      <c r="U123" s="750"/>
      <c r="V123" s="751">
        <v>0</v>
      </c>
      <c r="W123" s="751">
        <v>50000</v>
      </c>
      <c r="X123" s="751">
        <v>0</v>
      </c>
      <c r="Y123" s="751">
        <v>50000</v>
      </c>
      <c r="Z123" s="751">
        <v>0</v>
      </c>
      <c r="AA123" s="751">
        <v>50000</v>
      </c>
      <c r="AB123" s="751">
        <v>0</v>
      </c>
      <c r="AC123" s="751">
        <v>50000</v>
      </c>
      <c r="AD123" s="750">
        <v>0</v>
      </c>
      <c r="AE123" s="750"/>
      <c r="AF123" s="750">
        <v>0</v>
      </c>
      <c r="AG123" s="750"/>
      <c r="AH123" s="750"/>
      <c r="AI123" s="750"/>
      <c r="AJ123" s="750">
        <v>0</v>
      </c>
      <c r="AK123" s="750"/>
      <c r="AL123" s="750">
        <v>0</v>
      </c>
      <c r="AM123" s="750"/>
      <c r="AN123" s="750">
        <v>0</v>
      </c>
      <c r="AO123" s="750"/>
      <c r="AP123" s="750">
        <v>0</v>
      </c>
      <c r="AQ123" s="750"/>
      <c r="AR123" s="750">
        <v>0</v>
      </c>
      <c r="AS123" s="750"/>
      <c r="AT123" s="769">
        <f t="shared" si="8"/>
        <v>200000</v>
      </c>
      <c r="AU123" s="750">
        <f t="shared" si="9"/>
        <v>400000</v>
      </c>
      <c r="AV123" s="771">
        <f t="shared" si="10"/>
        <v>200000</v>
      </c>
      <c r="AW123" s="752">
        <f t="shared" si="6"/>
        <v>0</v>
      </c>
      <c r="AY123" s="753"/>
    </row>
    <row r="124" spans="1:51" s="752" customFormat="1" hidden="1">
      <c r="A124" s="743">
        <f t="shared" si="11"/>
        <v>120</v>
      </c>
      <c r="B124" s="762"/>
      <c r="C124" s="757" t="s">
        <v>1342</v>
      </c>
      <c r="D124" s="746" t="s">
        <v>1469</v>
      </c>
      <c r="E124" s="747">
        <f t="shared" si="7"/>
        <v>600000</v>
      </c>
      <c r="F124" s="750">
        <v>50000</v>
      </c>
      <c r="G124" s="750"/>
      <c r="H124" s="750">
        <v>50000</v>
      </c>
      <c r="I124" s="750"/>
      <c r="J124" s="750">
        <v>50000</v>
      </c>
      <c r="K124" s="750"/>
      <c r="L124" s="750">
        <v>50000</v>
      </c>
      <c r="M124" s="750"/>
      <c r="N124" s="750">
        <v>50000</v>
      </c>
      <c r="O124" s="750"/>
      <c r="P124" s="750">
        <v>50000</v>
      </c>
      <c r="Q124" s="750"/>
      <c r="R124" s="750">
        <v>50000</v>
      </c>
      <c r="S124" s="750"/>
      <c r="T124" s="750">
        <v>50000</v>
      </c>
      <c r="U124" s="750"/>
      <c r="V124" s="750">
        <v>50000</v>
      </c>
      <c r="W124" s="750"/>
      <c r="X124" s="750">
        <v>50000</v>
      </c>
      <c r="Y124" s="750"/>
      <c r="Z124" s="750">
        <v>50000</v>
      </c>
      <c r="AA124" s="750"/>
      <c r="AB124" s="750">
        <v>50000</v>
      </c>
      <c r="AC124" s="750"/>
      <c r="AD124" s="750">
        <v>0</v>
      </c>
      <c r="AE124" s="750"/>
      <c r="AF124" s="750">
        <v>0</v>
      </c>
      <c r="AG124" s="750"/>
      <c r="AH124" s="750"/>
      <c r="AI124" s="750"/>
      <c r="AJ124" s="750">
        <v>0</v>
      </c>
      <c r="AK124" s="750"/>
      <c r="AL124" s="750">
        <v>0</v>
      </c>
      <c r="AM124" s="750"/>
      <c r="AN124" s="750">
        <v>0</v>
      </c>
      <c r="AO124" s="750"/>
      <c r="AP124" s="750">
        <v>0</v>
      </c>
      <c r="AQ124" s="750"/>
      <c r="AR124" s="750">
        <v>0</v>
      </c>
      <c r="AS124" s="750"/>
      <c r="AT124" s="769">
        <f t="shared" si="8"/>
        <v>0</v>
      </c>
      <c r="AU124" s="750">
        <f t="shared" si="9"/>
        <v>600000</v>
      </c>
      <c r="AV124" s="769">
        <f t="shared" si="10"/>
        <v>0</v>
      </c>
      <c r="AW124" s="752">
        <f t="shared" si="6"/>
        <v>0</v>
      </c>
      <c r="AY124" s="753"/>
    </row>
    <row r="125" spans="1:51" s="725" customFormat="1" hidden="1">
      <c r="A125" s="738">
        <f t="shared" si="11"/>
        <v>121</v>
      </c>
      <c r="B125" s="726"/>
      <c r="C125" s="758" t="s">
        <v>1343</v>
      </c>
      <c r="D125" s="731" t="s">
        <v>1470</v>
      </c>
      <c r="E125" s="727">
        <f t="shared" si="7"/>
        <v>600000</v>
      </c>
      <c r="F125" s="729">
        <v>50000</v>
      </c>
      <c r="G125" s="729"/>
      <c r="H125" s="729">
        <v>50000</v>
      </c>
      <c r="I125" s="729"/>
      <c r="J125" s="729">
        <v>50000</v>
      </c>
      <c r="K125" s="729"/>
      <c r="L125" s="729">
        <v>50000</v>
      </c>
      <c r="M125" s="729"/>
      <c r="N125" s="729">
        <v>50000</v>
      </c>
      <c r="O125" s="729"/>
      <c r="P125" s="729">
        <v>50000</v>
      </c>
      <c r="Q125" s="729"/>
      <c r="R125" s="729">
        <v>50000</v>
      </c>
      <c r="S125" s="729"/>
      <c r="T125" s="729">
        <v>50000</v>
      </c>
      <c r="U125" s="729"/>
      <c r="V125" s="729">
        <v>50000</v>
      </c>
      <c r="W125" s="729"/>
      <c r="X125" s="729">
        <v>50000</v>
      </c>
      <c r="Y125" s="729"/>
      <c r="Z125" s="729">
        <v>50000</v>
      </c>
      <c r="AA125" s="729"/>
      <c r="AB125" s="729">
        <v>50000</v>
      </c>
      <c r="AC125" s="729"/>
      <c r="AD125" s="729">
        <v>0</v>
      </c>
      <c r="AE125" s="729"/>
      <c r="AF125" s="729">
        <v>0</v>
      </c>
      <c r="AG125" s="729"/>
      <c r="AH125" s="729"/>
      <c r="AI125" s="729"/>
      <c r="AJ125" s="729">
        <v>0</v>
      </c>
      <c r="AK125" s="729"/>
      <c r="AL125" s="729">
        <v>0</v>
      </c>
      <c r="AM125" s="729"/>
      <c r="AN125" s="729">
        <v>0</v>
      </c>
      <c r="AO125" s="729"/>
      <c r="AP125" s="729">
        <v>0</v>
      </c>
      <c r="AQ125" s="729"/>
      <c r="AR125" s="729">
        <v>0</v>
      </c>
      <c r="AS125" s="729"/>
      <c r="AT125" s="769">
        <f t="shared" si="8"/>
        <v>0</v>
      </c>
      <c r="AU125" s="729">
        <f t="shared" si="9"/>
        <v>600000</v>
      </c>
      <c r="AV125" s="769">
        <f t="shared" si="10"/>
        <v>0</v>
      </c>
      <c r="AW125" s="725">
        <f t="shared" si="6"/>
        <v>0</v>
      </c>
      <c r="AY125" s="742"/>
    </row>
    <row r="126" spans="1:51" s="725" customFormat="1">
      <c r="A126" s="738">
        <f t="shared" si="11"/>
        <v>122</v>
      </c>
      <c r="B126" s="726"/>
      <c r="C126" s="758" t="s">
        <v>1344</v>
      </c>
      <c r="D126" s="731" t="s">
        <v>1471</v>
      </c>
      <c r="E126" s="727">
        <f t="shared" si="7"/>
        <v>920000</v>
      </c>
      <c r="F126" s="729">
        <v>50000</v>
      </c>
      <c r="G126" s="729"/>
      <c r="H126" s="729">
        <v>50000</v>
      </c>
      <c r="I126" s="729"/>
      <c r="J126" s="729">
        <v>50000</v>
      </c>
      <c r="K126" s="729"/>
      <c r="L126" s="729">
        <v>50000</v>
      </c>
      <c r="M126" s="729"/>
      <c r="N126" s="729">
        <v>50000</v>
      </c>
      <c r="O126" s="729"/>
      <c r="P126" s="729">
        <v>50000</v>
      </c>
      <c r="Q126" s="729"/>
      <c r="R126" s="729">
        <v>50000</v>
      </c>
      <c r="S126" s="729"/>
      <c r="T126" s="729">
        <v>50000</v>
      </c>
      <c r="U126" s="729"/>
      <c r="V126" s="729">
        <v>50000</v>
      </c>
      <c r="W126" s="729"/>
      <c r="X126" s="729">
        <v>50000</v>
      </c>
      <c r="Y126" s="729"/>
      <c r="Z126" s="729">
        <v>50000</v>
      </c>
      <c r="AA126" s="729"/>
      <c r="AB126" s="729">
        <v>50000</v>
      </c>
      <c r="AC126" s="729"/>
      <c r="AD126" s="741">
        <v>0</v>
      </c>
      <c r="AE126" s="741">
        <v>50000</v>
      </c>
      <c r="AF126" s="741">
        <v>0</v>
      </c>
      <c r="AG126" s="741">
        <v>50000</v>
      </c>
      <c r="AH126" s="741">
        <v>0</v>
      </c>
      <c r="AI126" s="741">
        <v>50000</v>
      </c>
      <c r="AJ126" s="741">
        <v>0</v>
      </c>
      <c r="AK126" s="741">
        <v>50000</v>
      </c>
      <c r="AL126" s="741">
        <v>0</v>
      </c>
      <c r="AM126" s="741">
        <v>40000</v>
      </c>
      <c r="AN126" s="741">
        <v>0</v>
      </c>
      <c r="AO126" s="741">
        <v>40000</v>
      </c>
      <c r="AP126" s="741">
        <v>0</v>
      </c>
      <c r="AQ126" s="741">
        <v>40000</v>
      </c>
      <c r="AR126" s="741">
        <v>0</v>
      </c>
      <c r="AS126" s="741">
        <v>40000</v>
      </c>
      <c r="AT126" s="769">
        <f t="shared" si="8"/>
        <v>360000</v>
      </c>
      <c r="AU126" s="729">
        <f t="shared" si="9"/>
        <v>560000</v>
      </c>
      <c r="AV126" s="771">
        <f t="shared" si="10"/>
        <v>360000</v>
      </c>
      <c r="AW126" s="725">
        <f t="shared" si="6"/>
        <v>0</v>
      </c>
      <c r="AY126" s="742"/>
    </row>
    <row r="127" spans="1:51" s="725" customFormat="1">
      <c r="A127" s="738">
        <f t="shared" si="11"/>
        <v>123</v>
      </c>
      <c r="B127" s="724"/>
      <c r="C127" s="758" t="s">
        <v>1345</v>
      </c>
      <c r="D127" s="731" t="s">
        <v>1472</v>
      </c>
      <c r="E127" s="727">
        <f t="shared" si="7"/>
        <v>880000</v>
      </c>
      <c r="F127" s="729">
        <v>50000</v>
      </c>
      <c r="G127" s="729"/>
      <c r="H127" s="729">
        <v>50000</v>
      </c>
      <c r="I127" s="729"/>
      <c r="J127" s="729">
        <v>50000</v>
      </c>
      <c r="K127" s="729"/>
      <c r="L127" s="729">
        <v>50000</v>
      </c>
      <c r="M127" s="729"/>
      <c r="N127" s="729">
        <v>50000</v>
      </c>
      <c r="O127" s="729"/>
      <c r="P127" s="729">
        <v>50000</v>
      </c>
      <c r="Q127" s="729"/>
      <c r="R127" s="729">
        <v>50000</v>
      </c>
      <c r="S127" s="729"/>
      <c r="T127" s="741">
        <v>0</v>
      </c>
      <c r="U127" s="741">
        <v>50000</v>
      </c>
      <c r="V127" s="741">
        <v>0</v>
      </c>
      <c r="W127" s="741">
        <v>50000</v>
      </c>
      <c r="X127" s="741">
        <v>0</v>
      </c>
      <c r="Y127" s="741">
        <v>50000</v>
      </c>
      <c r="Z127" s="741">
        <v>0</v>
      </c>
      <c r="AA127" s="741">
        <v>50000</v>
      </c>
      <c r="AB127" s="741">
        <v>0</v>
      </c>
      <c r="AC127" s="741">
        <v>50000</v>
      </c>
      <c r="AD127" s="741">
        <v>0</v>
      </c>
      <c r="AE127" s="741">
        <v>50000</v>
      </c>
      <c r="AF127" s="741">
        <v>0</v>
      </c>
      <c r="AG127" s="741">
        <v>50000</v>
      </c>
      <c r="AH127" s="741">
        <v>0</v>
      </c>
      <c r="AI127" s="741">
        <v>50000</v>
      </c>
      <c r="AJ127" s="741">
        <v>0</v>
      </c>
      <c r="AK127" s="741">
        <v>50000</v>
      </c>
      <c r="AL127" s="741">
        <v>0</v>
      </c>
      <c r="AM127" s="741">
        <v>40000</v>
      </c>
      <c r="AN127" s="741">
        <v>0</v>
      </c>
      <c r="AO127" s="741">
        <v>40000</v>
      </c>
      <c r="AP127" s="729">
        <v>0</v>
      </c>
      <c r="AQ127" s="729"/>
      <c r="AR127" s="741">
        <v>0</v>
      </c>
      <c r="AS127" s="741">
        <v>40000</v>
      </c>
      <c r="AT127" s="769">
        <f t="shared" si="8"/>
        <v>570000</v>
      </c>
      <c r="AU127" s="729">
        <f t="shared" si="9"/>
        <v>310000</v>
      </c>
      <c r="AV127" s="771">
        <f t="shared" si="10"/>
        <v>570000</v>
      </c>
      <c r="AW127" s="725">
        <f t="shared" si="6"/>
        <v>0</v>
      </c>
      <c r="AY127" s="742"/>
    </row>
    <row r="128" spans="1:51" s="725" customFormat="1">
      <c r="A128" s="738">
        <f t="shared" si="11"/>
        <v>124</v>
      </c>
      <c r="B128" s="716"/>
      <c r="C128" s="758" t="s">
        <v>1346</v>
      </c>
      <c r="D128" s="731" t="s">
        <v>1473</v>
      </c>
      <c r="E128" s="727">
        <f t="shared" si="7"/>
        <v>960000</v>
      </c>
      <c r="F128" s="729">
        <v>50000</v>
      </c>
      <c r="G128" s="729"/>
      <c r="H128" s="729">
        <v>50000</v>
      </c>
      <c r="I128" s="729"/>
      <c r="J128" s="729">
        <v>50000</v>
      </c>
      <c r="K128" s="729"/>
      <c r="L128" s="729">
        <v>50000</v>
      </c>
      <c r="M128" s="729"/>
      <c r="N128" s="729">
        <v>50000</v>
      </c>
      <c r="O128" s="729"/>
      <c r="P128" s="729">
        <v>50000</v>
      </c>
      <c r="Q128" s="729"/>
      <c r="R128" s="729">
        <v>50000</v>
      </c>
      <c r="S128" s="729"/>
      <c r="T128" s="729">
        <v>50000</v>
      </c>
      <c r="U128" s="729"/>
      <c r="V128" s="729">
        <v>50000</v>
      </c>
      <c r="W128" s="729"/>
      <c r="X128" s="729">
        <v>50000</v>
      </c>
      <c r="Y128" s="729"/>
      <c r="Z128" s="729">
        <v>50000</v>
      </c>
      <c r="AA128" s="729"/>
      <c r="AB128" s="729">
        <v>50000</v>
      </c>
      <c r="AC128" s="729"/>
      <c r="AD128" s="741">
        <v>0</v>
      </c>
      <c r="AE128" s="741">
        <v>50000</v>
      </c>
      <c r="AF128" s="741">
        <v>0</v>
      </c>
      <c r="AG128" s="741">
        <v>50000</v>
      </c>
      <c r="AH128" s="741">
        <v>0</v>
      </c>
      <c r="AI128" s="741">
        <v>50000</v>
      </c>
      <c r="AJ128" s="741">
        <v>0</v>
      </c>
      <c r="AK128" s="741">
        <v>50000</v>
      </c>
      <c r="AL128" s="741">
        <v>0</v>
      </c>
      <c r="AM128" s="741">
        <v>40000</v>
      </c>
      <c r="AN128" s="741">
        <v>0</v>
      </c>
      <c r="AO128" s="741">
        <v>40000</v>
      </c>
      <c r="AP128" s="729">
        <v>40000</v>
      </c>
      <c r="AQ128" s="729"/>
      <c r="AR128" s="729">
        <v>40000</v>
      </c>
      <c r="AS128" s="729"/>
      <c r="AT128" s="769">
        <f t="shared" si="8"/>
        <v>280000</v>
      </c>
      <c r="AU128" s="729">
        <f t="shared" si="9"/>
        <v>680000</v>
      </c>
      <c r="AV128" s="771">
        <f t="shared" si="10"/>
        <v>280000</v>
      </c>
      <c r="AW128" s="725">
        <f t="shared" si="6"/>
        <v>0</v>
      </c>
      <c r="AY128" s="742"/>
    </row>
    <row r="129" spans="1:51" s="725" customFormat="1">
      <c r="A129" s="738">
        <f t="shared" si="11"/>
        <v>125</v>
      </c>
      <c r="B129" s="726"/>
      <c r="C129" s="758" t="s">
        <v>1347</v>
      </c>
      <c r="D129" s="731" t="s">
        <v>1474</v>
      </c>
      <c r="E129" s="727">
        <f t="shared" si="7"/>
        <v>490000</v>
      </c>
      <c r="F129" s="729">
        <v>50000</v>
      </c>
      <c r="G129" s="729"/>
      <c r="H129" s="729">
        <v>50000</v>
      </c>
      <c r="I129" s="729"/>
      <c r="J129" s="729">
        <v>50000</v>
      </c>
      <c r="K129" s="729"/>
      <c r="L129" s="729">
        <v>50000</v>
      </c>
      <c r="M129" s="729"/>
      <c r="N129" s="729">
        <v>50000</v>
      </c>
      <c r="O129" s="729"/>
      <c r="P129" s="729">
        <v>50000</v>
      </c>
      <c r="Q129" s="729"/>
      <c r="R129" s="729">
        <v>50000</v>
      </c>
      <c r="S129" s="729"/>
      <c r="T129" s="729">
        <v>50000</v>
      </c>
      <c r="U129" s="729"/>
      <c r="V129" s="729">
        <v>0</v>
      </c>
      <c r="W129" s="729"/>
      <c r="X129" s="729">
        <v>0</v>
      </c>
      <c r="Y129" s="729"/>
      <c r="Z129" s="741">
        <v>0</v>
      </c>
      <c r="AA129" s="741">
        <v>50000</v>
      </c>
      <c r="AB129" s="729">
        <v>0</v>
      </c>
      <c r="AC129" s="729"/>
      <c r="AD129" s="729">
        <v>0</v>
      </c>
      <c r="AE129" s="729"/>
      <c r="AF129" s="729">
        <v>0</v>
      </c>
      <c r="AG129" s="729"/>
      <c r="AH129" s="729"/>
      <c r="AI129" s="729"/>
      <c r="AJ129" s="729">
        <v>0</v>
      </c>
      <c r="AK129" s="729"/>
      <c r="AL129" s="729">
        <v>0</v>
      </c>
      <c r="AM129" s="729"/>
      <c r="AN129" s="741">
        <v>0</v>
      </c>
      <c r="AO129" s="741">
        <v>40000</v>
      </c>
      <c r="AP129" s="729">
        <v>0</v>
      </c>
      <c r="AQ129" s="729"/>
      <c r="AR129" s="729">
        <v>0</v>
      </c>
      <c r="AS129" s="729"/>
      <c r="AT129" s="769">
        <f t="shared" si="8"/>
        <v>90000</v>
      </c>
      <c r="AU129" s="729">
        <f t="shared" si="9"/>
        <v>400000</v>
      </c>
      <c r="AV129" s="771">
        <f t="shared" si="10"/>
        <v>90000</v>
      </c>
      <c r="AW129" s="725">
        <f t="shared" si="6"/>
        <v>0</v>
      </c>
      <c r="AY129" s="742"/>
    </row>
    <row r="130" spans="1:51" s="725" customFormat="1" hidden="1">
      <c r="A130" s="738">
        <f t="shared" si="11"/>
        <v>126</v>
      </c>
      <c r="B130" s="726"/>
      <c r="C130" s="758" t="s">
        <v>1348</v>
      </c>
      <c r="D130" s="731" t="s">
        <v>1475</v>
      </c>
      <c r="E130" s="727">
        <f t="shared" si="7"/>
        <v>450000</v>
      </c>
      <c r="F130" s="729">
        <v>50000</v>
      </c>
      <c r="G130" s="729"/>
      <c r="H130" s="729">
        <v>50000</v>
      </c>
      <c r="I130" s="729"/>
      <c r="J130" s="729">
        <v>50000</v>
      </c>
      <c r="K130" s="729"/>
      <c r="L130" s="729">
        <v>50000</v>
      </c>
      <c r="M130" s="729"/>
      <c r="N130" s="729">
        <v>50000</v>
      </c>
      <c r="O130" s="729"/>
      <c r="P130" s="729">
        <v>50000</v>
      </c>
      <c r="Q130" s="729"/>
      <c r="R130" s="729">
        <v>50000</v>
      </c>
      <c r="S130" s="729"/>
      <c r="T130" s="729">
        <v>50000</v>
      </c>
      <c r="U130" s="729"/>
      <c r="V130" s="729">
        <v>0</v>
      </c>
      <c r="W130" s="729"/>
      <c r="X130" s="729">
        <v>0</v>
      </c>
      <c r="Y130" s="729"/>
      <c r="Z130" s="729">
        <v>50000</v>
      </c>
      <c r="AA130" s="729"/>
      <c r="AB130" s="729">
        <v>0</v>
      </c>
      <c r="AC130" s="729"/>
      <c r="AD130" s="729">
        <v>0</v>
      </c>
      <c r="AE130" s="729"/>
      <c r="AF130" s="729">
        <v>0</v>
      </c>
      <c r="AG130" s="729"/>
      <c r="AH130" s="729"/>
      <c r="AI130" s="729"/>
      <c r="AJ130" s="729">
        <v>0</v>
      </c>
      <c r="AK130" s="729"/>
      <c r="AL130" s="729">
        <v>0</v>
      </c>
      <c r="AM130" s="729"/>
      <c r="AN130" s="729">
        <v>0</v>
      </c>
      <c r="AO130" s="729"/>
      <c r="AP130" s="729">
        <v>0</v>
      </c>
      <c r="AQ130" s="729"/>
      <c r="AR130" s="729">
        <v>0</v>
      </c>
      <c r="AS130" s="729"/>
      <c r="AT130" s="769">
        <f t="shared" si="8"/>
        <v>0</v>
      </c>
      <c r="AU130" s="729">
        <f t="shared" si="9"/>
        <v>450000</v>
      </c>
      <c r="AV130" s="769">
        <f t="shared" si="10"/>
        <v>0</v>
      </c>
      <c r="AW130" s="725">
        <f t="shared" si="6"/>
        <v>0</v>
      </c>
      <c r="AY130" s="742"/>
    </row>
    <row r="131" spans="1:51" s="725" customFormat="1">
      <c r="A131" s="738">
        <f t="shared" si="11"/>
        <v>127</v>
      </c>
      <c r="B131" s="726"/>
      <c r="C131" s="758" t="s">
        <v>1349</v>
      </c>
      <c r="D131" s="731" t="s">
        <v>1476</v>
      </c>
      <c r="E131" s="727">
        <f t="shared" si="7"/>
        <v>880000</v>
      </c>
      <c r="F131" s="729">
        <v>50000</v>
      </c>
      <c r="G131" s="729"/>
      <c r="H131" s="729">
        <v>50000</v>
      </c>
      <c r="I131" s="729"/>
      <c r="J131" s="729">
        <v>50000</v>
      </c>
      <c r="K131" s="729"/>
      <c r="L131" s="729">
        <v>50000</v>
      </c>
      <c r="M131" s="729"/>
      <c r="N131" s="729">
        <v>50000</v>
      </c>
      <c r="O131" s="729"/>
      <c r="P131" s="729">
        <v>50000</v>
      </c>
      <c r="Q131" s="729"/>
      <c r="R131" s="729">
        <v>50000</v>
      </c>
      <c r="S131" s="729"/>
      <c r="T131" s="729">
        <v>50000</v>
      </c>
      <c r="U131" s="729"/>
      <c r="V131" s="741">
        <v>0</v>
      </c>
      <c r="W131" s="741">
        <v>50000</v>
      </c>
      <c r="X131" s="741">
        <v>0</v>
      </c>
      <c r="Y131" s="741">
        <v>50000</v>
      </c>
      <c r="Z131" s="741">
        <v>0</v>
      </c>
      <c r="AA131" s="741">
        <v>50000</v>
      </c>
      <c r="AB131" s="741">
        <v>0</v>
      </c>
      <c r="AC131" s="741">
        <v>50000</v>
      </c>
      <c r="AD131" s="741">
        <v>0</v>
      </c>
      <c r="AE131" s="741">
        <v>50000</v>
      </c>
      <c r="AF131" s="741">
        <v>0</v>
      </c>
      <c r="AG131" s="741">
        <v>50000</v>
      </c>
      <c r="AH131" s="741">
        <v>0</v>
      </c>
      <c r="AI131" s="741">
        <v>50000</v>
      </c>
      <c r="AJ131" s="741">
        <v>0</v>
      </c>
      <c r="AK131" s="741">
        <v>50000</v>
      </c>
      <c r="AL131" s="741">
        <v>0</v>
      </c>
      <c r="AM131" s="741">
        <v>40000</v>
      </c>
      <c r="AN131" s="741">
        <v>0</v>
      </c>
      <c r="AO131" s="741">
        <v>40000</v>
      </c>
      <c r="AP131" s="729">
        <v>0</v>
      </c>
      <c r="AQ131" s="729"/>
      <c r="AR131" s="741">
        <v>0</v>
      </c>
      <c r="AS131" s="741">
        <v>40000</v>
      </c>
      <c r="AT131" s="769">
        <f t="shared" si="8"/>
        <v>520000</v>
      </c>
      <c r="AU131" s="729">
        <f t="shared" si="9"/>
        <v>360000</v>
      </c>
      <c r="AV131" s="771">
        <f t="shared" si="10"/>
        <v>520000</v>
      </c>
      <c r="AW131" s="725">
        <f t="shared" si="6"/>
        <v>0</v>
      </c>
      <c r="AY131" s="742"/>
    </row>
    <row r="132" spans="1:51" s="725" customFormat="1">
      <c r="A132" s="738">
        <f t="shared" si="11"/>
        <v>128</v>
      </c>
      <c r="B132" s="716"/>
      <c r="C132" s="758" t="s">
        <v>1350</v>
      </c>
      <c r="D132" s="731" t="s">
        <v>2032</v>
      </c>
      <c r="E132" s="727">
        <f t="shared" si="7"/>
        <v>960000</v>
      </c>
      <c r="F132" s="729">
        <v>50000</v>
      </c>
      <c r="G132" s="729"/>
      <c r="H132" s="729">
        <v>50000</v>
      </c>
      <c r="I132" s="729"/>
      <c r="J132" s="729">
        <v>50000</v>
      </c>
      <c r="K132" s="729"/>
      <c r="L132" s="729">
        <v>50000</v>
      </c>
      <c r="M132" s="729"/>
      <c r="N132" s="729">
        <v>50000</v>
      </c>
      <c r="O132" s="729"/>
      <c r="P132" s="729">
        <v>50000</v>
      </c>
      <c r="Q132" s="729"/>
      <c r="R132" s="729">
        <v>50000</v>
      </c>
      <c r="S132" s="729"/>
      <c r="T132" s="741">
        <v>0</v>
      </c>
      <c r="U132" s="741">
        <v>50000</v>
      </c>
      <c r="V132" s="741">
        <v>0</v>
      </c>
      <c r="W132" s="741">
        <v>50000</v>
      </c>
      <c r="X132" s="741">
        <v>0</v>
      </c>
      <c r="Y132" s="741">
        <v>50000</v>
      </c>
      <c r="Z132" s="729">
        <v>100000</v>
      </c>
      <c r="AA132" s="729"/>
      <c r="AB132" s="729">
        <v>50000</v>
      </c>
      <c r="AC132" s="729"/>
      <c r="AD132" s="741">
        <v>0</v>
      </c>
      <c r="AE132" s="741"/>
      <c r="AF132" s="741">
        <v>0</v>
      </c>
      <c r="AG132" s="741">
        <v>50000</v>
      </c>
      <c r="AH132" s="741">
        <v>0</v>
      </c>
      <c r="AI132" s="741">
        <v>50000</v>
      </c>
      <c r="AJ132" s="741">
        <v>0</v>
      </c>
      <c r="AK132" s="741">
        <v>50000</v>
      </c>
      <c r="AL132" s="741">
        <v>0</v>
      </c>
      <c r="AM132" s="741">
        <v>40000</v>
      </c>
      <c r="AN132" s="741">
        <v>0</v>
      </c>
      <c r="AO132" s="741">
        <v>40000</v>
      </c>
      <c r="AP132" s="729">
        <v>40000</v>
      </c>
      <c r="AQ132" s="729"/>
      <c r="AR132" s="729">
        <v>40000</v>
      </c>
      <c r="AS132" s="729"/>
      <c r="AT132" s="769">
        <f t="shared" si="8"/>
        <v>380000</v>
      </c>
      <c r="AU132" s="729">
        <f t="shared" si="9"/>
        <v>580000</v>
      </c>
      <c r="AV132" s="771">
        <f t="shared" si="10"/>
        <v>380000</v>
      </c>
      <c r="AW132" s="725">
        <f t="shared" si="6"/>
        <v>0</v>
      </c>
      <c r="AY132" s="742"/>
    </row>
    <row r="133" spans="1:51" s="725" customFormat="1">
      <c r="A133" s="738">
        <f t="shared" si="11"/>
        <v>129</v>
      </c>
      <c r="B133" s="716"/>
      <c r="C133" s="758" t="s">
        <v>1351</v>
      </c>
      <c r="D133" s="731" t="s">
        <v>1477</v>
      </c>
      <c r="E133" s="727">
        <f t="shared" si="7"/>
        <v>880000</v>
      </c>
      <c r="F133" s="729">
        <v>50000</v>
      </c>
      <c r="G133" s="729"/>
      <c r="H133" s="729">
        <v>50000</v>
      </c>
      <c r="I133" s="729"/>
      <c r="J133" s="729">
        <v>50000</v>
      </c>
      <c r="K133" s="729"/>
      <c r="L133" s="729">
        <v>50000</v>
      </c>
      <c r="M133" s="729"/>
      <c r="N133" s="729">
        <v>50000</v>
      </c>
      <c r="O133" s="729"/>
      <c r="P133" s="729">
        <v>50000</v>
      </c>
      <c r="Q133" s="729"/>
      <c r="R133" s="729">
        <v>50000</v>
      </c>
      <c r="S133" s="729"/>
      <c r="T133" s="729">
        <v>50000</v>
      </c>
      <c r="U133" s="729"/>
      <c r="V133" s="729">
        <v>50000</v>
      </c>
      <c r="W133" s="729"/>
      <c r="X133" s="741">
        <v>0</v>
      </c>
      <c r="Y133" s="741">
        <v>50000</v>
      </c>
      <c r="Z133" s="729">
        <v>50000</v>
      </c>
      <c r="AA133" s="729"/>
      <c r="AB133" s="741">
        <v>0</v>
      </c>
      <c r="AC133" s="741">
        <v>50000</v>
      </c>
      <c r="AD133" s="741">
        <v>0</v>
      </c>
      <c r="AE133" s="741">
        <v>50000</v>
      </c>
      <c r="AF133" s="741">
        <v>0</v>
      </c>
      <c r="AG133" s="741">
        <v>50000</v>
      </c>
      <c r="AH133" s="741">
        <v>0</v>
      </c>
      <c r="AI133" s="741">
        <v>50000</v>
      </c>
      <c r="AJ133" s="741">
        <v>0</v>
      </c>
      <c r="AK133" s="741">
        <v>50000</v>
      </c>
      <c r="AL133" s="741">
        <v>0</v>
      </c>
      <c r="AM133" s="741">
        <v>40000</v>
      </c>
      <c r="AN133" s="741">
        <v>0</v>
      </c>
      <c r="AO133" s="741">
        <v>40000</v>
      </c>
      <c r="AP133" s="729">
        <v>0</v>
      </c>
      <c r="AQ133" s="729"/>
      <c r="AR133" s="741">
        <v>0</v>
      </c>
      <c r="AS133" s="741">
        <v>40000</v>
      </c>
      <c r="AT133" s="769">
        <f t="shared" si="8"/>
        <v>420000</v>
      </c>
      <c r="AU133" s="729">
        <f t="shared" si="9"/>
        <v>460000</v>
      </c>
      <c r="AV133" s="771">
        <f t="shared" si="10"/>
        <v>420000</v>
      </c>
      <c r="AW133" s="725">
        <f t="shared" ref="AW133:AW196" si="12">SUMIF(AX:AX,C133,AY:AY)</f>
        <v>0</v>
      </c>
      <c r="AY133" s="742"/>
    </row>
    <row r="134" spans="1:51" s="725" customFormat="1">
      <c r="A134" s="738">
        <f t="shared" si="11"/>
        <v>130</v>
      </c>
      <c r="B134" s="716"/>
      <c r="C134" s="758" t="s">
        <v>1352</v>
      </c>
      <c r="D134" s="731" t="s">
        <v>1478</v>
      </c>
      <c r="E134" s="727">
        <f t="shared" ref="E134:E386" si="13">+SUM(F134:AR134)</f>
        <v>650000</v>
      </c>
      <c r="F134" s="729">
        <v>50000</v>
      </c>
      <c r="G134" s="729"/>
      <c r="H134" s="729">
        <v>50000</v>
      </c>
      <c r="I134" s="729"/>
      <c r="J134" s="729">
        <v>50000</v>
      </c>
      <c r="K134" s="729"/>
      <c r="L134" s="729">
        <v>50000</v>
      </c>
      <c r="M134" s="729"/>
      <c r="N134" s="729">
        <v>50000</v>
      </c>
      <c r="O134" s="729"/>
      <c r="P134" s="729">
        <v>50000</v>
      </c>
      <c r="Q134" s="729"/>
      <c r="R134" s="729">
        <v>50000</v>
      </c>
      <c r="S134" s="729"/>
      <c r="T134" s="729">
        <v>50000</v>
      </c>
      <c r="U134" s="729"/>
      <c r="V134" s="729">
        <v>50000</v>
      </c>
      <c r="W134" s="729"/>
      <c r="X134" s="729">
        <v>50000</v>
      </c>
      <c r="Y134" s="729"/>
      <c r="Z134" s="729">
        <v>50000</v>
      </c>
      <c r="AA134" s="729"/>
      <c r="AB134" s="729">
        <v>50000</v>
      </c>
      <c r="AC134" s="729"/>
      <c r="AD134" s="741">
        <v>0</v>
      </c>
      <c r="AE134" s="741">
        <v>50000</v>
      </c>
      <c r="AF134" s="729">
        <v>0</v>
      </c>
      <c r="AG134" s="729"/>
      <c r="AH134" s="729"/>
      <c r="AI134" s="729"/>
      <c r="AJ134" s="729">
        <v>0</v>
      </c>
      <c r="AK134" s="729"/>
      <c r="AL134" s="729">
        <v>0</v>
      </c>
      <c r="AM134" s="729"/>
      <c r="AN134" s="729">
        <v>0</v>
      </c>
      <c r="AO134" s="729"/>
      <c r="AP134" s="729">
        <v>0</v>
      </c>
      <c r="AQ134" s="729"/>
      <c r="AR134" s="729">
        <v>0</v>
      </c>
      <c r="AS134" s="729"/>
      <c r="AT134" s="769">
        <f t="shared" ref="AT134:AT197" si="14">+AS134+AQ134+AO134+AM134+AK134+AI134+AG134+AE134+AC134+AA134+Y134+W134+U134+S134+Q134+O134+M134+K134+I134+G134</f>
        <v>50000</v>
      </c>
      <c r="AU134" s="729">
        <f t="shared" ref="AU134:AU173" si="15">+E134-AT134</f>
        <v>600000</v>
      </c>
      <c r="AV134" s="771">
        <f t="shared" ref="AV134:AV197" si="16">+AT134-AW134</f>
        <v>50000</v>
      </c>
      <c r="AW134" s="725">
        <f t="shared" si="12"/>
        <v>0</v>
      </c>
      <c r="AY134" s="742"/>
    </row>
    <row r="135" spans="1:51" s="752" customFormat="1" hidden="1">
      <c r="A135" s="743">
        <f t="shared" ref="A135:A198" si="17">+A134+1</f>
        <v>131</v>
      </c>
      <c r="B135" s="744"/>
      <c r="C135" s="757" t="s">
        <v>1353</v>
      </c>
      <c r="D135" s="746" t="s">
        <v>1479</v>
      </c>
      <c r="E135" s="747">
        <f t="shared" si="13"/>
        <v>450000</v>
      </c>
      <c r="F135" s="750">
        <v>50000</v>
      </c>
      <c r="G135" s="750"/>
      <c r="H135" s="750">
        <v>50000</v>
      </c>
      <c r="I135" s="750"/>
      <c r="J135" s="750">
        <v>50000</v>
      </c>
      <c r="K135" s="750"/>
      <c r="L135" s="750">
        <v>50000</v>
      </c>
      <c r="M135" s="750"/>
      <c r="N135" s="750">
        <v>50000</v>
      </c>
      <c r="O135" s="750"/>
      <c r="P135" s="750">
        <v>50000</v>
      </c>
      <c r="Q135" s="750"/>
      <c r="R135" s="750">
        <v>50000</v>
      </c>
      <c r="S135" s="750"/>
      <c r="T135" s="750">
        <v>50000</v>
      </c>
      <c r="U135" s="750"/>
      <c r="V135" s="750">
        <v>0</v>
      </c>
      <c r="W135" s="750"/>
      <c r="X135" s="750">
        <v>0</v>
      </c>
      <c r="Y135" s="750"/>
      <c r="Z135" s="750">
        <v>50000</v>
      </c>
      <c r="AA135" s="750"/>
      <c r="AB135" s="750">
        <v>0</v>
      </c>
      <c r="AC135" s="750"/>
      <c r="AD135" s="750">
        <v>0</v>
      </c>
      <c r="AE135" s="750"/>
      <c r="AF135" s="750">
        <v>0</v>
      </c>
      <c r="AG135" s="750"/>
      <c r="AH135" s="750"/>
      <c r="AI135" s="750"/>
      <c r="AJ135" s="750">
        <v>0</v>
      </c>
      <c r="AK135" s="750"/>
      <c r="AL135" s="750">
        <v>0</v>
      </c>
      <c r="AM135" s="750"/>
      <c r="AN135" s="750">
        <v>0</v>
      </c>
      <c r="AO135" s="750"/>
      <c r="AP135" s="750">
        <v>0</v>
      </c>
      <c r="AQ135" s="750"/>
      <c r="AR135" s="750">
        <v>0</v>
      </c>
      <c r="AS135" s="750"/>
      <c r="AT135" s="769">
        <f t="shared" si="14"/>
        <v>0</v>
      </c>
      <c r="AU135" s="750">
        <f t="shared" si="15"/>
        <v>450000</v>
      </c>
      <c r="AV135" s="769">
        <f t="shared" si="16"/>
        <v>0</v>
      </c>
      <c r="AW135" s="752">
        <f t="shared" si="12"/>
        <v>0</v>
      </c>
      <c r="AY135" s="753"/>
    </row>
    <row r="136" spans="1:51" s="752" customFormat="1" hidden="1">
      <c r="A136" s="743">
        <f t="shared" si="17"/>
        <v>132</v>
      </c>
      <c r="B136" s="744"/>
      <c r="C136" s="757" t="s">
        <v>1354</v>
      </c>
      <c r="D136" s="746" t="s">
        <v>1480</v>
      </c>
      <c r="E136" s="747">
        <f t="shared" si="13"/>
        <v>910000</v>
      </c>
      <c r="F136" s="750">
        <v>0</v>
      </c>
      <c r="G136" s="750"/>
      <c r="H136" s="751">
        <v>0</v>
      </c>
      <c r="I136" s="729"/>
      <c r="J136" s="750">
        <v>50000</v>
      </c>
      <c r="K136" s="750"/>
      <c r="L136" s="750">
        <v>50000</v>
      </c>
      <c r="M136" s="750"/>
      <c r="N136" s="750">
        <v>50000</v>
      </c>
      <c r="O136" s="750"/>
      <c r="P136" s="750">
        <v>50000</v>
      </c>
      <c r="Q136" s="750"/>
      <c r="R136" s="750">
        <v>50000</v>
      </c>
      <c r="S136" s="750"/>
      <c r="T136" s="750">
        <v>50000</v>
      </c>
      <c r="U136" s="750"/>
      <c r="V136" s="750">
        <v>50000</v>
      </c>
      <c r="W136" s="750"/>
      <c r="X136" s="750">
        <v>50000</v>
      </c>
      <c r="Y136" s="750"/>
      <c r="Z136" s="750">
        <v>50000</v>
      </c>
      <c r="AA136" s="750"/>
      <c r="AB136" s="750">
        <v>50000</v>
      </c>
      <c r="AC136" s="750"/>
      <c r="AD136" s="750">
        <v>150000</v>
      </c>
      <c r="AE136" s="750"/>
      <c r="AF136" s="750">
        <v>50000</v>
      </c>
      <c r="AG136" s="750"/>
      <c r="AH136" s="751">
        <v>0</v>
      </c>
      <c r="AI136" s="750"/>
      <c r="AJ136" s="750">
        <v>50000</v>
      </c>
      <c r="AK136" s="750"/>
      <c r="AL136" s="750">
        <v>40000</v>
      </c>
      <c r="AM136" s="750"/>
      <c r="AN136" s="750">
        <v>40000</v>
      </c>
      <c r="AO136" s="750"/>
      <c r="AP136" s="750">
        <v>40000</v>
      </c>
      <c r="AQ136" s="750"/>
      <c r="AR136" s="750">
        <v>40000</v>
      </c>
      <c r="AS136" s="750"/>
      <c r="AT136" s="769">
        <f t="shared" si="14"/>
        <v>0</v>
      </c>
      <c r="AU136" s="750">
        <f t="shared" si="15"/>
        <v>910000</v>
      </c>
      <c r="AV136" s="769">
        <f t="shared" si="16"/>
        <v>0</v>
      </c>
      <c r="AW136" s="752">
        <f t="shared" si="12"/>
        <v>0</v>
      </c>
      <c r="AY136" s="753"/>
    </row>
    <row r="137" spans="1:51" s="752" customFormat="1">
      <c r="A137" s="743">
        <f t="shared" si="17"/>
        <v>133</v>
      </c>
      <c r="B137" s="744"/>
      <c r="C137" s="757" t="s">
        <v>1355</v>
      </c>
      <c r="D137" s="746" t="s">
        <v>1481</v>
      </c>
      <c r="E137" s="747">
        <f t="shared" si="13"/>
        <v>880000</v>
      </c>
      <c r="F137" s="750">
        <v>50000</v>
      </c>
      <c r="G137" s="750"/>
      <c r="H137" s="750">
        <v>50000</v>
      </c>
      <c r="I137" s="750"/>
      <c r="J137" s="750">
        <v>50000</v>
      </c>
      <c r="K137" s="750"/>
      <c r="L137" s="750">
        <v>50000</v>
      </c>
      <c r="M137" s="750"/>
      <c r="N137" s="750">
        <v>50000</v>
      </c>
      <c r="O137" s="750"/>
      <c r="P137" s="750">
        <v>50000</v>
      </c>
      <c r="Q137" s="750"/>
      <c r="R137" s="750">
        <v>50000</v>
      </c>
      <c r="S137" s="750"/>
      <c r="T137" s="750">
        <v>50000</v>
      </c>
      <c r="U137" s="750"/>
      <c r="V137" s="751">
        <v>0</v>
      </c>
      <c r="W137" s="751">
        <v>50000</v>
      </c>
      <c r="X137" s="751">
        <v>0</v>
      </c>
      <c r="Y137" s="751">
        <v>50000</v>
      </c>
      <c r="Z137" s="751">
        <v>0</v>
      </c>
      <c r="AA137" s="751">
        <v>50000</v>
      </c>
      <c r="AB137" s="751">
        <v>0</v>
      </c>
      <c r="AC137" s="751">
        <v>50000</v>
      </c>
      <c r="AD137" s="751">
        <v>0</v>
      </c>
      <c r="AE137" s="751">
        <v>50000</v>
      </c>
      <c r="AF137" s="751">
        <v>0</v>
      </c>
      <c r="AG137" s="751">
        <v>50000</v>
      </c>
      <c r="AH137" s="751">
        <v>0</v>
      </c>
      <c r="AI137" s="751">
        <v>50000</v>
      </c>
      <c r="AJ137" s="751">
        <v>0</v>
      </c>
      <c r="AK137" s="751">
        <v>50000</v>
      </c>
      <c r="AL137" s="751">
        <v>0</v>
      </c>
      <c r="AM137" s="751">
        <v>40000</v>
      </c>
      <c r="AN137" s="751">
        <v>0</v>
      </c>
      <c r="AO137" s="751">
        <v>40000</v>
      </c>
      <c r="AP137" s="750">
        <v>0</v>
      </c>
      <c r="AQ137" s="750"/>
      <c r="AR137" s="751">
        <v>0</v>
      </c>
      <c r="AS137" s="751">
        <v>40000</v>
      </c>
      <c r="AT137" s="769">
        <f t="shared" si="14"/>
        <v>520000</v>
      </c>
      <c r="AU137" s="750">
        <f t="shared" si="15"/>
        <v>360000</v>
      </c>
      <c r="AV137" s="771">
        <f t="shared" si="16"/>
        <v>520000</v>
      </c>
      <c r="AW137" s="752">
        <f t="shared" si="12"/>
        <v>0</v>
      </c>
      <c r="AY137" s="753"/>
    </row>
    <row r="138" spans="1:51" s="752" customFormat="1">
      <c r="A138" s="743">
        <f t="shared" si="17"/>
        <v>134</v>
      </c>
      <c r="B138" s="744"/>
      <c r="C138" s="757" t="s">
        <v>1356</v>
      </c>
      <c r="D138" s="746" t="s">
        <v>1482</v>
      </c>
      <c r="E138" s="747">
        <f t="shared" si="13"/>
        <v>920000</v>
      </c>
      <c r="F138" s="750">
        <v>50000</v>
      </c>
      <c r="G138" s="750"/>
      <c r="H138" s="750">
        <v>50000</v>
      </c>
      <c r="I138" s="750"/>
      <c r="J138" s="750">
        <v>50000</v>
      </c>
      <c r="K138" s="750"/>
      <c r="L138" s="750">
        <v>50000</v>
      </c>
      <c r="M138" s="750"/>
      <c r="N138" s="750">
        <v>50000</v>
      </c>
      <c r="O138" s="750"/>
      <c r="P138" s="750">
        <v>50000</v>
      </c>
      <c r="Q138" s="750"/>
      <c r="R138" s="750">
        <v>50000</v>
      </c>
      <c r="S138" s="750"/>
      <c r="T138" s="750">
        <v>50000</v>
      </c>
      <c r="U138" s="750"/>
      <c r="V138" s="751">
        <v>0</v>
      </c>
      <c r="W138" s="751">
        <v>50000</v>
      </c>
      <c r="X138" s="750">
        <v>50000</v>
      </c>
      <c r="Y138" s="750"/>
      <c r="Z138" s="750">
        <v>50000</v>
      </c>
      <c r="AA138" s="750"/>
      <c r="AB138" s="750">
        <v>50000</v>
      </c>
      <c r="AC138" s="750"/>
      <c r="AD138" s="751">
        <v>0</v>
      </c>
      <c r="AE138" s="751">
        <v>50000</v>
      </c>
      <c r="AF138" s="751">
        <v>0</v>
      </c>
      <c r="AG138" s="751">
        <v>50000</v>
      </c>
      <c r="AH138" s="751">
        <v>0</v>
      </c>
      <c r="AI138" s="751">
        <v>50000</v>
      </c>
      <c r="AJ138" s="751">
        <v>0</v>
      </c>
      <c r="AK138" s="751">
        <v>50000</v>
      </c>
      <c r="AL138" s="751">
        <v>0</v>
      </c>
      <c r="AM138" s="751">
        <v>40000</v>
      </c>
      <c r="AN138" s="751">
        <v>0</v>
      </c>
      <c r="AO138" s="751">
        <v>40000</v>
      </c>
      <c r="AP138" s="751">
        <v>0</v>
      </c>
      <c r="AQ138" s="751">
        <v>40000</v>
      </c>
      <c r="AR138" s="751">
        <v>0</v>
      </c>
      <c r="AS138" s="751">
        <v>40000</v>
      </c>
      <c r="AT138" s="769">
        <f t="shared" si="14"/>
        <v>410000</v>
      </c>
      <c r="AU138" s="750">
        <f t="shared" si="15"/>
        <v>510000</v>
      </c>
      <c r="AV138" s="771">
        <f t="shared" si="16"/>
        <v>410000</v>
      </c>
      <c r="AW138" s="752">
        <f t="shared" si="12"/>
        <v>0</v>
      </c>
      <c r="AY138" s="753"/>
    </row>
    <row r="139" spans="1:51" s="752" customFormat="1">
      <c r="A139" s="743">
        <f t="shared" si="17"/>
        <v>135</v>
      </c>
      <c r="B139" s="744"/>
      <c r="C139" s="757" t="s">
        <v>1357</v>
      </c>
      <c r="D139" s="746" t="s">
        <v>1483</v>
      </c>
      <c r="E139" s="747">
        <f t="shared" si="13"/>
        <v>550000</v>
      </c>
      <c r="F139" s="750">
        <v>50000</v>
      </c>
      <c r="G139" s="750"/>
      <c r="H139" s="750">
        <v>50000</v>
      </c>
      <c r="I139" s="750"/>
      <c r="J139" s="750">
        <v>50000</v>
      </c>
      <c r="K139" s="750"/>
      <c r="L139" s="750">
        <v>50000</v>
      </c>
      <c r="M139" s="750"/>
      <c r="N139" s="750">
        <v>50000</v>
      </c>
      <c r="O139" s="750"/>
      <c r="P139" s="750">
        <v>50000</v>
      </c>
      <c r="Q139" s="750"/>
      <c r="R139" s="750">
        <v>50000</v>
      </c>
      <c r="S139" s="750"/>
      <c r="T139" s="750">
        <v>50000</v>
      </c>
      <c r="U139" s="750"/>
      <c r="V139" s="751">
        <v>0</v>
      </c>
      <c r="W139" s="751">
        <v>50000</v>
      </c>
      <c r="X139" s="751">
        <v>0</v>
      </c>
      <c r="Y139" s="751"/>
      <c r="Z139" s="751">
        <v>0</v>
      </c>
      <c r="AA139" s="751">
        <v>50000</v>
      </c>
      <c r="AB139" s="751">
        <v>0</v>
      </c>
      <c r="AC139" s="751">
        <v>50000</v>
      </c>
      <c r="AD139" s="750">
        <v>0</v>
      </c>
      <c r="AE139" s="750"/>
      <c r="AF139" s="750">
        <v>0</v>
      </c>
      <c r="AG139" s="750"/>
      <c r="AH139" s="750"/>
      <c r="AI139" s="750"/>
      <c r="AJ139" s="750">
        <v>0</v>
      </c>
      <c r="AK139" s="750"/>
      <c r="AL139" s="750">
        <v>0</v>
      </c>
      <c r="AM139" s="750"/>
      <c r="AN139" s="750">
        <v>0</v>
      </c>
      <c r="AO139" s="750"/>
      <c r="AP139" s="750">
        <v>0</v>
      </c>
      <c r="AQ139" s="750"/>
      <c r="AR139" s="751">
        <v>0</v>
      </c>
      <c r="AS139" s="751">
        <v>40000</v>
      </c>
      <c r="AT139" s="769">
        <f t="shared" si="14"/>
        <v>190000</v>
      </c>
      <c r="AU139" s="750">
        <f t="shared" si="15"/>
        <v>360000</v>
      </c>
      <c r="AV139" s="771">
        <f t="shared" si="16"/>
        <v>190000</v>
      </c>
      <c r="AW139" s="752">
        <f t="shared" si="12"/>
        <v>0</v>
      </c>
      <c r="AY139" s="753"/>
    </row>
    <row r="140" spans="1:51" s="752" customFormat="1" hidden="1">
      <c r="A140" s="743">
        <f t="shared" si="17"/>
        <v>136</v>
      </c>
      <c r="B140" s="744"/>
      <c r="C140" s="757" t="s">
        <v>1358</v>
      </c>
      <c r="D140" s="746" t="s">
        <v>1484</v>
      </c>
      <c r="E140" s="747">
        <f t="shared" si="13"/>
        <v>250000</v>
      </c>
      <c r="F140" s="750">
        <v>0</v>
      </c>
      <c r="G140" s="750"/>
      <c r="H140" s="750">
        <v>0</v>
      </c>
      <c r="I140" s="750"/>
      <c r="J140" s="750">
        <v>0</v>
      </c>
      <c r="K140" s="750"/>
      <c r="L140" s="751">
        <v>0</v>
      </c>
      <c r="M140" s="751">
        <v>50000</v>
      </c>
      <c r="N140" s="750">
        <v>50000</v>
      </c>
      <c r="O140" s="750"/>
      <c r="P140" s="750">
        <v>50000</v>
      </c>
      <c r="Q140" s="750"/>
      <c r="R140" s="750">
        <v>50000</v>
      </c>
      <c r="S140" s="750"/>
      <c r="T140" s="750">
        <v>50000</v>
      </c>
      <c r="U140" s="750"/>
      <c r="V140" s="750">
        <v>0</v>
      </c>
      <c r="W140" s="750"/>
      <c r="X140" s="750">
        <v>0</v>
      </c>
      <c r="Y140" s="750"/>
      <c r="Z140" s="750">
        <v>0</v>
      </c>
      <c r="AA140" s="750"/>
      <c r="AB140" s="750">
        <v>0</v>
      </c>
      <c r="AC140" s="750"/>
      <c r="AD140" s="750">
        <v>0</v>
      </c>
      <c r="AE140" s="750"/>
      <c r="AF140" s="750">
        <v>0</v>
      </c>
      <c r="AG140" s="750"/>
      <c r="AH140" s="750"/>
      <c r="AI140" s="750"/>
      <c r="AJ140" s="750">
        <v>0</v>
      </c>
      <c r="AK140" s="750"/>
      <c r="AL140" s="750">
        <v>0</v>
      </c>
      <c r="AM140" s="750"/>
      <c r="AN140" s="750">
        <v>0</v>
      </c>
      <c r="AO140" s="750"/>
      <c r="AP140" s="750">
        <v>0</v>
      </c>
      <c r="AQ140" s="750"/>
      <c r="AR140" s="750">
        <v>0</v>
      </c>
      <c r="AS140" s="750"/>
      <c r="AT140" s="769">
        <f t="shared" si="14"/>
        <v>50000</v>
      </c>
      <c r="AU140" s="750">
        <f t="shared" si="15"/>
        <v>200000</v>
      </c>
      <c r="AV140" s="769">
        <f t="shared" si="16"/>
        <v>0</v>
      </c>
      <c r="AW140" s="752">
        <f t="shared" si="12"/>
        <v>50000</v>
      </c>
      <c r="AY140" s="753"/>
    </row>
    <row r="141" spans="1:51" s="752" customFormat="1" hidden="1">
      <c r="A141" s="743">
        <f t="shared" si="17"/>
        <v>137</v>
      </c>
      <c r="B141" s="744"/>
      <c r="C141" s="757" t="s">
        <v>1359</v>
      </c>
      <c r="D141" s="746" t="s">
        <v>1485</v>
      </c>
      <c r="E141" s="747">
        <f t="shared" si="13"/>
        <v>250000</v>
      </c>
      <c r="F141" s="750">
        <v>0</v>
      </c>
      <c r="G141" s="750"/>
      <c r="H141" s="750">
        <v>0</v>
      </c>
      <c r="I141" s="750"/>
      <c r="J141" s="750">
        <v>0</v>
      </c>
      <c r="K141" s="750"/>
      <c r="L141" s="751">
        <v>0</v>
      </c>
      <c r="M141" s="751">
        <v>50000</v>
      </c>
      <c r="N141" s="750">
        <v>50000</v>
      </c>
      <c r="O141" s="750"/>
      <c r="P141" s="750">
        <v>50000</v>
      </c>
      <c r="Q141" s="750"/>
      <c r="R141" s="750">
        <v>50000</v>
      </c>
      <c r="S141" s="750"/>
      <c r="T141" s="750">
        <v>50000</v>
      </c>
      <c r="U141" s="750"/>
      <c r="V141" s="750">
        <v>0</v>
      </c>
      <c r="W141" s="750"/>
      <c r="X141" s="750">
        <v>0</v>
      </c>
      <c r="Y141" s="750"/>
      <c r="Z141" s="750">
        <v>0</v>
      </c>
      <c r="AA141" s="750"/>
      <c r="AB141" s="750">
        <v>0</v>
      </c>
      <c r="AC141" s="750"/>
      <c r="AD141" s="750">
        <v>0</v>
      </c>
      <c r="AE141" s="750"/>
      <c r="AF141" s="750">
        <v>0</v>
      </c>
      <c r="AG141" s="750"/>
      <c r="AH141" s="750"/>
      <c r="AI141" s="750"/>
      <c r="AJ141" s="750">
        <v>0</v>
      </c>
      <c r="AK141" s="750"/>
      <c r="AL141" s="750">
        <v>0</v>
      </c>
      <c r="AM141" s="750"/>
      <c r="AN141" s="750">
        <v>0</v>
      </c>
      <c r="AO141" s="750"/>
      <c r="AP141" s="750">
        <v>0</v>
      </c>
      <c r="AQ141" s="750"/>
      <c r="AR141" s="750">
        <v>0</v>
      </c>
      <c r="AS141" s="750"/>
      <c r="AT141" s="769">
        <f t="shared" si="14"/>
        <v>50000</v>
      </c>
      <c r="AU141" s="750">
        <f t="shared" si="15"/>
        <v>200000</v>
      </c>
      <c r="AV141" s="769">
        <f t="shared" si="16"/>
        <v>0</v>
      </c>
      <c r="AW141" s="752">
        <f t="shared" si="12"/>
        <v>50000</v>
      </c>
      <c r="AY141" s="753"/>
    </row>
    <row r="142" spans="1:51" s="752" customFormat="1" hidden="1">
      <c r="A142" s="743">
        <f t="shared" si="17"/>
        <v>138</v>
      </c>
      <c r="B142" s="744"/>
      <c r="C142" s="757" t="s">
        <v>1360</v>
      </c>
      <c r="D142" s="746" t="s">
        <v>1486</v>
      </c>
      <c r="E142" s="747">
        <f t="shared" si="13"/>
        <v>400000</v>
      </c>
      <c r="F142" s="750">
        <v>50000</v>
      </c>
      <c r="G142" s="750"/>
      <c r="H142" s="750">
        <v>50000</v>
      </c>
      <c r="I142" s="750"/>
      <c r="J142" s="750">
        <v>50000</v>
      </c>
      <c r="K142" s="750"/>
      <c r="L142" s="750">
        <v>50000</v>
      </c>
      <c r="M142" s="750"/>
      <c r="N142" s="750">
        <v>50000</v>
      </c>
      <c r="O142" s="750"/>
      <c r="P142" s="750">
        <v>50000</v>
      </c>
      <c r="Q142" s="750"/>
      <c r="R142" s="750">
        <v>50000</v>
      </c>
      <c r="S142" s="750"/>
      <c r="T142" s="750">
        <v>50000</v>
      </c>
      <c r="U142" s="750"/>
      <c r="V142" s="750">
        <v>0</v>
      </c>
      <c r="W142" s="750"/>
      <c r="X142" s="750">
        <v>0</v>
      </c>
      <c r="Y142" s="750"/>
      <c r="Z142" s="750">
        <v>0</v>
      </c>
      <c r="AA142" s="750"/>
      <c r="AB142" s="750">
        <v>0</v>
      </c>
      <c r="AC142" s="750"/>
      <c r="AD142" s="750">
        <v>0</v>
      </c>
      <c r="AE142" s="750"/>
      <c r="AF142" s="750">
        <v>0</v>
      </c>
      <c r="AG142" s="750"/>
      <c r="AH142" s="750"/>
      <c r="AI142" s="750"/>
      <c r="AJ142" s="750">
        <v>0</v>
      </c>
      <c r="AK142" s="750"/>
      <c r="AL142" s="750">
        <v>0</v>
      </c>
      <c r="AM142" s="750"/>
      <c r="AN142" s="750">
        <v>0</v>
      </c>
      <c r="AO142" s="750"/>
      <c r="AP142" s="750">
        <v>0</v>
      </c>
      <c r="AQ142" s="750"/>
      <c r="AR142" s="750">
        <v>0</v>
      </c>
      <c r="AS142" s="750"/>
      <c r="AT142" s="769">
        <f t="shared" si="14"/>
        <v>0</v>
      </c>
      <c r="AU142" s="750">
        <f t="shared" si="15"/>
        <v>400000</v>
      </c>
      <c r="AV142" s="769">
        <f t="shared" si="16"/>
        <v>0</v>
      </c>
      <c r="AW142" s="752">
        <f t="shared" si="12"/>
        <v>0</v>
      </c>
      <c r="AY142" s="753"/>
    </row>
    <row r="143" spans="1:51" s="752" customFormat="1" hidden="1">
      <c r="A143" s="743">
        <f t="shared" si="17"/>
        <v>139</v>
      </c>
      <c r="B143" s="744"/>
      <c r="C143" s="757" t="s">
        <v>1361</v>
      </c>
      <c r="D143" s="746" t="s">
        <v>1487</v>
      </c>
      <c r="E143" s="747">
        <f t="shared" si="13"/>
        <v>960000</v>
      </c>
      <c r="F143" s="751">
        <v>0</v>
      </c>
      <c r="G143" s="756">
        <v>50000</v>
      </c>
      <c r="H143" s="750">
        <v>50000</v>
      </c>
      <c r="I143" s="750"/>
      <c r="J143" s="750">
        <v>50000</v>
      </c>
      <c r="K143" s="750"/>
      <c r="L143" s="750">
        <v>50000</v>
      </c>
      <c r="M143" s="750"/>
      <c r="N143" s="750">
        <v>50000</v>
      </c>
      <c r="O143" s="750"/>
      <c r="P143" s="750">
        <v>50000</v>
      </c>
      <c r="Q143" s="750"/>
      <c r="R143" s="750">
        <v>50000</v>
      </c>
      <c r="S143" s="750"/>
      <c r="T143" s="750">
        <v>50000</v>
      </c>
      <c r="U143" s="750"/>
      <c r="V143" s="751">
        <v>0</v>
      </c>
      <c r="W143" s="751">
        <v>50000</v>
      </c>
      <c r="X143" s="750">
        <v>50000</v>
      </c>
      <c r="Y143" s="750"/>
      <c r="Z143" s="750">
        <v>50000</v>
      </c>
      <c r="AA143" s="750"/>
      <c r="AB143" s="750">
        <v>50000</v>
      </c>
      <c r="AC143" s="750"/>
      <c r="AD143" s="750">
        <v>100000</v>
      </c>
      <c r="AE143" s="750"/>
      <c r="AF143" s="750">
        <v>50000</v>
      </c>
      <c r="AG143" s="750"/>
      <c r="AH143" s="751">
        <v>0</v>
      </c>
      <c r="AI143" s="750"/>
      <c r="AJ143" s="750">
        <v>50000</v>
      </c>
      <c r="AK143" s="750"/>
      <c r="AL143" s="751">
        <v>0</v>
      </c>
      <c r="AM143" s="751">
        <v>40000</v>
      </c>
      <c r="AN143" s="750">
        <v>40000</v>
      </c>
      <c r="AO143" s="750"/>
      <c r="AP143" s="750">
        <v>40000</v>
      </c>
      <c r="AQ143" s="750"/>
      <c r="AR143" s="750">
        <v>40000</v>
      </c>
      <c r="AS143" s="750"/>
      <c r="AT143" s="769">
        <f t="shared" si="14"/>
        <v>140000</v>
      </c>
      <c r="AU143" s="750">
        <f t="shared" si="15"/>
        <v>820000</v>
      </c>
      <c r="AV143" s="769">
        <f t="shared" si="16"/>
        <v>0</v>
      </c>
      <c r="AW143" s="752">
        <f t="shared" si="12"/>
        <v>140000</v>
      </c>
      <c r="AY143" s="753"/>
    </row>
    <row r="144" spans="1:51" s="752" customFormat="1">
      <c r="A144" s="743">
        <f t="shared" si="17"/>
        <v>140</v>
      </c>
      <c r="B144" s="744"/>
      <c r="C144" s="757" t="s">
        <v>1362</v>
      </c>
      <c r="D144" s="746" t="s">
        <v>1488</v>
      </c>
      <c r="E144" s="747">
        <f t="shared" si="13"/>
        <v>880000</v>
      </c>
      <c r="F144" s="750">
        <v>50000</v>
      </c>
      <c r="G144" s="750"/>
      <c r="H144" s="750">
        <v>50000</v>
      </c>
      <c r="I144" s="750"/>
      <c r="J144" s="750">
        <v>50000</v>
      </c>
      <c r="K144" s="750"/>
      <c r="L144" s="750">
        <v>50000</v>
      </c>
      <c r="M144" s="750"/>
      <c r="N144" s="750">
        <v>50000</v>
      </c>
      <c r="O144" s="750"/>
      <c r="P144" s="750">
        <v>50000</v>
      </c>
      <c r="Q144" s="750"/>
      <c r="R144" s="750">
        <v>50000</v>
      </c>
      <c r="S144" s="750"/>
      <c r="T144" s="750">
        <v>50000</v>
      </c>
      <c r="U144" s="750"/>
      <c r="V144" s="751">
        <v>0</v>
      </c>
      <c r="W144" s="751">
        <v>50000</v>
      </c>
      <c r="X144" s="751">
        <v>0</v>
      </c>
      <c r="Y144" s="751">
        <v>50000</v>
      </c>
      <c r="Z144" s="751">
        <v>0</v>
      </c>
      <c r="AA144" s="751">
        <v>50000</v>
      </c>
      <c r="AB144" s="751">
        <v>0</v>
      </c>
      <c r="AC144" s="751">
        <v>50000</v>
      </c>
      <c r="AD144" s="751">
        <v>0</v>
      </c>
      <c r="AE144" s="751">
        <v>50000</v>
      </c>
      <c r="AF144" s="751">
        <v>0</v>
      </c>
      <c r="AG144" s="751">
        <v>50000</v>
      </c>
      <c r="AH144" s="751">
        <v>0</v>
      </c>
      <c r="AI144" s="751">
        <v>50000</v>
      </c>
      <c r="AJ144" s="751">
        <v>0</v>
      </c>
      <c r="AK144" s="751">
        <v>50000</v>
      </c>
      <c r="AL144" s="751">
        <v>0</v>
      </c>
      <c r="AM144" s="751">
        <v>40000</v>
      </c>
      <c r="AN144" s="751">
        <v>0</v>
      </c>
      <c r="AO144" s="751">
        <v>40000</v>
      </c>
      <c r="AP144" s="750">
        <v>0</v>
      </c>
      <c r="AQ144" s="750"/>
      <c r="AR144" s="751">
        <v>0</v>
      </c>
      <c r="AS144" s="751">
        <v>40000</v>
      </c>
      <c r="AT144" s="769">
        <f t="shared" si="14"/>
        <v>520000</v>
      </c>
      <c r="AU144" s="750">
        <f t="shared" si="15"/>
        <v>360000</v>
      </c>
      <c r="AV144" s="771">
        <f t="shared" si="16"/>
        <v>520000</v>
      </c>
      <c r="AW144" s="752">
        <f t="shared" si="12"/>
        <v>0</v>
      </c>
      <c r="AY144" s="753"/>
    </row>
    <row r="145" spans="1:51" s="725" customFormat="1">
      <c r="A145" s="738">
        <f t="shared" si="17"/>
        <v>141</v>
      </c>
      <c r="B145" s="716"/>
      <c r="C145" s="758" t="s">
        <v>1363</v>
      </c>
      <c r="D145" s="731" t="s">
        <v>1489</v>
      </c>
      <c r="E145" s="727">
        <f t="shared" si="13"/>
        <v>960000</v>
      </c>
      <c r="F145" s="729">
        <v>50000</v>
      </c>
      <c r="G145" s="729"/>
      <c r="H145" s="729">
        <v>50000</v>
      </c>
      <c r="I145" s="729"/>
      <c r="J145" s="729">
        <v>50000</v>
      </c>
      <c r="K145" s="729"/>
      <c r="L145" s="729">
        <v>50000</v>
      </c>
      <c r="M145" s="729"/>
      <c r="N145" s="729">
        <v>50000</v>
      </c>
      <c r="O145" s="729"/>
      <c r="P145" s="729">
        <v>50000</v>
      </c>
      <c r="Q145" s="729"/>
      <c r="R145" s="729">
        <v>50000</v>
      </c>
      <c r="S145" s="729"/>
      <c r="T145" s="729">
        <v>50000</v>
      </c>
      <c r="U145" s="729"/>
      <c r="V145" s="729">
        <v>50000</v>
      </c>
      <c r="W145" s="729"/>
      <c r="X145" s="729">
        <v>50000</v>
      </c>
      <c r="Y145" s="729"/>
      <c r="Z145" s="729">
        <v>50000</v>
      </c>
      <c r="AA145" s="729"/>
      <c r="AB145" s="729">
        <v>50000</v>
      </c>
      <c r="AC145" s="729"/>
      <c r="AD145" s="741">
        <v>0</v>
      </c>
      <c r="AE145" s="741">
        <v>50000</v>
      </c>
      <c r="AF145" s="741">
        <v>0</v>
      </c>
      <c r="AG145" s="741">
        <v>50000</v>
      </c>
      <c r="AH145" s="741">
        <v>0</v>
      </c>
      <c r="AI145" s="741">
        <v>50000</v>
      </c>
      <c r="AJ145" s="741">
        <v>0</v>
      </c>
      <c r="AK145" s="741">
        <v>50000</v>
      </c>
      <c r="AL145" s="741">
        <v>0</v>
      </c>
      <c r="AM145" s="741">
        <v>40000</v>
      </c>
      <c r="AN145" s="741">
        <v>0</v>
      </c>
      <c r="AO145" s="741">
        <v>40000</v>
      </c>
      <c r="AP145" s="729">
        <v>40000</v>
      </c>
      <c r="AQ145" s="729"/>
      <c r="AR145" s="729">
        <v>40000</v>
      </c>
      <c r="AS145" s="729"/>
      <c r="AT145" s="769">
        <f t="shared" si="14"/>
        <v>280000</v>
      </c>
      <c r="AU145" s="729">
        <f t="shared" si="15"/>
        <v>680000</v>
      </c>
      <c r="AV145" s="771">
        <f t="shared" si="16"/>
        <v>280000</v>
      </c>
      <c r="AW145" s="725">
        <f t="shared" si="12"/>
        <v>0</v>
      </c>
      <c r="AY145" s="742"/>
    </row>
    <row r="146" spans="1:51" s="725" customFormat="1">
      <c r="A146" s="738">
        <f t="shared" si="17"/>
        <v>142</v>
      </c>
      <c r="B146" s="716"/>
      <c r="C146" s="758" t="s">
        <v>1364</v>
      </c>
      <c r="D146" s="731" t="s">
        <v>1490</v>
      </c>
      <c r="E146" s="727">
        <f t="shared" si="13"/>
        <v>880000</v>
      </c>
      <c r="F146" s="729">
        <v>50000</v>
      </c>
      <c r="G146" s="729"/>
      <c r="H146" s="729">
        <v>50000</v>
      </c>
      <c r="I146" s="729"/>
      <c r="J146" s="729">
        <v>50000</v>
      </c>
      <c r="K146" s="729"/>
      <c r="L146" s="729">
        <v>50000</v>
      </c>
      <c r="M146" s="729"/>
      <c r="N146" s="729">
        <v>50000</v>
      </c>
      <c r="O146" s="729"/>
      <c r="P146" s="729">
        <v>50000</v>
      </c>
      <c r="Q146" s="729"/>
      <c r="R146" s="729">
        <v>50000</v>
      </c>
      <c r="S146" s="729"/>
      <c r="T146" s="729">
        <v>50000</v>
      </c>
      <c r="U146" s="729"/>
      <c r="V146" s="741">
        <v>0</v>
      </c>
      <c r="W146" s="741">
        <v>50000</v>
      </c>
      <c r="X146" s="741">
        <v>0</v>
      </c>
      <c r="Y146" s="741">
        <v>50000</v>
      </c>
      <c r="Z146" s="729">
        <v>50000</v>
      </c>
      <c r="AA146" s="729"/>
      <c r="AB146" s="729">
        <v>50000</v>
      </c>
      <c r="AC146" s="729"/>
      <c r="AD146" s="741">
        <v>0</v>
      </c>
      <c r="AE146" s="741">
        <v>50000</v>
      </c>
      <c r="AF146" s="741">
        <v>0</v>
      </c>
      <c r="AG146" s="741">
        <v>50000</v>
      </c>
      <c r="AH146" s="741">
        <v>0</v>
      </c>
      <c r="AI146" s="741">
        <v>50000</v>
      </c>
      <c r="AJ146" s="741">
        <v>0</v>
      </c>
      <c r="AK146" s="741">
        <v>50000</v>
      </c>
      <c r="AL146" s="741">
        <v>0</v>
      </c>
      <c r="AM146" s="741">
        <v>40000</v>
      </c>
      <c r="AN146" s="741">
        <v>0</v>
      </c>
      <c r="AO146" s="741">
        <v>40000</v>
      </c>
      <c r="AP146" s="729">
        <v>0</v>
      </c>
      <c r="AQ146" s="729"/>
      <c r="AR146" s="741">
        <v>0</v>
      </c>
      <c r="AS146" s="741">
        <v>40000</v>
      </c>
      <c r="AT146" s="769">
        <f t="shared" si="14"/>
        <v>420000</v>
      </c>
      <c r="AU146" s="729">
        <f t="shared" si="15"/>
        <v>460000</v>
      </c>
      <c r="AV146" s="771">
        <f t="shared" si="16"/>
        <v>420000</v>
      </c>
      <c r="AW146" s="725">
        <f t="shared" si="12"/>
        <v>0</v>
      </c>
      <c r="AY146" s="742"/>
    </row>
    <row r="147" spans="1:51" s="725" customFormat="1" hidden="1">
      <c r="A147" s="738">
        <f t="shared" si="17"/>
        <v>143</v>
      </c>
      <c r="B147" s="716"/>
      <c r="C147" s="758" t="s">
        <v>1365</v>
      </c>
      <c r="D147" s="731" t="s">
        <v>1491</v>
      </c>
      <c r="E147" s="727">
        <f t="shared" si="13"/>
        <v>600000</v>
      </c>
      <c r="F147" s="729">
        <v>50000</v>
      </c>
      <c r="G147" s="729"/>
      <c r="H147" s="729">
        <v>50000</v>
      </c>
      <c r="I147" s="729"/>
      <c r="J147" s="729">
        <v>50000</v>
      </c>
      <c r="K147" s="729"/>
      <c r="L147" s="729">
        <v>50000</v>
      </c>
      <c r="M147" s="729"/>
      <c r="N147" s="729">
        <v>50000</v>
      </c>
      <c r="O147" s="729"/>
      <c r="P147" s="729">
        <v>50000</v>
      </c>
      <c r="Q147" s="729"/>
      <c r="R147" s="729">
        <v>50000</v>
      </c>
      <c r="S147" s="729"/>
      <c r="T147" s="729">
        <v>50000</v>
      </c>
      <c r="U147" s="729"/>
      <c r="V147" s="729">
        <v>50000</v>
      </c>
      <c r="W147" s="729"/>
      <c r="X147" s="729">
        <v>50000</v>
      </c>
      <c r="Y147" s="729"/>
      <c r="Z147" s="729">
        <v>50000</v>
      </c>
      <c r="AA147" s="729"/>
      <c r="AB147" s="729">
        <v>50000</v>
      </c>
      <c r="AC147" s="729"/>
      <c r="AD147" s="729">
        <v>0</v>
      </c>
      <c r="AE147" s="729"/>
      <c r="AF147" s="729">
        <v>0</v>
      </c>
      <c r="AG147" s="729"/>
      <c r="AH147" s="729"/>
      <c r="AI147" s="729"/>
      <c r="AJ147" s="729">
        <v>0</v>
      </c>
      <c r="AK147" s="729"/>
      <c r="AL147" s="729">
        <v>0</v>
      </c>
      <c r="AM147" s="729"/>
      <c r="AN147" s="729">
        <v>0</v>
      </c>
      <c r="AO147" s="729"/>
      <c r="AP147" s="729">
        <v>0</v>
      </c>
      <c r="AQ147" s="729"/>
      <c r="AR147" s="729">
        <v>0</v>
      </c>
      <c r="AS147" s="729"/>
      <c r="AT147" s="769">
        <f t="shared" si="14"/>
        <v>0</v>
      </c>
      <c r="AU147" s="729">
        <f t="shared" si="15"/>
        <v>600000</v>
      </c>
      <c r="AV147" s="769">
        <f t="shared" si="16"/>
        <v>0</v>
      </c>
      <c r="AW147" s="725">
        <f t="shared" si="12"/>
        <v>0</v>
      </c>
      <c r="AY147" s="742"/>
    </row>
    <row r="148" spans="1:51" s="725" customFormat="1">
      <c r="A148" s="738">
        <f t="shared" si="17"/>
        <v>144</v>
      </c>
      <c r="B148" s="716"/>
      <c r="C148" s="758" t="s">
        <v>1366</v>
      </c>
      <c r="D148" s="731" t="s">
        <v>1492</v>
      </c>
      <c r="E148" s="727">
        <f t="shared" si="13"/>
        <v>880000</v>
      </c>
      <c r="F148" s="729">
        <v>50000</v>
      </c>
      <c r="G148" s="729"/>
      <c r="H148" s="729">
        <v>50000</v>
      </c>
      <c r="I148" s="729"/>
      <c r="J148" s="729">
        <v>50000</v>
      </c>
      <c r="K148" s="729"/>
      <c r="L148" s="729">
        <v>50000</v>
      </c>
      <c r="M148" s="729"/>
      <c r="N148" s="729">
        <v>50000</v>
      </c>
      <c r="O148" s="729"/>
      <c r="P148" s="729">
        <v>50000</v>
      </c>
      <c r="Q148" s="729"/>
      <c r="R148" s="729">
        <v>50000</v>
      </c>
      <c r="S148" s="729"/>
      <c r="T148" s="729">
        <v>50000</v>
      </c>
      <c r="U148" s="729"/>
      <c r="V148" s="741">
        <v>0</v>
      </c>
      <c r="W148" s="741">
        <v>50000</v>
      </c>
      <c r="X148" s="741">
        <v>0</v>
      </c>
      <c r="Y148" s="741">
        <v>50000</v>
      </c>
      <c r="Z148" s="741">
        <v>0</v>
      </c>
      <c r="AA148" s="741">
        <v>50000</v>
      </c>
      <c r="AB148" s="741">
        <v>0</v>
      </c>
      <c r="AC148" s="741">
        <v>50000</v>
      </c>
      <c r="AD148" s="741">
        <v>0</v>
      </c>
      <c r="AE148" s="741">
        <v>50000</v>
      </c>
      <c r="AF148" s="741">
        <v>0</v>
      </c>
      <c r="AG148" s="741">
        <v>50000</v>
      </c>
      <c r="AH148" s="741">
        <v>0</v>
      </c>
      <c r="AI148" s="741">
        <v>50000</v>
      </c>
      <c r="AJ148" s="741">
        <v>0</v>
      </c>
      <c r="AK148" s="741">
        <v>50000</v>
      </c>
      <c r="AL148" s="741">
        <v>0</v>
      </c>
      <c r="AM148" s="741">
        <v>40000</v>
      </c>
      <c r="AN148" s="741">
        <v>0</v>
      </c>
      <c r="AO148" s="741">
        <v>40000</v>
      </c>
      <c r="AP148" s="729">
        <v>0</v>
      </c>
      <c r="AQ148" s="729"/>
      <c r="AR148" s="741">
        <v>0</v>
      </c>
      <c r="AS148" s="741">
        <v>40000</v>
      </c>
      <c r="AT148" s="769">
        <f t="shared" si="14"/>
        <v>520000</v>
      </c>
      <c r="AU148" s="729">
        <f t="shared" si="15"/>
        <v>360000</v>
      </c>
      <c r="AV148" s="771">
        <f t="shared" si="16"/>
        <v>520000</v>
      </c>
      <c r="AW148" s="725">
        <f t="shared" si="12"/>
        <v>0</v>
      </c>
      <c r="AY148" s="742"/>
    </row>
    <row r="149" spans="1:51" s="725" customFormat="1">
      <c r="A149" s="738">
        <f t="shared" si="17"/>
        <v>145</v>
      </c>
      <c r="B149" s="716"/>
      <c r="C149" s="758" t="s">
        <v>1367</v>
      </c>
      <c r="D149" s="731" t="s">
        <v>1493</v>
      </c>
      <c r="E149" s="727">
        <f t="shared" si="13"/>
        <v>600000</v>
      </c>
      <c r="F149" s="729">
        <v>50000</v>
      </c>
      <c r="G149" s="729"/>
      <c r="H149" s="729">
        <v>50000</v>
      </c>
      <c r="I149" s="729"/>
      <c r="J149" s="729">
        <v>50000</v>
      </c>
      <c r="K149" s="729"/>
      <c r="L149" s="729">
        <v>50000</v>
      </c>
      <c r="M149" s="729"/>
      <c r="N149" s="729">
        <v>50000</v>
      </c>
      <c r="O149" s="729"/>
      <c r="P149" s="729">
        <v>50000</v>
      </c>
      <c r="Q149" s="729"/>
      <c r="R149" s="729">
        <v>50000</v>
      </c>
      <c r="S149" s="729"/>
      <c r="T149" s="729">
        <v>50000</v>
      </c>
      <c r="U149" s="729"/>
      <c r="V149" s="741">
        <v>0</v>
      </c>
      <c r="W149" s="741">
        <v>50000</v>
      </c>
      <c r="X149" s="729">
        <v>50000</v>
      </c>
      <c r="Y149" s="729"/>
      <c r="Z149" s="729">
        <v>50000</v>
      </c>
      <c r="AA149" s="729"/>
      <c r="AB149" s="729">
        <v>50000</v>
      </c>
      <c r="AC149" s="729"/>
      <c r="AD149" s="729">
        <v>0</v>
      </c>
      <c r="AE149" s="729"/>
      <c r="AF149" s="729">
        <v>0</v>
      </c>
      <c r="AG149" s="729"/>
      <c r="AH149" s="729"/>
      <c r="AI149" s="729"/>
      <c r="AJ149" s="729">
        <v>0</v>
      </c>
      <c r="AK149" s="729"/>
      <c r="AL149" s="729">
        <v>0</v>
      </c>
      <c r="AM149" s="729"/>
      <c r="AN149" s="729">
        <v>0</v>
      </c>
      <c r="AO149" s="729"/>
      <c r="AP149" s="729">
        <v>0</v>
      </c>
      <c r="AQ149" s="729"/>
      <c r="AR149" s="729">
        <v>0</v>
      </c>
      <c r="AS149" s="729"/>
      <c r="AT149" s="769">
        <f t="shared" si="14"/>
        <v>50000</v>
      </c>
      <c r="AU149" s="729">
        <f t="shared" si="15"/>
        <v>550000</v>
      </c>
      <c r="AV149" s="771">
        <f t="shared" si="16"/>
        <v>50000</v>
      </c>
      <c r="AW149" s="725">
        <f t="shared" si="12"/>
        <v>0</v>
      </c>
      <c r="AY149" s="742"/>
    </row>
    <row r="150" spans="1:51" s="725" customFormat="1">
      <c r="A150" s="738">
        <f t="shared" si="17"/>
        <v>146</v>
      </c>
      <c r="B150" s="716"/>
      <c r="C150" s="758" t="s">
        <v>1368</v>
      </c>
      <c r="D150" s="731" t="s">
        <v>1494</v>
      </c>
      <c r="E150" s="727">
        <f t="shared" si="13"/>
        <v>880000</v>
      </c>
      <c r="F150" s="729">
        <v>50000</v>
      </c>
      <c r="G150" s="729"/>
      <c r="H150" s="729">
        <v>50000</v>
      </c>
      <c r="I150" s="729"/>
      <c r="J150" s="729">
        <v>50000</v>
      </c>
      <c r="K150" s="729"/>
      <c r="L150" s="729">
        <v>50000</v>
      </c>
      <c r="M150" s="729"/>
      <c r="N150" s="729">
        <v>50000</v>
      </c>
      <c r="O150" s="729"/>
      <c r="P150" s="729">
        <v>50000</v>
      </c>
      <c r="Q150" s="729"/>
      <c r="R150" s="729">
        <v>50000</v>
      </c>
      <c r="S150" s="729"/>
      <c r="T150" s="729">
        <v>50000</v>
      </c>
      <c r="U150" s="729"/>
      <c r="V150" s="741">
        <v>0</v>
      </c>
      <c r="W150" s="741">
        <v>50000</v>
      </c>
      <c r="X150" s="741">
        <v>0</v>
      </c>
      <c r="Y150" s="741">
        <v>50000</v>
      </c>
      <c r="Z150" s="741">
        <v>0</v>
      </c>
      <c r="AA150" s="741">
        <v>50000</v>
      </c>
      <c r="AB150" s="741">
        <v>0</v>
      </c>
      <c r="AC150" s="741">
        <v>50000</v>
      </c>
      <c r="AD150" s="741">
        <v>0</v>
      </c>
      <c r="AE150" s="741">
        <v>50000</v>
      </c>
      <c r="AF150" s="741">
        <v>0</v>
      </c>
      <c r="AG150" s="741">
        <v>50000</v>
      </c>
      <c r="AH150" s="741">
        <v>0</v>
      </c>
      <c r="AI150" s="741">
        <v>50000</v>
      </c>
      <c r="AJ150" s="741">
        <v>0</v>
      </c>
      <c r="AK150" s="741">
        <v>50000</v>
      </c>
      <c r="AL150" s="741">
        <v>0</v>
      </c>
      <c r="AM150" s="741">
        <v>40000</v>
      </c>
      <c r="AN150" s="741">
        <v>0</v>
      </c>
      <c r="AO150" s="741">
        <v>40000</v>
      </c>
      <c r="AP150" s="729">
        <v>0</v>
      </c>
      <c r="AQ150" s="729"/>
      <c r="AR150" s="741">
        <v>0</v>
      </c>
      <c r="AS150" s="741">
        <v>40000</v>
      </c>
      <c r="AT150" s="769">
        <f t="shared" si="14"/>
        <v>520000</v>
      </c>
      <c r="AU150" s="729">
        <f t="shared" si="15"/>
        <v>360000</v>
      </c>
      <c r="AV150" s="771">
        <f t="shared" si="16"/>
        <v>520000</v>
      </c>
      <c r="AW150" s="725">
        <f t="shared" si="12"/>
        <v>0</v>
      </c>
      <c r="AY150" s="742"/>
    </row>
    <row r="151" spans="1:51" s="725" customFormat="1">
      <c r="A151" s="738">
        <f t="shared" si="17"/>
        <v>147</v>
      </c>
      <c r="B151" s="716"/>
      <c r="C151" s="758" t="s">
        <v>1369</v>
      </c>
      <c r="D151" s="731" t="s">
        <v>2033</v>
      </c>
      <c r="E151" s="727">
        <f t="shared" si="13"/>
        <v>920000</v>
      </c>
      <c r="F151" s="729">
        <v>50000</v>
      </c>
      <c r="G151" s="729"/>
      <c r="H151" s="729">
        <v>50000</v>
      </c>
      <c r="I151" s="729"/>
      <c r="J151" s="729">
        <v>50000</v>
      </c>
      <c r="K151" s="729"/>
      <c r="L151" s="729">
        <v>50000</v>
      </c>
      <c r="M151" s="729"/>
      <c r="N151" s="729">
        <v>50000</v>
      </c>
      <c r="O151" s="729"/>
      <c r="P151" s="729">
        <v>50000</v>
      </c>
      <c r="Q151" s="729"/>
      <c r="R151" s="729">
        <v>50000</v>
      </c>
      <c r="S151" s="729"/>
      <c r="T151" s="729">
        <v>50000</v>
      </c>
      <c r="U151" s="729"/>
      <c r="V151" s="729">
        <v>50000</v>
      </c>
      <c r="W151" s="729"/>
      <c r="X151" s="729">
        <v>50000</v>
      </c>
      <c r="Y151" s="729"/>
      <c r="Z151" s="729">
        <v>50000</v>
      </c>
      <c r="AA151" s="729"/>
      <c r="AB151" s="741">
        <v>0</v>
      </c>
      <c r="AC151" s="741">
        <v>50000</v>
      </c>
      <c r="AD151" s="741">
        <v>0</v>
      </c>
      <c r="AE151" s="741">
        <v>50000</v>
      </c>
      <c r="AF151" s="741">
        <v>0</v>
      </c>
      <c r="AG151" s="741">
        <v>50000</v>
      </c>
      <c r="AH151" s="741">
        <v>0</v>
      </c>
      <c r="AI151" s="741">
        <v>50000</v>
      </c>
      <c r="AJ151" s="741">
        <v>0</v>
      </c>
      <c r="AK151" s="741">
        <v>50000</v>
      </c>
      <c r="AL151" s="741">
        <v>0</v>
      </c>
      <c r="AM151" s="741">
        <v>40000</v>
      </c>
      <c r="AN151" s="741">
        <v>0</v>
      </c>
      <c r="AO151" s="741">
        <v>40000</v>
      </c>
      <c r="AP151" s="741">
        <v>0</v>
      </c>
      <c r="AQ151" s="741">
        <v>40000</v>
      </c>
      <c r="AR151" s="741">
        <v>0</v>
      </c>
      <c r="AS151" s="741">
        <v>40000</v>
      </c>
      <c r="AT151" s="769">
        <f t="shared" si="14"/>
        <v>410000</v>
      </c>
      <c r="AU151" s="729">
        <f t="shared" si="15"/>
        <v>510000</v>
      </c>
      <c r="AV151" s="771">
        <f t="shared" si="16"/>
        <v>410000</v>
      </c>
      <c r="AW151" s="725">
        <f t="shared" si="12"/>
        <v>0</v>
      </c>
      <c r="AY151" s="742"/>
    </row>
    <row r="152" spans="1:51" s="725" customFormat="1" hidden="1">
      <c r="A152" s="738">
        <f t="shared" si="17"/>
        <v>148</v>
      </c>
      <c r="B152" s="716"/>
      <c r="C152" s="758" t="s">
        <v>1370</v>
      </c>
      <c r="D152" s="731" t="s">
        <v>1495</v>
      </c>
      <c r="E152" s="727">
        <f t="shared" si="13"/>
        <v>600000</v>
      </c>
      <c r="F152" s="729">
        <v>50000</v>
      </c>
      <c r="G152" s="729"/>
      <c r="H152" s="729">
        <v>50000</v>
      </c>
      <c r="I152" s="729"/>
      <c r="J152" s="729">
        <v>50000</v>
      </c>
      <c r="K152" s="729"/>
      <c r="L152" s="729">
        <v>50000</v>
      </c>
      <c r="M152" s="729"/>
      <c r="N152" s="729">
        <v>50000</v>
      </c>
      <c r="O152" s="729"/>
      <c r="P152" s="729">
        <v>50000</v>
      </c>
      <c r="Q152" s="729"/>
      <c r="R152" s="729">
        <v>50000</v>
      </c>
      <c r="S152" s="729"/>
      <c r="T152" s="729">
        <v>50000</v>
      </c>
      <c r="U152" s="729"/>
      <c r="V152" s="729">
        <v>50000</v>
      </c>
      <c r="W152" s="729"/>
      <c r="X152" s="729">
        <v>50000</v>
      </c>
      <c r="Y152" s="729"/>
      <c r="Z152" s="729">
        <v>50000</v>
      </c>
      <c r="AA152" s="729"/>
      <c r="AB152" s="729">
        <v>50000</v>
      </c>
      <c r="AC152" s="729"/>
      <c r="AD152" s="729">
        <v>0</v>
      </c>
      <c r="AE152" s="729"/>
      <c r="AF152" s="729">
        <v>0</v>
      </c>
      <c r="AG152" s="729"/>
      <c r="AH152" s="729"/>
      <c r="AI152" s="729"/>
      <c r="AJ152" s="729">
        <v>0</v>
      </c>
      <c r="AK152" s="729"/>
      <c r="AL152" s="729">
        <v>0</v>
      </c>
      <c r="AM152" s="729"/>
      <c r="AN152" s="729">
        <v>0</v>
      </c>
      <c r="AO152" s="729"/>
      <c r="AP152" s="729">
        <v>0</v>
      </c>
      <c r="AQ152" s="729"/>
      <c r="AR152" s="729">
        <v>0</v>
      </c>
      <c r="AS152" s="729"/>
      <c r="AT152" s="769">
        <f t="shared" si="14"/>
        <v>0</v>
      </c>
      <c r="AU152" s="729">
        <f t="shared" si="15"/>
        <v>600000</v>
      </c>
      <c r="AV152" s="769">
        <f t="shared" si="16"/>
        <v>0</v>
      </c>
      <c r="AW152" s="725">
        <f t="shared" si="12"/>
        <v>0</v>
      </c>
      <c r="AY152" s="742"/>
    </row>
    <row r="153" spans="1:51" s="725" customFormat="1" hidden="1">
      <c r="A153" s="738">
        <f t="shared" si="17"/>
        <v>149</v>
      </c>
      <c r="B153" s="716"/>
      <c r="C153" s="758" t="s">
        <v>1371</v>
      </c>
      <c r="D153" s="731" t="s">
        <v>1496</v>
      </c>
      <c r="E153" s="727">
        <f t="shared" si="13"/>
        <v>600000</v>
      </c>
      <c r="F153" s="729">
        <v>50000</v>
      </c>
      <c r="G153" s="729"/>
      <c r="H153" s="729">
        <v>50000</v>
      </c>
      <c r="I153" s="729"/>
      <c r="J153" s="729">
        <v>50000</v>
      </c>
      <c r="K153" s="729"/>
      <c r="L153" s="729">
        <v>50000</v>
      </c>
      <c r="M153" s="729"/>
      <c r="N153" s="729">
        <v>50000</v>
      </c>
      <c r="O153" s="729"/>
      <c r="P153" s="729">
        <v>50000</v>
      </c>
      <c r="Q153" s="729"/>
      <c r="R153" s="729">
        <v>50000</v>
      </c>
      <c r="S153" s="729"/>
      <c r="T153" s="729">
        <v>50000</v>
      </c>
      <c r="U153" s="729"/>
      <c r="V153" s="729">
        <v>50000</v>
      </c>
      <c r="W153" s="729"/>
      <c r="X153" s="729">
        <v>50000</v>
      </c>
      <c r="Y153" s="729"/>
      <c r="Z153" s="729">
        <v>50000</v>
      </c>
      <c r="AA153" s="729"/>
      <c r="AB153" s="729">
        <v>50000</v>
      </c>
      <c r="AC153" s="729"/>
      <c r="AD153" s="729">
        <v>0</v>
      </c>
      <c r="AE153" s="729"/>
      <c r="AF153" s="729">
        <v>0</v>
      </c>
      <c r="AG153" s="729"/>
      <c r="AH153" s="729"/>
      <c r="AI153" s="729"/>
      <c r="AJ153" s="729">
        <v>0</v>
      </c>
      <c r="AK153" s="729"/>
      <c r="AL153" s="729">
        <v>0</v>
      </c>
      <c r="AM153" s="729"/>
      <c r="AN153" s="729">
        <v>0</v>
      </c>
      <c r="AO153" s="729"/>
      <c r="AP153" s="729">
        <v>0</v>
      </c>
      <c r="AQ153" s="729"/>
      <c r="AR153" s="729">
        <v>0</v>
      </c>
      <c r="AS153" s="729"/>
      <c r="AT153" s="769">
        <f t="shared" si="14"/>
        <v>0</v>
      </c>
      <c r="AU153" s="729">
        <f t="shared" si="15"/>
        <v>600000</v>
      </c>
      <c r="AV153" s="769">
        <f t="shared" si="16"/>
        <v>0</v>
      </c>
      <c r="AW153" s="725">
        <f t="shared" si="12"/>
        <v>0</v>
      </c>
      <c r="AY153" s="742"/>
    </row>
    <row r="154" spans="1:51" s="725" customFormat="1" hidden="1">
      <c r="A154" s="738">
        <f t="shared" si="17"/>
        <v>150</v>
      </c>
      <c r="B154" s="716"/>
      <c r="C154" s="758" t="s">
        <v>1372</v>
      </c>
      <c r="D154" s="731" t="s">
        <v>1497</v>
      </c>
      <c r="E154" s="727">
        <f t="shared" si="13"/>
        <v>920000</v>
      </c>
      <c r="F154" s="729">
        <v>50000</v>
      </c>
      <c r="G154" s="729"/>
      <c r="H154" s="729">
        <v>50000</v>
      </c>
      <c r="I154" s="729"/>
      <c r="J154" s="729">
        <v>50000</v>
      </c>
      <c r="K154" s="729"/>
      <c r="L154" s="729">
        <v>50000</v>
      </c>
      <c r="M154" s="729"/>
      <c r="N154" s="729">
        <v>50000</v>
      </c>
      <c r="O154" s="729"/>
      <c r="P154" s="729">
        <v>50000</v>
      </c>
      <c r="Q154" s="729"/>
      <c r="R154" s="729">
        <v>50000</v>
      </c>
      <c r="S154" s="729"/>
      <c r="T154" s="729">
        <v>50000</v>
      </c>
      <c r="U154" s="729"/>
      <c r="V154" s="729">
        <v>50000</v>
      </c>
      <c r="W154" s="729"/>
      <c r="X154" s="729">
        <v>50000</v>
      </c>
      <c r="Y154" s="729"/>
      <c r="Z154" s="729">
        <v>50000</v>
      </c>
      <c r="AA154" s="729"/>
      <c r="AB154" s="729">
        <v>50000</v>
      </c>
      <c r="AC154" s="729"/>
      <c r="AD154" s="741">
        <v>0</v>
      </c>
      <c r="AE154" s="741">
        <v>50000</v>
      </c>
      <c r="AF154" s="741">
        <v>0</v>
      </c>
      <c r="AG154" s="741">
        <v>50000</v>
      </c>
      <c r="AH154" s="741">
        <v>0</v>
      </c>
      <c r="AI154" s="741">
        <v>50000</v>
      </c>
      <c r="AJ154" s="741">
        <v>0</v>
      </c>
      <c r="AK154" s="741">
        <v>50000</v>
      </c>
      <c r="AL154" s="729">
        <v>40000</v>
      </c>
      <c r="AM154" s="729"/>
      <c r="AN154" s="741">
        <v>0</v>
      </c>
      <c r="AO154" s="741">
        <v>40000</v>
      </c>
      <c r="AP154" s="741">
        <v>0</v>
      </c>
      <c r="AQ154" s="741">
        <v>40000</v>
      </c>
      <c r="AR154" s="741">
        <v>0</v>
      </c>
      <c r="AS154" s="741">
        <v>40000</v>
      </c>
      <c r="AT154" s="769">
        <f t="shared" si="14"/>
        <v>320000</v>
      </c>
      <c r="AU154" s="729">
        <f t="shared" si="15"/>
        <v>600000</v>
      </c>
      <c r="AV154" s="769">
        <f t="shared" si="16"/>
        <v>0</v>
      </c>
      <c r="AW154" s="725">
        <f t="shared" si="12"/>
        <v>320000</v>
      </c>
      <c r="AY154" s="742"/>
    </row>
    <row r="155" spans="1:51" s="752" customFormat="1">
      <c r="A155" s="743">
        <f t="shared" si="17"/>
        <v>151</v>
      </c>
      <c r="B155" s="744"/>
      <c r="C155" s="757" t="s">
        <v>1373</v>
      </c>
      <c r="D155" s="746" t="s">
        <v>1498</v>
      </c>
      <c r="E155" s="747">
        <f t="shared" si="13"/>
        <v>960000</v>
      </c>
      <c r="F155" s="750">
        <v>50000</v>
      </c>
      <c r="G155" s="750"/>
      <c r="H155" s="750">
        <v>50000</v>
      </c>
      <c r="I155" s="750"/>
      <c r="J155" s="750">
        <v>50000</v>
      </c>
      <c r="K155" s="750"/>
      <c r="L155" s="750">
        <v>50000</v>
      </c>
      <c r="M155" s="750"/>
      <c r="N155" s="750">
        <v>50000</v>
      </c>
      <c r="O155" s="750"/>
      <c r="P155" s="750">
        <v>50000</v>
      </c>
      <c r="Q155" s="750"/>
      <c r="R155" s="750">
        <v>50000</v>
      </c>
      <c r="S155" s="750"/>
      <c r="T155" s="750">
        <v>50000</v>
      </c>
      <c r="U155" s="750"/>
      <c r="V155" s="750">
        <v>50000</v>
      </c>
      <c r="W155" s="750"/>
      <c r="X155" s="750">
        <v>50000</v>
      </c>
      <c r="Y155" s="750"/>
      <c r="Z155" s="750">
        <v>50000</v>
      </c>
      <c r="AA155" s="750"/>
      <c r="AB155" s="750">
        <v>50000</v>
      </c>
      <c r="AC155" s="750"/>
      <c r="AD155" s="751">
        <v>0</v>
      </c>
      <c r="AE155" s="751">
        <v>50000</v>
      </c>
      <c r="AF155" s="751">
        <v>0</v>
      </c>
      <c r="AG155" s="751">
        <v>50000</v>
      </c>
      <c r="AH155" s="751">
        <v>0</v>
      </c>
      <c r="AI155" s="751">
        <v>50000</v>
      </c>
      <c r="AJ155" s="751">
        <v>0</v>
      </c>
      <c r="AK155" s="751">
        <v>50000</v>
      </c>
      <c r="AL155" s="751">
        <v>0</v>
      </c>
      <c r="AM155" s="751">
        <v>40000</v>
      </c>
      <c r="AN155" s="751">
        <v>0</v>
      </c>
      <c r="AO155" s="751">
        <v>40000</v>
      </c>
      <c r="AP155" s="750">
        <v>40000</v>
      </c>
      <c r="AQ155" s="750"/>
      <c r="AR155" s="750">
        <v>40000</v>
      </c>
      <c r="AS155" s="750"/>
      <c r="AT155" s="769">
        <f t="shared" si="14"/>
        <v>280000</v>
      </c>
      <c r="AU155" s="750">
        <f t="shared" si="15"/>
        <v>680000</v>
      </c>
      <c r="AV155" s="771">
        <f t="shared" si="16"/>
        <v>280000</v>
      </c>
      <c r="AW155" s="752">
        <f t="shared" si="12"/>
        <v>0</v>
      </c>
      <c r="AY155" s="753"/>
    </row>
    <row r="156" spans="1:51" s="752" customFormat="1">
      <c r="A156" s="743">
        <f t="shared" si="17"/>
        <v>152</v>
      </c>
      <c r="B156" s="744"/>
      <c r="C156" s="757" t="s">
        <v>1374</v>
      </c>
      <c r="D156" s="746" t="s">
        <v>1499</v>
      </c>
      <c r="E156" s="747">
        <f t="shared" si="13"/>
        <v>920000</v>
      </c>
      <c r="F156" s="750">
        <v>50000</v>
      </c>
      <c r="G156" s="750"/>
      <c r="H156" s="750">
        <v>50000</v>
      </c>
      <c r="I156" s="750"/>
      <c r="J156" s="750">
        <v>50000</v>
      </c>
      <c r="K156" s="750"/>
      <c r="L156" s="750">
        <v>50000</v>
      </c>
      <c r="M156" s="750"/>
      <c r="N156" s="750">
        <v>50000</v>
      </c>
      <c r="O156" s="750"/>
      <c r="P156" s="750">
        <v>50000</v>
      </c>
      <c r="Q156" s="750"/>
      <c r="R156" s="750">
        <v>50000</v>
      </c>
      <c r="S156" s="750"/>
      <c r="T156" s="750">
        <v>50000</v>
      </c>
      <c r="U156" s="750"/>
      <c r="V156" s="750">
        <v>50000</v>
      </c>
      <c r="W156" s="750"/>
      <c r="X156" s="750">
        <v>50000</v>
      </c>
      <c r="Y156" s="750"/>
      <c r="Z156" s="750">
        <v>50000</v>
      </c>
      <c r="AA156" s="750"/>
      <c r="AB156" s="750">
        <v>50000</v>
      </c>
      <c r="AC156" s="750"/>
      <c r="AD156" s="751">
        <v>0</v>
      </c>
      <c r="AE156" s="751">
        <v>50000</v>
      </c>
      <c r="AF156" s="751">
        <v>0</v>
      </c>
      <c r="AG156" s="751">
        <v>50000</v>
      </c>
      <c r="AH156" s="751">
        <v>0</v>
      </c>
      <c r="AI156" s="751">
        <v>50000</v>
      </c>
      <c r="AJ156" s="751">
        <v>0</v>
      </c>
      <c r="AK156" s="751">
        <v>50000</v>
      </c>
      <c r="AL156" s="750">
        <v>40000</v>
      </c>
      <c r="AM156" s="750"/>
      <c r="AN156" s="750">
        <v>40000</v>
      </c>
      <c r="AO156" s="750"/>
      <c r="AP156" s="751">
        <v>0</v>
      </c>
      <c r="AQ156" s="751">
        <v>40000</v>
      </c>
      <c r="AR156" s="750">
        <v>0</v>
      </c>
      <c r="AS156" s="750"/>
      <c r="AT156" s="769">
        <f t="shared" si="14"/>
        <v>240000</v>
      </c>
      <c r="AU156" s="750">
        <f t="shared" si="15"/>
        <v>680000</v>
      </c>
      <c r="AV156" s="771">
        <f t="shared" si="16"/>
        <v>240000</v>
      </c>
      <c r="AW156" s="752">
        <f t="shared" si="12"/>
        <v>0</v>
      </c>
      <c r="AY156" s="753"/>
    </row>
    <row r="157" spans="1:51" s="752" customFormat="1">
      <c r="A157" s="743">
        <f t="shared" si="17"/>
        <v>153</v>
      </c>
      <c r="B157" s="744"/>
      <c r="C157" s="757" t="s">
        <v>1375</v>
      </c>
      <c r="D157" s="746" t="s">
        <v>1500</v>
      </c>
      <c r="E157" s="747">
        <f t="shared" si="13"/>
        <v>500000</v>
      </c>
      <c r="F157" s="750">
        <v>50000</v>
      </c>
      <c r="G157" s="750"/>
      <c r="H157" s="750">
        <v>50000</v>
      </c>
      <c r="I157" s="750"/>
      <c r="J157" s="750">
        <v>50000</v>
      </c>
      <c r="K157" s="750"/>
      <c r="L157" s="750">
        <v>50000</v>
      </c>
      <c r="M157" s="750"/>
      <c r="N157" s="750">
        <v>50000</v>
      </c>
      <c r="O157" s="750"/>
      <c r="P157" s="750">
        <v>50000</v>
      </c>
      <c r="Q157" s="750"/>
      <c r="R157" s="750">
        <v>50000</v>
      </c>
      <c r="S157" s="750"/>
      <c r="T157" s="751">
        <v>0</v>
      </c>
      <c r="U157" s="751">
        <v>50000</v>
      </c>
      <c r="V157" s="750">
        <v>0</v>
      </c>
      <c r="W157" s="750"/>
      <c r="X157" s="750">
        <v>0</v>
      </c>
      <c r="Y157" s="750"/>
      <c r="Z157" s="750">
        <v>50000</v>
      </c>
      <c r="AA157" s="750"/>
      <c r="AB157" s="750">
        <v>0</v>
      </c>
      <c r="AC157" s="750"/>
      <c r="AD157" s="751">
        <v>0</v>
      </c>
      <c r="AE157" s="751">
        <v>50000</v>
      </c>
      <c r="AF157" s="750">
        <v>0</v>
      </c>
      <c r="AG157" s="750"/>
      <c r="AH157" s="750"/>
      <c r="AI157" s="750"/>
      <c r="AJ157" s="750">
        <v>0</v>
      </c>
      <c r="AK157" s="750"/>
      <c r="AL157" s="750">
        <v>0</v>
      </c>
      <c r="AM157" s="750"/>
      <c r="AN157" s="750">
        <v>0</v>
      </c>
      <c r="AO157" s="750"/>
      <c r="AP157" s="750">
        <v>0</v>
      </c>
      <c r="AQ157" s="750"/>
      <c r="AR157" s="750">
        <v>0</v>
      </c>
      <c r="AS157" s="750"/>
      <c r="AT157" s="769">
        <f t="shared" si="14"/>
        <v>100000</v>
      </c>
      <c r="AU157" s="750">
        <f t="shared" si="15"/>
        <v>400000</v>
      </c>
      <c r="AV157" s="771">
        <f t="shared" si="16"/>
        <v>100000</v>
      </c>
      <c r="AW157" s="752">
        <f t="shared" si="12"/>
        <v>0</v>
      </c>
      <c r="AY157" s="753"/>
    </row>
    <row r="158" spans="1:51" s="752" customFormat="1">
      <c r="A158" s="743">
        <f t="shared" si="17"/>
        <v>154</v>
      </c>
      <c r="B158" s="762"/>
      <c r="C158" s="757" t="s">
        <v>1376</v>
      </c>
      <c r="D158" s="746" t="s">
        <v>1501</v>
      </c>
      <c r="E158" s="747">
        <f t="shared" si="13"/>
        <v>600000</v>
      </c>
      <c r="F158" s="750">
        <v>50000</v>
      </c>
      <c r="G158" s="750"/>
      <c r="H158" s="750">
        <v>50000</v>
      </c>
      <c r="I158" s="750"/>
      <c r="J158" s="750">
        <v>50000</v>
      </c>
      <c r="K158" s="750"/>
      <c r="L158" s="750">
        <v>50000</v>
      </c>
      <c r="M158" s="750"/>
      <c r="N158" s="750">
        <v>50000</v>
      </c>
      <c r="O158" s="750"/>
      <c r="P158" s="750">
        <v>50000</v>
      </c>
      <c r="Q158" s="750"/>
      <c r="R158" s="750">
        <v>50000</v>
      </c>
      <c r="S158" s="750"/>
      <c r="T158" s="750">
        <v>50000</v>
      </c>
      <c r="U158" s="750"/>
      <c r="V158" s="751">
        <v>0</v>
      </c>
      <c r="W158" s="751">
        <v>50000</v>
      </c>
      <c r="X158" s="750">
        <v>50000</v>
      </c>
      <c r="Y158" s="750"/>
      <c r="Z158" s="750">
        <v>50000</v>
      </c>
      <c r="AA158" s="750"/>
      <c r="AB158" s="750">
        <v>50000</v>
      </c>
      <c r="AC158" s="750"/>
      <c r="AD158" s="750">
        <v>0</v>
      </c>
      <c r="AE158" s="750"/>
      <c r="AF158" s="750">
        <v>0</v>
      </c>
      <c r="AG158" s="750"/>
      <c r="AH158" s="750"/>
      <c r="AI158" s="750"/>
      <c r="AJ158" s="750">
        <v>0</v>
      </c>
      <c r="AK158" s="750"/>
      <c r="AL158" s="750">
        <v>0</v>
      </c>
      <c r="AM158" s="750"/>
      <c r="AN158" s="750">
        <v>0</v>
      </c>
      <c r="AO158" s="750"/>
      <c r="AP158" s="750">
        <v>0</v>
      </c>
      <c r="AQ158" s="750"/>
      <c r="AR158" s="750">
        <v>0</v>
      </c>
      <c r="AS158" s="750"/>
      <c r="AT158" s="769">
        <f t="shared" si="14"/>
        <v>50000</v>
      </c>
      <c r="AU158" s="750">
        <f t="shared" si="15"/>
        <v>550000</v>
      </c>
      <c r="AV158" s="771">
        <f t="shared" si="16"/>
        <v>50000</v>
      </c>
      <c r="AW158" s="752">
        <f t="shared" si="12"/>
        <v>0</v>
      </c>
      <c r="AY158" s="753"/>
    </row>
    <row r="159" spans="1:51" s="752" customFormat="1">
      <c r="A159" s="743">
        <f t="shared" si="17"/>
        <v>155</v>
      </c>
      <c r="B159" s="762"/>
      <c r="C159" s="757" t="s">
        <v>1377</v>
      </c>
      <c r="D159" s="746" t="s">
        <v>1502</v>
      </c>
      <c r="E159" s="747">
        <f t="shared" si="13"/>
        <v>880000</v>
      </c>
      <c r="F159" s="750">
        <v>50000</v>
      </c>
      <c r="G159" s="750"/>
      <c r="H159" s="750">
        <v>50000</v>
      </c>
      <c r="I159" s="750"/>
      <c r="J159" s="750">
        <v>50000</v>
      </c>
      <c r="K159" s="750"/>
      <c r="L159" s="750">
        <v>50000</v>
      </c>
      <c r="M159" s="750"/>
      <c r="N159" s="750">
        <v>50000</v>
      </c>
      <c r="O159" s="750"/>
      <c r="P159" s="750">
        <v>50000</v>
      </c>
      <c r="Q159" s="750"/>
      <c r="R159" s="750">
        <v>50000</v>
      </c>
      <c r="S159" s="750"/>
      <c r="T159" s="750">
        <v>50000</v>
      </c>
      <c r="U159" s="750"/>
      <c r="V159" s="751">
        <v>0</v>
      </c>
      <c r="W159" s="751">
        <v>50000</v>
      </c>
      <c r="X159" s="751">
        <v>0</v>
      </c>
      <c r="Y159" s="751">
        <v>50000</v>
      </c>
      <c r="Z159" s="751">
        <v>0</v>
      </c>
      <c r="AA159" s="751">
        <v>50000</v>
      </c>
      <c r="AB159" s="750">
        <v>50000</v>
      </c>
      <c r="AC159" s="750"/>
      <c r="AD159" s="751">
        <v>0</v>
      </c>
      <c r="AE159" s="751">
        <v>50000</v>
      </c>
      <c r="AF159" s="751">
        <v>0</v>
      </c>
      <c r="AG159" s="751">
        <v>50000</v>
      </c>
      <c r="AH159" s="751">
        <v>0</v>
      </c>
      <c r="AI159" s="751">
        <v>50000</v>
      </c>
      <c r="AJ159" s="751">
        <v>0</v>
      </c>
      <c r="AK159" s="751">
        <v>50000</v>
      </c>
      <c r="AL159" s="751">
        <v>0</v>
      </c>
      <c r="AM159" s="751">
        <v>40000</v>
      </c>
      <c r="AN159" s="751">
        <v>0</v>
      </c>
      <c r="AO159" s="751">
        <v>40000</v>
      </c>
      <c r="AP159" s="750">
        <v>0</v>
      </c>
      <c r="AQ159" s="750"/>
      <c r="AR159" s="751">
        <v>0</v>
      </c>
      <c r="AS159" s="751">
        <v>40000</v>
      </c>
      <c r="AT159" s="769">
        <f t="shared" si="14"/>
        <v>470000</v>
      </c>
      <c r="AU159" s="750">
        <f t="shared" si="15"/>
        <v>410000</v>
      </c>
      <c r="AV159" s="771">
        <f t="shared" si="16"/>
        <v>470000</v>
      </c>
      <c r="AW159" s="752">
        <f t="shared" si="12"/>
        <v>0</v>
      </c>
      <c r="AY159" s="753"/>
    </row>
    <row r="160" spans="1:51" s="752" customFormat="1">
      <c r="A160" s="743">
        <f t="shared" si="17"/>
        <v>156</v>
      </c>
      <c r="B160" s="762"/>
      <c r="C160" s="757" t="s">
        <v>1378</v>
      </c>
      <c r="D160" s="746" t="s">
        <v>1503</v>
      </c>
      <c r="E160" s="747">
        <f t="shared" si="13"/>
        <v>600000</v>
      </c>
      <c r="F160" s="750">
        <v>50000</v>
      </c>
      <c r="G160" s="750"/>
      <c r="H160" s="750">
        <v>50000</v>
      </c>
      <c r="I160" s="750"/>
      <c r="J160" s="750">
        <v>50000</v>
      </c>
      <c r="K160" s="750"/>
      <c r="L160" s="750">
        <v>50000</v>
      </c>
      <c r="M160" s="750"/>
      <c r="N160" s="750">
        <v>50000</v>
      </c>
      <c r="O160" s="750"/>
      <c r="P160" s="750">
        <v>50000</v>
      </c>
      <c r="Q160" s="750"/>
      <c r="R160" s="750">
        <v>50000</v>
      </c>
      <c r="S160" s="750"/>
      <c r="T160" s="751">
        <v>0</v>
      </c>
      <c r="U160" s="751">
        <v>50000</v>
      </c>
      <c r="V160" s="750">
        <v>50000</v>
      </c>
      <c r="W160" s="750"/>
      <c r="X160" s="750">
        <v>50000</v>
      </c>
      <c r="Y160" s="750"/>
      <c r="Z160" s="750">
        <v>50000</v>
      </c>
      <c r="AA160" s="750"/>
      <c r="AB160" s="750">
        <v>50000</v>
      </c>
      <c r="AC160" s="750"/>
      <c r="AD160" s="750">
        <v>0</v>
      </c>
      <c r="AE160" s="750"/>
      <c r="AF160" s="750">
        <v>0</v>
      </c>
      <c r="AG160" s="750"/>
      <c r="AH160" s="750"/>
      <c r="AI160" s="750"/>
      <c r="AJ160" s="750">
        <v>0</v>
      </c>
      <c r="AK160" s="750"/>
      <c r="AL160" s="750">
        <v>0</v>
      </c>
      <c r="AM160" s="750"/>
      <c r="AN160" s="750">
        <v>0</v>
      </c>
      <c r="AO160" s="750"/>
      <c r="AP160" s="750">
        <v>0</v>
      </c>
      <c r="AQ160" s="750"/>
      <c r="AR160" s="750">
        <v>0</v>
      </c>
      <c r="AS160" s="750"/>
      <c r="AT160" s="769">
        <f t="shared" si="14"/>
        <v>50000</v>
      </c>
      <c r="AU160" s="750">
        <f t="shared" si="15"/>
        <v>550000</v>
      </c>
      <c r="AV160" s="771">
        <f t="shared" si="16"/>
        <v>50000</v>
      </c>
      <c r="AW160" s="752">
        <f t="shared" si="12"/>
        <v>0</v>
      </c>
      <c r="AY160" s="753"/>
    </row>
    <row r="161" spans="1:51" s="752" customFormat="1">
      <c r="A161" s="743">
        <f t="shared" si="17"/>
        <v>157</v>
      </c>
      <c r="B161" s="762"/>
      <c r="C161" s="757" t="s">
        <v>1379</v>
      </c>
      <c r="D161" s="746" t="s">
        <v>1504</v>
      </c>
      <c r="E161" s="747">
        <f t="shared" si="13"/>
        <v>830000</v>
      </c>
      <c r="F161" s="750">
        <v>50000</v>
      </c>
      <c r="G161" s="750"/>
      <c r="H161" s="750">
        <v>50000</v>
      </c>
      <c r="I161" s="750"/>
      <c r="J161" s="750">
        <v>50000</v>
      </c>
      <c r="K161" s="750"/>
      <c r="L161" s="750">
        <v>50000</v>
      </c>
      <c r="M161" s="750"/>
      <c r="N161" s="750">
        <v>50000</v>
      </c>
      <c r="O161" s="750"/>
      <c r="P161" s="750">
        <v>50000</v>
      </c>
      <c r="Q161" s="750"/>
      <c r="R161" s="750">
        <v>50000</v>
      </c>
      <c r="S161" s="750"/>
      <c r="T161" s="750">
        <v>0</v>
      </c>
      <c r="U161" s="750"/>
      <c r="V161" s="751">
        <v>0</v>
      </c>
      <c r="W161" s="751">
        <v>50000</v>
      </c>
      <c r="X161" s="751">
        <v>0</v>
      </c>
      <c r="Y161" s="751">
        <v>50000</v>
      </c>
      <c r="Z161" s="751">
        <v>0</v>
      </c>
      <c r="AA161" s="751">
        <v>50000</v>
      </c>
      <c r="AB161" s="751">
        <v>0</v>
      </c>
      <c r="AC161" s="751">
        <v>50000</v>
      </c>
      <c r="AD161" s="751">
        <v>0</v>
      </c>
      <c r="AE161" s="751">
        <v>50000</v>
      </c>
      <c r="AF161" s="751">
        <v>0</v>
      </c>
      <c r="AG161" s="751">
        <v>50000</v>
      </c>
      <c r="AH161" s="751">
        <v>0</v>
      </c>
      <c r="AI161" s="751">
        <v>50000</v>
      </c>
      <c r="AJ161" s="751">
        <v>0</v>
      </c>
      <c r="AK161" s="751">
        <v>50000</v>
      </c>
      <c r="AL161" s="751">
        <v>0</v>
      </c>
      <c r="AM161" s="751">
        <v>40000</v>
      </c>
      <c r="AN161" s="751">
        <v>0</v>
      </c>
      <c r="AO161" s="751">
        <v>40000</v>
      </c>
      <c r="AP161" s="750">
        <v>0</v>
      </c>
      <c r="AQ161" s="750"/>
      <c r="AR161" s="751">
        <v>0</v>
      </c>
      <c r="AS161" s="751">
        <v>40000</v>
      </c>
      <c r="AT161" s="769">
        <f t="shared" si="14"/>
        <v>520000</v>
      </c>
      <c r="AU161" s="750">
        <f t="shared" si="15"/>
        <v>310000</v>
      </c>
      <c r="AV161" s="771">
        <f t="shared" si="16"/>
        <v>520000</v>
      </c>
      <c r="AW161" s="752">
        <f t="shared" si="12"/>
        <v>0</v>
      </c>
      <c r="AY161" s="753"/>
    </row>
    <row r="162" spans="1:51" s="752" customFormat="1">
      <c r="A162" s="743">
        <f t="shared" si="17"/>
        <v>158</v>
      </c>
      <c r="B162" s="762"/>
      <c r="C162" s="757" t="s">
        <v>1380</v>
      </c>
      <c r="D162" s="746" t="s">
        <v>1505</v>
      </c>
      <c r="E162" s="747">
        <f t="shared" si="13"/>
        <v>650000</v>
      </c>
      <c r="F162" s="750">
        <v>50000</v>
      </c>
      <c r="G162" s="750"/>
      <c r="H162" s="750">
        <v>50000</v>
      </c>
      <c r="I162" s="750"/>
      <c r="J162" s="750">
        <v>50000</v>
      </c>
      <c r="K162" s="750"/>
      <c r="L162" s="750">
        <v>50000</v>
      </c>
      <c r="M162" s="750"/>
      <c r="N162" s="750">
        <v>50000</v>
      </c>
      <c r="O162" s="750"/>
      <c r="P162" s="750">
        <v>50000</v>
      </c>
      <c r="Q162" s="750"/>
      <c r="R162" s="750">
        <v>50000</v>
      </c>
      <c r="S162" s="750"/>
      <c r="T162" s="750">
        <v>50000</v>
      </c>
      <c r="U162" s="750"/>
      <c r="V162" s="750">
        <v>50000</v>
      </c>
      <c r="W162" s="750"/>
      <c r="X162" s="750">
        <v>50000</v>
      </c>
      <c r="Y162" s="750"/>
      <c r="Z162" s="750">
        <v>50000</v>
      </c>
      <c r="AA162" s="750"/>
      <c r="AB162" s="750">
        <v>50000</v>
      </c>
      <c r="AC162" s="750"/>
      <c r="AD162" s="751">
        <v>0</v>
      </c>
      <c r="AE162" s="751">
        <v>50000</v>
      </c>
      <c r="AF162" s="750">
        <v>0</v>
      </c>
      <c r="AG162" s="750"/>
      <c r="AH162" s="750"/>
      <c r="AI162" s="750"/>
      <c r="AJ162" s="750">
        <v>0</v>
      </c>
      <c r="AK162" s="750"/>
      <c r="AL162" s="750">
        <v>0</v>
      </c>
      <c r="AM162" s="750"/>
      <c r="AN162" s="750">
        <v>0</v>
      </c>
      <c r="AO162" s="750"/>
      <c r="AP162" s="750">
        <v>0</v>
      </c>
      <c r="AQ162" s="750"/>
      <c r="AR162" s="750">
        <v>0</v>
      </c>
      <c r="AS162" s="750"/>
      <c r="AT162" s="769">
        <f t="shared" si="14"/>
        <v>50000</v>
      </c>
      <c r="AU162" s="750">
        <f t="shared" si="15"/>
        <v>600000</v>
      </c>
      <c r="AV162" s="771">
        <f t="shared" si="16"/>
        <v>50000</v>
      </c>
      <c r="AW162" s="752">
        <f t="shared" si="12"/>
        <v>0</v>
      </c>
      <c r="AY162" s="753"/>
    </row>
    <row r="163" spans="1:51" s="752" customFormat="1">
      <c r="A163" s="743">
        <f t="shared" si="17"/>
        <v>159</v>
      </c>
      <c r="B163" s="762"/>
      <c r="C163" s="757" t="s">
        <v>1381</v>
      </c>
      <c r="D163" s="746" t="s">
        <v>2034</v>
      </c>
      <c r="E163" s="747">
        <f t="shared" si="13"/>
        <v>880000</v>
      </c>
      <c r="F163" s="750">
        <v>50000</v>
      </c>
      <c r="G163" s="750"/>
      <c r="H163" s="750">
        <v>50000</v>
      </c>
      <c r="I163" s="750"/>
      <c r="J163" s="750">
        <v>50000</v>
      </c>
      <c r="K163" s="750"/>
      <c r="L163" s="750">
        <v>50000</v>
      </c>
      <c r="M163" s="750"/>
      <c r="N163" s="750">
        <v>50000</v>
      </c>
      <c r="O163" s="750"/>
      <c r="P163" s="750">
        <v>50000</v>
      </c>
      <c r="Q163" s="750"/>
      <c r="R163" s="750">
        <v>50000</v>
      </c>
      <c r="S163" s="750"/>
      <c r="T163" s="750">
        <v>50000</v>
      </c>
      <c r="U163" s="750"/>
      <c r="V163" s="751">
        <v>0</v>
      </c>
      <c r="W163" s="751">
        <v>50000</v>
      </c>
      <c r="X163" s="751">
        <v>0</v>
      </c>
      <c r="Y163" s="751">
        <v>50000</v>
      </c>
      <c r="Z163" s="751">
        <v>0</v>
      </c>
      <c r="AA163" s="751">
        <v>50000</v>
      </c>
      <c r="AB163" s="751">
        <v>0</v>
      </c>
      <c r="AC163" s="751">
        <v>50000</v>
      </c>
      <c r="AD163" s="751">
        <v>0</v>
      </c>
      <c r="AE163" s="751">
        <v>50000</v>
      </c>
      <c r="AF163" s="751">
        <v>0</v>
      </c>
      <c r="AG163" s="751">
        <v>50000</v>
      </c>
      <c r="AH163" s="751">
        <v>0</v>
      </c>
      <c r="AI163" s="751">
        <v>50000</v>
      </c>
      <c r="AJ163" s="751">
        <v>0</v>
      </c>
      <c r="AK163" s="751">
        <v>50000</v>
      </c>
      <c r="AL163" s="751">
        <v>0</v>
      </c>
      <c r="AM163" s="751">
        <v>40000</v>
      </c>
      <c r="AN163" s="751">
        <v>0</v>
      </c>
      <c r="AO163" s="751">
        <v>40000</v>
      </c>
      <c r="AP163" s="750">
        <v>0</v>
      </c>
      <c r="AQ163" s="750"/>
      <c r="AR163" s="751">
        <v>0</v>
      </c>
      <c r="AS163" s="751">
        <v>40000</v>
      </c>
      <c r="AT163" s="769">
        <f t="shared" si="14"/>
        <v>520000</v>
      </c>
      <c r="AU163" s="750">
        <f t="shared" si="15"/>
        <v>360000</v>
      </c>
      <c r="AV163" s="771">
        <f t="shared" si="16"/>
        <v>520000</v>
      </c>
      <c r="AW163" s="752">
        <f t="shared" si="12"/>
        <v>0</v>
      </c>
      <c r="AY163" s="753"/>
    </row>
    <row r="164" spans="1:51" s="752" customFormat="1">
      <c r="A164" s="743">
        <f t="shared" si="17"/>
        <v>160</v>
      </c>
      <c r="B164" s="762"/>
      <c r="C164" s="757" t="s">
        <v>1382</v>
      </c>
      <c r="D164" s="746" t="s">
        <v>1506</v>
      </c>
      <c r="E164" s="747">
        <f t="shared" si="13"/>
        <v>880000</v>
      </c>
      <c r="F164" s="750">
        <v>50000</v>
      </c>
      <c r="G164" s="750"/>
      <c r="H164" s="750">
        <v>50000</v>
      </c>
      <c r="I164" s="750"/>
      <c r="J164" s="750">
        <v>50000</v>
      </c>
      <c r="K164" s="750"/>
      <c r="L164" s="750">
        <v>50000</v>
      </c>
      <c r="M164" s="750"/>
      <c r="N164" s="750">
        <v>50000</v>
      </c>
      <c r="O164" s="750"/>
      <c r="P164" s="750">
        <v>50000</v>
      </c>
      <c r="Q164" s="750"/>
      <c r="R164" s="750">
        <v>50000</v>
      </c>
      <c r="S164" s="750"/>
      <c r="T164" s="750">
        <v>50000</v>
      </c>
      <c r="U164" s="750"/>
      <c r="V164" s="751">
        <v>0</v>
      </c>
      <c r="W164" s="751">
        <v>50000</v>
      </c>
      <c r="X164" s="751">
        <v>0</v>
      </c>
      <c r="Y164" s="751">
        <v>50000</v>
      </c>
      <c r="Z164" s="751">
        <v>0</v>
      </c>
      <c r="AA164" s="751">
        <v>50000</v>
      </c>
      <c r="AB164" s="751">
        <v>0</v>
      </c>
      <c r="AC164" s="751">
        <v>50000</v>
      </c>
      <c r="AD164" s="751">
        <v>0</v>
      </c>
      <c r="AE164" s="751">
        <v>50000</v>
      </c>
      <c r="AF164" s="751">
        <v>0</v>
      </c>
      <c r="AG164" s="751">
        <v>50000</v>
      </c>
      <c r="AH164" s="751">
        <v>0</v>
      </c>
      <c r="AI164" s="751">
        <v>50000</v>
      </c>
      <c r="AJ164" s="751">
        <v>0</v>
      </c>
      <c r="AK164" s="751">
        <v>50000</v>
      </c>
      <c r="AL164" s="751">
        <v>0</v>
      </c>
      <c r="AM164" s="751">
        <v>40000</v>
      </c>
      <c r="AN164" s="751">
        <v>0</v>
      </c>
      <c r="AO164" s="751">
        <v>40000</v>
      </c>
      <c r="AP164" s="750">
        <v>0</v>
      </c>
      <c r="AQ164" s="750"/>
      <c r="AR164" s="751">
        <v>0</v>
      </c>
      <c r="AS164" s="751">
        <v>40000</v>
      </c>
      <c r="AT164" s="769">
        <f t="shared" si="14"/>
        <v>520000</v>
      </c>
      <c r="AU164" s="750">
        <f t="shared" si="15"/>
        <v>360000</v>
      </c>
      <c r="AV164" s="771">
        <f t="shared" si="16"/>
        <v>520000</v>
      </c>
      <c r="AW164" s="752">
        <f t="shared" si="12"/>
        <v>0</v>
      </c>
      <c r="AY164" s="753"/>
    </row>
    <row r="165" spans="1:51" s="725" customFormat="1">
      <c r="A165" s="738">
        <f t="shared" si="17"/>
        <v>161</v>
      </c>
      <c r="B165" s="726"/>
      <c r="C165" s="758" t="s">
        <v>1383</v>
      </c>
      <c r="D165" s="731" t="s">
        <v>1507</v>
      </c>
      <c r="E165" s="727">
        <f t="shared" si="13"/>
        <v>920000</v>
      </c>
      <c r="F165" s="729">
        <v>50000</v>
      </c>
      <c r="G165" s="729"/>
      <c r="H165" s="729">
        <v>50000</v>
      </c>
      <c r="I165" s="729"/>
      <c r="J165" s="729">
        <v>50000</v>
      </c>
      <c r="K165" s="729"/>
      <c r="L165" s="729">
        <v>50000</v>
      </c>
      <c r="M165" s="729"/>
      <c r="N165" s="729">
        <v>50000</v>
      </c>
      <c r="O165" s="729"/>
      <c r="P165" s="729">
        <v>50000</v>
      </c>
      <c r="Q165" s="729"/>
      <c r="R165" s="729">
        <v>50000</v>
      </c>
      <c r="S165" s="729"/>
      <c r="T165" s="729">
        <v>50000</v>
      </c>
      <c r="U165" s="729"/>
      <c r="V165" s="729">
        <v>50000</v>
      </c>
      <c r="W165" s="729"/>
      <c r="X165" s="729">
        <v>50000</v>
      </c>
      <c r="Y165" s="729"/>
      <c r="Z165" s="729">
        <v>50000</v>
      </c>
      <c r="AA165" s="729"/>
      <c r="AB165" s="741">
        <v>0</v>
      </c>
      <c r="AC165" s="741">
        <v>50000</v>
      </c>
      <c r="AD165" s="741">
        <v>0</v>
      </c>
      <c r="AE165" s="741">
        <v>50000</v>
      </c>
      <c r="AF165" s="741">
        <v>0</v>
      </c>
      <c r="AG165" s="741">
        <v>50000</v>
      </c>
      <c r="AH165" s="741">
        <v>0</v>
      </c>
      <c r="AI165" s="741">
        <v>50000</v>
      </c>
      <c r="AJ165" s="741">
        <v>0</v>
      </c>
      <c r="AK165" s="741">
        <v>50000</v>
      </c>
      <c r="AL165" s="741">
        <v>0</v>
      </c>
      <c r="AM165" s="751">
        <v>40000</v>
      </c>
      <c r="AN165" s="741">
        <v>0</v>
      </c>
      <c r="AO165" s="751">
        <v>40000</v>
      </c>
      <c r="AP165" s="741">
        <v>0</v>
      </c>
      <c r="AQ165" s="751">
        <v>40000</v>
      </c>
      <c r="AR165" s="741">
        <v>0</v>
      </c>
      <c r="AS165" s="751">
        <v>40000</v>
      </c>
      <c r="AT165" s="769">
        <f t="shared" si="14"/>
        <v>410000</v>
      </c>
      <c r="AU165" s="729">
        <f t="shared" si="15"/>
        <v>510000</v>
      </c>
      <c r="AV165" s="771">
        <f t="shared" si="16"/>
        <v>410000</v>
      </c>
      <c r="AW165" s="725">
        <f t="shared" si="12"/>
        <v>0</v>
      </c>
      <c r="AY165" s="742"/>
    </row>
    <row r="166" spans="1:51" s="725" customFormat="1">
      <c r="A166" s="738">
        <f t="shared" si="17"/>
        <v>162</v>
      </c>
      <c r="B166" s="726"/>
      <c r="C166" s="758" t="s">
        <v>1384</v>
      </c>
      <c r="D166" s="731" t="s">
        <v>2035</v>
      </c>
      <c r="E166" s="727">
        <f t="shared" si="13"/>
        <v>650000</v>
      </c>
      <c r="F166" s="729">
        <v>50000</v>
      </c>
      <c r="G166" s="729"/>
      <c r="H166" s="729">
        <v>50000</v>
      </c>
      <c r="I166" s="729"/>
      <c r="J166" s="729">
        <v>50000</v>
      </c>
      <c r="K166" s="729"/>
      <c r="L166" s="729">
        <v>50000</v>
      </c>
      <c r="M166" s="729"/>
      <c r="N166" s="729">
        <v>50000</v>
      </c>
      <c r="O166" s="729"/>
      <c r="P166" s="729">
        <v>50000</v>
      </c>
      <c r="Q166" s="729"/>
      <c r="R166" s="729">
        <v>50000</v>
      </c>
      <c r="S166" s="729"/>
      <c r="T166" s="729">
        <v>50000</v>
      </c>
      <c r="U166" s="729"/>
      <c r="V166" s="729">
        <v>50000</v>
      </c>
      <c r="W166" s="729"/>
      <c r="X166" s="729">
        <v>50000</v>
      </c>
      <c r="Y166" s="729"/>
      <c r="Z166" s="729">
        <v>50000</v>
      </c>
      <c r="AA166" s="729"/>
      <c r="AB166" s="729">
        <v>50000</v>
      </c>
      <c r="AC166" s="729"/>
      <c r="AD166" s="741">
        <v>0</v>
      </c>
      <c r="AE166" s="741">
        <v>50000</v>
      </c>
      <c r="AF166" s="729">
        <v>0</v>
      </c>
      <c r="AG166" s="729"/>
      <c r="AH166" s="729"/>
      <c r="AI166" s="729"/>
      <c r="AJ166" s="729">
        <v>0</v>
      </c>
      <c r="AK166" s="729"/>
      <c r="AL166" s="729">
        <v>0</v>
      </c>
      <c r="AM166" s="729"/>
      <c r="AN166" s="729">
        <v>0</v>
      </c>
      <c r="AO166" s="729"/>
      <c r="AP166" s="729">
        <v>0</v>
      </c>
      <c r="AQ166" s="729"/>
      <c r="AR166" s="729">
        <v>0</v>
      </c>
      <c r="AS166" s="729"/>
      <c r="AT166" s="769">
        <f t="shared" si="14"/>
        <v>50000</v>
      </c>
      <c r="AU166" s="729">
        <f t="shared" si="15"/>
        <v>600000</v>
      </c>
      <c r="AV166" s="771">
        <f t="shared" si="16"/>
        <v>50000</v>
      </c>
      <c r="AW166" s="725">
        <f t="shared" si="12"/>
        <v>0</v>
      </c>
      <c r="AY166" s="742"/>
    </row>
    <row r="167" spans="1:51" s="725" customFormat="1">
      <c r="A167" s="738">
        <f t="shared" si="17"/>
        <v>163</v>
      </c>
      <c r="B167" s="726"/>
      <c r="C167" s="758" t="s">
        <v>1385</v>
      </c>
      <c r="D167" s="731" t="s">
        <v>2036</v>
      </c>
      <c r="E167" s="727">
        <f t="shared" si="13"/>
        <v>920000</v>
      </c>
      <c r="F167" s="729">
        <v>50000</v>
      </c>
      <c r="G167" s="729"/>
      <c r="H167" s="729">
        <v>50000</v>
      </c>
      <c r="I167" s="729"/>
      <c r="J167" s="729">
        <v>50000</v>
      </c>
      <c r="K167" s="729"/>
      <c r="L167" s="729">
        <v>50000</v>
      </c>
      <c r="M167" s="729"/>
      <c r="N167" s="729">
        <v>50000</v>
      </c>
      <c r="O167" s="729"/>
      <c r="P167" s="729">
        <v>50000</v>
      </c>
      <c r="Q167" s="729"/>
      <c r="R167" s="729">
        <v>50000</v>
      </c>
      <c r="S167" s="729"/>
      <c r="T167" s="729">
        <v>50000</v>
      </c>
      <c r="U167" s="729"/>
      <c r="V167" s="729">
        <v>50000</v>
      </c>
      <c r="W167" s="729"/>
      <c r="X167" s="729">
        <v>50000</v>
      </c>
      <c r="Y167" s="729"/>
      <c r="Z167" s="729">
        <v>50000</v>
      </c>
      <c r="AA167" s="729"/>
      <c r="AB167" s="729">
        <v>50000</v>
      </c>
      <c r="AC167" s="729"/>
      <c r="AD167" s="741">
        <v>0</v>
      </c>
      <c r="AE167" s="741">
        <v>50000</v>
      </c>
      <c r="AF167" s="741">
        <v>0</v>
      </c>
      <c r="AG167" s="741">
        <v>50000</v>
      </c>
      <c r="AH167" s="741">
        <v>0</v>
      </c>
      <c r="AI167" s="741">
        <v>50000</v>
      </c>
      <c r="AJ167" s="741">
        <v>0</v>
      </c>
      <c r="AK167" s="741">
        <v>50000</v>
      </c>
      <c r="AL167" s="741">
        <v>0</v>
      </c>
      <c r="AM167" s="751">
        <v>40000</v>
      </c>
      <c r="AN167" s="741">
        <v>0</v>
      </c>
      <c r="AO167" s="751">
        <v>40000</v>
      </c>
      <c r="AP167" s="741">
        <v>0</v>
      </c>
      <c r="AQ167" s="751">
        <v>40000</v>
      </c>
      <c r="AR167" s="741">
        <v>0</v>
      </c>
      <c r="AS167" s="751">
        <v>40000</v>
      </c>
      <c r="AT167" s="769">
        <f t="shared" si="14"/>
        <v>360000</v>
      </c>
      <c r="AU167" s="729">
        <f t="shared" si="15"/>
        <v>560000</v>
      </c>
      <c r="AV167" s="771">
        <f t="shared" si="16"/>
        <v>360000</v>
      </c>
      <c r="AW167" s="725">
        <f t="shared" si="12"/>
        <v>0</v>
      </c>
      <c r="AY167" s="742"/>
    </row>
    <row r="168" spans="1:51" s="725" customFormat="1">
      <c r="A168" s="738">
        <f t="shared" si="17"/>
        <v>164</v>
      </c>
      <c r="B168" s="726"/>
      <c r="C168" s="758" t="s">
        <v>1386</v>
      </c>
      <c r="D168" s="731" t="s">
        <v>2037</v>
      </c>
      <c r="E168" s="727">
        <f t="shared" si="13"/>
        <v>880000</v>
      </c>
      <c r="F168" s="729">
        <v>50000</v>
      </c>
      <c r="G168" s="729"/>
      <c r="H168" s="729">
        <v>50000</v>
      </c>
      <c r="I168" s="729"/>
      <c r="J168" s="729">
        <v>50000</v>
      </c>
      <c r="K168" s="729"/>
      <c r="L168" s="729">
        <v>50000</v>
      </c>
      <c r="M168" s="729"/>
      <c r="N168" s="729">
        <v>50000</v>
      </c>
      <c r="O168" s="729"/>
      <c r="P168" s="729">
        <v>50000</v>
      </c>
      <c r="Q168" s="729"/>
      <c r="R168" s="729">
        <v>50000</v>
      </c>
      <c r="S168" s="729"/>
      <c r="T168" s="729">
        <v>50000</v>
      </c>
      <c r="U168" s="729"/>
      <c r="V168" s="729">
        <v>50000</v>
      </c>
      <c r="W168" s="729"/>
      <c r="X168" s="729">
        <v>50000</v>
      </c>
      <c r="Y168" s="729"/>
      <c r="Z168" s="729">
        <v>50000</v>
      </c>
      <c r="AA168" s="729"/>
      <c r="AB168" s="729">
        <v>50000</v>
      </c>
      <c r="AC168" s="729"/>
      <c r="AD168" s="741">
        <v>0</v>
      </c>
      <c r="AE168" s="741">
        <v>50000</v>
      </c>
      <c r="AF168" s="741">
        <v>0</v>
      </c>
      <c r="AG168" s="741">
        <v>50000</v>
      </c>
      <c r="AH168" s="741">
        <v>0</v>
      </c>
      <c r="AI168" s="741">
        <v>50000</v>
      </c>
      <c r="AJ168" s="741">
        <v>0</v>
      </c>
      <c r="AK168" s="741">
        <v>50000</v>
      </c>
      <c r="AL168" s="741">
        <v>0</v>
      </c>
      <c r="AM168" s="751">
        <v>40000</v>
      </c>
      <c r="AN168" s="741">
        <v>0</v>
      </c>
      <c r="AO168" s="751">
        <v>40000</v>
      </c>
      <c r="AP168" s="729">
        <v>0</v>
      </c>
      <c r="AQ168" s="729"/>
      <c r="AR168" s="741">
        <v>0</v>
      </c>
      <c r="AS168" s="751">
        <v>40000</v>
      </c>
      <c r="AT168" s="769">
        <f t="shared" si="14"/>
        <v>320000</v>
      </c>
      <c r="AU168" s="729">
        <f t="shared" si="15"/>
        <v>560000</v>
      </c>
      <c r="AV168" s="771">
        <f t="shared" si="16"/>
        <v>320000</v>
      </c>
      <c r="AW168" s="725">
        <f t="shared" si="12"/>
        <v>0</v>
      </c>
      <c r="AY168" s="742"/>
    </row>
    <row r="169" spans="1:51" s="725" customFormat="1">
      <c r="A169" s="738">
        <f t="shared" si="17"/>
        <v>165</v>
      </c>
      <c r="B169" s="726"/>
      <c r="C169" s="758" t="s">
        <v>1387</v>
      </c>
      <c r="D169" s="731" t="s">
        <v>2038</v>
      </c>
      <c r="E169" s="727">
        <f t="shared" si="13"/>
        <v>920000</v>
      </c>
      <c r="F169" s="729">
        <v>50000</v>
      </c>
      <c r="G169" s="729"/>
      <c r="H169" s="729">
        <v>50000</v>
      </c>
      <c r="I169" s="729"/>
      <c r="J169" s="729">
        <v>50000</v>
      </c>
      <c r="K169" s="729"/>
      <c r="L169" s="729">
        <v>50000</v>
      </c>
      <c r="M169" s="729"/>
      <c r="N169" s="729">
        <v>50000</v>
      </c>
      <c r="O169" s="729"/>
      <c r="P169" s="729">
        <v>50000</v>
      </c>
      <c r="Q169" s="729"/>
      <c r="R169" s="729">
        <v>50000</v>
      </c>
      <c r="S169" s="729"/>
      <c r="T169" s="729">
        <v>50000</v>
      </c>
      <c r="U169" s="729"/>
      <c r="V169" s="741">
        <v>0</v>
      </c>
      <c r="W169" s="741">
        <v>50000</v>
      </c>
      <c r="X169" s="729">
        <v>50000</v>
      </c>
      <c r="Y169" s="729"/>
      <c r="Z169" s="729">
        <v>50000</v>
      </c>
      <c r="AA169" s="729"/>
      <c r="AB169" s="729">
        <v>50000</v>
      </c>
      <c r="AC169" s="729"/>
      <c r="AD169" s="741">
        <v>0</v>
      </c>
      <c r="AE169" s="741">
        <v>50000</v>
      </c>
      <c r="AF169" s="741">
        <v>0</v>
      </c>
      <c r="AG169" s="741">
        <v>50000</v>
      </c>
      <c r="AH169" s="741">
        <v>0</v>
      </c>
      <c r="AI169" s="741">
        <v>50000</v>
      </c>
      <c r="AJ169" s="741">
        <v>0</v>
      </c>
      <c r="AK169" s="741">
        <v>50000</v>
      </c>
      <c r="AL169" s="741">
        <v>0</v>
      </c>
      <c r="AM169" s="751">
        <v>40000</v>
      </c>
      <c r="AN169" s="741">
        <v>0</v>
      </c>
      <c r="AO169" s="751">
        <v>40000</v>
      </c>
      <c r="AP169" s="741">
        <v>0</v>
      </c>
      <c r="AQ169" s="751">
        <v>40000</v>
      </c>
      <c r="AR169" s="741">
        <v>0</v>
      </c>
      <c r="AS169" s="751">
        <v>40000</v>
      </c>
      <c r="AT169" s="769">
        <f t="shared" si="14"/>
        <v>410000</v>
      </c>
      <c r="AU169" s="729">
        <f t="shared" si="15"/>
        <v>510000</v>
      </c>
      <c r="AV169" s="771">
        <f t="shared" si="16"/>
        <v>410000</v>
      </c>
      <c r="AW169" s="725">
        <f t="shared" si="12"/>
        <v>0</v>
      </c>
      <c r="AY169" s="742"/>
    </row>
    <row r="170" spans="1:51" s="725" customFormat="1" hidden="1">
      <c r="A170" s="738">
        <f t="shared" si="17"/>
        <v>166</v>
      </c>
      <c r="B170" s="726"/>
      <c r="C170" s="758" t="s">
        <v>1388</v>
      </c>
      <c r="D170" s="731" t="s">
        <v>1508</v>
      </c>
      <c r="E170" s="727">
        <f t="shared" si="13"/>
        <v>600000</v>
      </c>
      <c r="F170" s="729">
        <v>50000</v>
      </c>
      <c r="G170" s="729"/>
      <c r="H170" s="729">
        <v>50000</v>
      </c>
      <c r="I170" s="729"/>
      <c r="J170" s="729">
        <v>50000</v>
      </c>
      <c r="K170" s="729"/>
      <c r="L170" s="729">
        <v>50000</v>
      </c>
      <c r="M170" s="729"/>
      <c r="N170" s="729">
        <v>50000</v>
      </c>
      <c r="O170" s="729"/>
      <c r="P170" s="729">
        <v>50000</v>
      </c>
      <c r="Q170" s="729"/>
      <c r="R170" s="729">
        <v>50000</v>
      </c>
      <c r="S170" s="729"/>
      <c r="T170" s="729">
        <v>50000</v>
      </c>
      <c r="U170" s="729"/>
      <c r="V170" s="729">
        <v>50000</v>
      </c>
      <c r="W170" s="729"/>
      <c r="X170" s="729">
        <v>50000</v>
      </c>
      <c r="Y170" s="729"/>
      <c r="Z170" s="729">
        <v>50000</v>
      </c>
      <c r="AA170" s="729"/>
      <c r="AB170" s="729">
        <v>50000</v>
      </c>
      <c r="AC170" s="729"/>
      <c r="AD170" s="729">
        <v>0</v>
      </c>
      <c r="AE170" s="729"/>
      <c r="AF170" s="729">
        <v>0</v>
      </c>
      <c r="AG170" s="729"/>
      <c r="AH170" s="729"/>
      <c r="AI170" s="729"/>
      <c r="AJ170" s="729">
        <v>0</v>
      </c>
      <c r="AK170" s="729"/>
      <c r="AL170" s="729">
        <v>0</v>
      </c>
      <c r="AM170" s="729"/>
      <c r="AN170" s="729">
        <v>0</v>
      </c>
      <c r="AO170" s="729"/>
      <c r="AP170" s="729">
        <v>0</v>
      </c>
      <c r="AQ170" s="729"/>
      <c r="AR170" s="729">
        <v>0</v>
      </c>
      <c r="AS170" s="729"/>
      <c r="AT170" s="769">
        <f t="shared" si="14"/>
        <v>0</v>
      </c>
      <c r="AU170" s="729">
        <f t="shared" si="15"/>
        <v>600000</v>
      </c>
      <c r="AV170" s="769">
        <f t="shared" si="16"/>
        <v>0</v>
      </c>
      <c r="AW170" s="725">
        <f t="shared" si="12"/>
        <v>0</v>
      </c>
      <c r="AY170" s="742"/>
    </row>
    <row r="171" spans="1:51" s="725" customFormat="1">
      <c r="A171" s="738">
        <f t="shared" si="17"/>
        <v>167</v>
      </c>
      <c r="B171" s="726"/>
      <c r="C171" s="758" t="s">
        <v>1389</v>
      </c>
      <c r="D171" s="731" t="s">
        <v>1509</v>
      </c>
      <c r="E171" s="727">
        <f t="shared" si="13"/>
        <v>250000</v>
      </c>
      <c r="F171" s="729">
        <v>0</v>
      </c>
      <c r="G171" s="729"/>
      <c r="H171" s="729">
        <v>0</v>
      </c>
      <c r="I171" s="729"/>
      <c r="J171" s="729">
        <v>0</v>
      </c>
      <c r="K171" s="729"/>
      <c r="L171" s="741">
        <v>0</v>
      </c>
      <c r="M171" s="741">
        <v>50000</v>
      </c>
      <c r="N171" s="729">
        <v>50000</v>
      </c>
      <c r="O171" s="729"/>
      <c r="P171" s="729">
        <v>50000</v>
      </c>
      <c r="Q171" s="729"/>
      <c r="R171" s="729">
        <v>50000</v>
      </c>
      <c r="S171" s="729"/>
      <c r="T171" s="729">
        <v>50000</v>
      </c>
      <c r="U171" s="729"/>
      <c r="V171" s="729">
        <v>0</v>
      </c>
      <c r="W171" s="729"/>
      <c r="X171" s="729">
        <v>0</v>
      </c>
      <c r="Y171" s="729"/>
      <c r="Z171" s="729">
        <v>0</v>
      </c>
      <c r="AA171" s="729"/>
      <c r="AB171" s="729">
        <v>0</v>
      </c>
      <c r="AC171" s="729"/>
      <c r="AD171" s="729">
        <v>0</v>
      </c>
      <c r="AE171" s="729"/>
      <c r="AF171" s="729">
        <v>0</v>
      </c>
      <c r="AG171" s="729"/>
      <c r="AH171" s="729"/>
      <c r="AI171" s="729"/>
      <c r="AJ171" s="729">
        <v>0</v>
      </c>
      <c r="AK171" s="729"/>
      <c r="AL171" s="729">
        <v>0</v>
      </c>
      <c r="AM171" s="729"/>
      <c r="AN171" s="729">
        <v>0</v>
      </c>
      <c r="AO171" s="729"/>
      <c r="AP171" s="729">
        <v>0</v>
      </c>
      <c r="AQ171" s="729"/>
      <c r="AR171" s="729">
        <v>0</v>
      </c>
      <c r="AS171" s="729"/>
      <c r="AT171" s="769">
        <f t="shared" si="14"/>
        <v>50000</v>
      </c>
      <c r="AU171" s="729">
        <f t="shared" si="15"/>
        <v>200000</v>
      </c>
      <c r="AV171" s="771">
        <f t="shared" si="16"/>
        <v>50000</v>
      </c>
      <c r="AW171" s="725">
        <f t="shared" si="12"/>
        <v>0</v>
      </c>
      <c r="AY171" s="742"/>
    </row>
    <row r="172" spans="1:51" s="725" customFormat="1">
      <c r="A172" s="738">
        <f t="shared" si="17"/>
        <v>168</v>
      </c>
      <c r="B172" s="726"/>
      <c r="C172" s="758" t="s">
        <v>1390</v>
      </c>
      <c r="D172" s="731" t="s">
        <v>1510</v>
      </c>
      <c r="E172" s="727">
        <f t="shared" si="13"/>
        <v>770000</v>
      </c>
      <c r="F172" s="729">
        <v>0</v>
      </c>
      <c r="G172" s="729"/>
      <c r="H172" s="729">
        <v>0</v>
      </c>
      <c r="I172" s="729"/>
      <c r="J172" s="729">
        <v>0</v>
      </c>
      <c r="K172" s="729"/>
      <c r="L172" s="741">
        <v>0</v>
      </c>
      <c r="M172" s="741">
        <v>50000</v>
      </c>
      <c r="N172" s="729">
        <v>50000</v>
      </c>
      <c r="O172" s="729"/>
      <c r="P172" s="729">
        <v>50000</v>
      </c>
      <c r="Q172" s="729"/>
      <c r="R172" s="729">
        <v>50000</v>
      </c>
      <c r="S172" s="729"/>
      <c r="T172" s="729">
        <v>50000</v>
      </c>
      <c r="U172" s="729"/>
      <c r="V172" s="729">
        <v>50000</v>
      </c>
      <c r="W172" s="729"/>
      <c r="X172" s="729">
        <v>50000</v>
      </c>
      <c r="Y172" s="729"/>
      <c r="Z172" s="729">
        <v>50000</v>
      </c>
      <c r="AA172" s="729"/>
      <c r="AB172" s="729">
        <v>50000</v>
      </c>
      <c r="AC172" s="729"/>
      <c r="AD172" s="741">
        <v>0</v>
      </c>
      <c r="AE172" s="741">
        <v>50000</v>
      </c>
      <c r="AF172" s="741">
        <v>0</v>
      </c>
      <c r="AG172" s="741">
        <v>50000</v>
      </c>
      <c r="AH172" s="741">
        <v>0</v>
      </c>
      <c r="AI172" s="741">
        <v>50000</v>
      </c>
      <c r="AJ172" s="741">
        <v>0</v>
      </c>
      <c r="AK172" s="741">
        <v>50000</v>
      </c>
      <c r="AL172" s="741">
        <v>0</v>
      </c>
      <c r="AM172" s="751">
        <v>40000</v>
      </c>
      <c r="AN172" s="741">
        <v>0</v>
      </c>
      <c r="AO172" s="751">
        <v>40000</v>
      </c>
      <c r="AP172" s="741">
        <v>0</v>
      </c>
      <c r="AQ172" s="751">
        <v>40000</v>
      </c>
      <c r="AR172" s="741">
        <v>0</v>
      </c>
      <c r="AS172" s="751">
        <v>40000</v>
      </c>
      <c r="AT172" s="769">
        <f t="shared" si="14"/>
        <v>410000</v>
      </c>
      <c r="AU172" s="729">
        <f t="shared" si="15"/>
        <v>360000</v>
      </c>
      <c r="AV172" s="771">
        <f t="shared" si="16"/>
        <v>410000</v>
      </c>
      <c r="AW172" s="725">
        <f t="shared" si="12"/>
        <v>0</v>
      </c>
      <c r="AY172" s="742"/>
    </row>
    <row r="173" spans="1:51" s="725" customFormat="1">
      <c r="A173" s="738">
        <f t="shared" si="17"/>
        <v>169</v>
      </c>
      <c r="B173" s="726"/>
      <c r="C173" s="758" t="s">
        <v>1391</v>
      </c>
      <c r="D173" s="731" t="s">
        <v>2039</v>
      </c>
      <c r="E173" s="727">
        <f t="shared" si="13"/>
        <v>880000</v>
      </c>
      <c r="F173" s="729">
        <v>50000</v>
      </c>
      <c r="G173" s="729"/>
      <c r="H173" s="729">
        <v>50000</v>
      </c>
      <c r="I173" s="729"/>
      <c r="J173" s="729">
        <v>50000</v>
      </c>
      <c r="K173" s="729"/>
      <c r="L173" s="729">
        <v>50000</v>
      </c>
      <c r="M173" s="729"/>
      <c r="N173" s="729">
        <v>50000</v>
      </c>
      <c r="O173" s="729"/>
      <c r="P173" s="729">
        <v>50000</v>
      </c>
      <c r="Q173" s="729"/>
      <c r="R173" s="729">
        <v>50000</v>
      </c>
      <c r="S173" s="729"/>
      <c r="T173" s="729">
        <v>50000</v>
      </c>
      <c r="U173" s="729"/>
      <c r="V173" s="741">
        <v>0</v>
      </c>
      <c r="W173" s="741">
        <v>50000</v>
      </c>
      <c r="X173" s="741">
        <v>0</v>
      </c>
      <c r="Y173" s="741">
        <v>50000</v>
      </c>
      <c r="Z173" s="741">
        <v>0</v>
      </c>
      <c r="AA173" s="741">
        <v>50000</v>
      </c>
      <c r="AB173" s="741">
        <v>0</v>
      </c>
      <c r="AC173" s="741">
        <v>50000</v>
      </c>
      <c r="AD173" s="741">
        <v>0</v>
      </c>
      <c r="AE173" s="741">
        <v>50000</v>
      </c>
      <c r="AF173" s="741">
        <v>0</v>
      </c>
      <c r="AG173" s="741">
        <v>50000</v>
      </c>
      <c r="AH173" s="741">
        <v>0</v>
      </c>
      <c r="AI173" s="741">
        <v>50000</v>
      </c>
      <c r="AJ173" s="741">
        <v>0</v>
      </c>
      <c r="AK173" s="741">
        <v>50000</v>
      </c>
      <c r="AL173" s="741">
        <v>0</v>
      </c>
      <c r="AM173" s="751">
        <v>40000</v>
      </c>
      <c r="AN173" s="741">
        <v>0</v>
      </c>
      <c r="AO173" s="751">
        <v>40000</v>
      </c>
      <c r="AP173" s="729">
        <v>0</v>
      </c>
      <c r="AQ173" s="729"/>
      <c r="AR173" s="741">
        <v>0</v>
      </c>
      <c r="AS173" s="751">
        <v>40000</v>
      </c>
      <c r="AT173" s="769">
        <f t="shared" si="14"/>
        <v>520000</v>
      </c>
      <c r="AU173" s="729">
        <f t="shared" si="15"/>
        <v>360000</v>
      </c>
      <c r="AV173" s="771">
        <f t="shared" si="16"/>
        <v>520000</v>
      </c>
      <c r="AW173" s="725">
        <f t="shared" si="12"/>
        <v>0</v>
      </c>
      <c r="AY173" s="742"/>
    </row>
    <row r="174" spans="1:51" s="725" customFormat="1" hidden="1">
      <c r="A174" s="738">
        <f t="shared" si="17"/>
        <v>170</v>
      </c>
      <c r="B174" s="724"/>
      <c r="C174" s="758" t="s">
        <v>1392</v>
      </c>
      <c r="D174" s="731" t="s">
        <v>1511</v>
      </c>
      <c r="E174" s="727">
        <f t="shared" si="13"/>
        <v>450000</v>
      </c>
      <c r="F174" s="728">
        <v>50000</v>
      </c>
      <c r="G174" s="728"/>
      <c r="H174" s="728">
        <v>50000</v>
      </c>
      <c r="I174" s="728"/>
      <c r="J174" s="728">
        <v>50000</v>
      </c>
      <c r="K174" s="728"/>
      <c r="L174" s="728">
        <v>50000</v>
      </c>
      <c r="M174" s="728"/>
      <c r="N174" s="728">
        <v>50000</v>
      </c>
      <c r="O174" s="728"/>
      <c r="P174" s="728">
        <v>50000</v>
      </c>
      <c r="Q174" s="728"/>
      <c r="R174" s="728">
        <v>50000</v>
      </c>
      <c r="S174" s="728"/>
      <c r="T174" s="728">
        <v>50000</v>
      </c>
      <c r="U174" s="728"/>
      <c r="V174" s="728">
        <v>50000</v>
      </c>
      <c r="W174" s="728"/>
      <c r="X174" s="728">
        <v>0</v>
      </c>
      <c r="Y174" s="728"/>
      <c r="Z174" s="728">
        <v>0</v>
      </c>
      <c r="AA174" s="728"/>
      <c r="AB174" s="728">
        <v>0</v>
      </c>
      <c r="AC174" s="728"/>
      <c r="AD174" s="728">
        <v>0</v>
      </c>
      <c r="AE174" s="728"/>
      <c r="AF174" s="729">
        <v>0</v>
      </c>
      <c r="AG174" s="728"/>
      <c r="AH174" s="728"/>
      <c r="AI174" s="728"/>
      <c r="AJ174" s="728">
        <v>0</v>
      </c>
      <c r="AK174" s="728"/>
      <c r="AL174" s="728">
        <v>0</v>
      </c>
      <c r="AM174" s="728"/>
      <c r="AN174" s="728">
        <v>0</v>
      </c>
      <c r="AO174" s="728"/>
      <c r="AP174" s="728">
        <v>0</v>
      </c>
      <c r="AQ174" s="728"/>
      <c r="AR174" s="728">
        <v>0</v>
      </c>
      <c r="AS174" s="728"/>
      <c r="AT174" s="769">
        <f t="shared" si="14"/>
        <v>0</v>
      </c>
      <c r="AU174" s="729"/>
      <c r="AV174" s="769">
        <f t="shared" si="16"/>
        <v>0</v>
      </c>
      <c r="AW174" s="725">
        <f t="shared" si="12"/>
        <v>0</v>
      </c>
      <c r="AY174" s="742"/>
    </row>
    <row r="175" spans="1:51" s="725" customFormat="1">
      <c r="A175" s="738">
        <f t="shared" si="17"/>
        <v>171</v>
      </c>
      <c r="B175" s="724"/>
      <c r="C175" s="758" t="s">
        <v>1393</v>
      </c>
      <c r="D175" s="731" t="s">
        <v>2040</v>
      </c>
      <c r="E175" s="727">
        <f t="shared" si="13"/>
        <v>700000</v>
      </c>
      <c r="F175" s="728">
        <v>50000</v>
      </c>
      <c r="G175" s="728"/>
      <c r="H175" s="728">
        <v>50000</v>
      </c>
      <c r="I175" s="741">
        <v>50000</v>
      </c>
      <c r="J175" s="763">
        <v>0</v>
      </c>
      <c r="K175" s="741">
        <v>50000</v>
      </c>
      <c r="L175" s="728">
        <v>50000</v>
      </c>
      <c r="M175" s="728"/>
      <c r="N175" s="728">
        <v>50000</v>
      </c>
      <c r="O175" s="728"/>
      <c r="P175" s="728">
        <v>50000</v>
      </c>
      <c r="Q175" s="728"/>
      <c r="R175" s="728">
        <v>50000</v>
      </c>
      <c r="S175" s="728"/>
      <c r="T175" s="728">
        <v>50000</v>
      </c>
      <c r="U175" s="728"/>
      <c r="V175" s="728">
        <v>50000</v>
      </c>
      <c r="W175" s="728"/>
      <c r="X175" s="728">
        <v>50000</v>
      </c>
      <c r="Y175" s="728"/>
      <c r="Z175" s="728">
        <v>50000</v>
      </c>
      <c r="AA175" s="728"/>
      <c r="AB175" s="728">
        <v>50000</v>
      </c>
      <c r="AC175" s="728"/>
      <c r="AD175" s="763">
        <v>0</v>
      </c>
      <c r="AE175" s="741">
        <v>50000</v>
      </c>
      <c r="AF175" s="729">
        <v>0</v>
      </c>
      <c r="AG175" s="728"/>
      <c r="AH175" s="728"/>
      <c r="AI175" s="728"/>
      <c r="AJ175" s="728">
        <v>0</v>
      </c>
      <c r="AK175" s="728"/>
      <c r="AL175" s="728">
        <v>0</v>
      </c>
      <c r="AM175" s="728"/>
      <c r="AN175" s="728">
        <v>0</v>
      </c>
      <c r="AO175" s="728"/>
      <c r="AP175" s="728">
        <v>0</v>
      </c>
      <c r="AQ175" s="728"/>
      <c r="AR175" s="728">
        <v>0</v>
      </c>
      <c r="AS175" s="728"/>
      <c r="AT175" s="769">
        <f t="shared" si="14"/>
        <v>150000</v>
      </c>
      <c r="AU175" s="729"/>
      <c r="AV175" s="771">
        <f t="shared" si="16"/>
        <v>150000</v>
      </c>
      <c r="AW175" s="725">
        <f t="shared" si="12"/>
        <v>0</v>
      </c>
      <c r="AY175" s="742"/>
    </row>
    <row r="176" spans="1:51" s="725" customFormat="1">
      <c r="A176" s="738">
        <f t="shared" si="17"/>
        <v>172</v>
      </c>
      <c r="B176" s="724"/>
      <c r="C176" s="758" t="s">
        <v>1394</v>
      </c>
      <c r="D176" s="731" t="s">
        <v>2041</v>
      </c>
      <c r="E176" s="727">
        <f t="shared" si="13"/>
        <v>820000</v>
      </c>
      <c r="F176" s="728">
        <v>50000</v>
      </c>
      <c r="G176" s="728"/>
      <c r="H176" s="728">
        <v>50000</v>
      </c>
      <c r="I176" s="728"/>
      <c r="J176" s="728">
        <v>50000</v>
      </c>
      <c r="K176" s="728"/>
      <c r="L176" s="728">
        <v>50000</v>
      </c>
      <c r="M176" s="728"/>
      <c r="N176" s="728">
        <v>50000</v>
      </c>
      <c r="O176" s="728"/>
      <c r="P176" s="728">
        <v>50000</v>
      </c>
      <c r="Q176" s="728"/>
      <c r="R176" s="728">
        <v>50000</v>
      </c>
      <c r="S176" s="728"/>
      <c r="T176" s="728">
        <v>50000</v>
      </c>
      <c r="U176" s="728"/>
      <c r="V176" s="728">
        <v>50000</v>
      </c>
      <c r="W176" s="728"/>
      <c r="X176" s="728">
        <v>50000</v>
      </c>
      <c r="Y176" s="728"/>
      <c r="Z176" s="728">
        <v>50000</v>
      </c>
      <c r="AA176" s="728"/>
      <c r="AB176" s="728">
        <v>50000</v>
      </c>
      <c r="AC176" s="728"/>
      <c r="AD176" s="763">
        <v>0</v>
      </c>
      <c r="AE176" s="741">
        <v>50000</v>
      </c>
      <c r="AF176" s="729">
        <v>0</v>
      </c>
      <c r="AG176" s="728"/>
      <c r="AH176" s="728"/>
      <c r="AI176" s="728"/>
      <c r="AJ176" s="763">
        <v>0</v>
      </c>
      <c r="AK176" s="741">
        <v>50000</v>
      </c>
      <c r="AL176" s="728">
        <v>40000</v>
      </c>
      <c r="AM176" s="728"/>
      <c r="AN176" s="728">
        <v>0</v>
      </c>
      <c r="AO176" s="728"/>
      <c r="AP176" s="728">
        <v>40000</v>
      </c>
      <c r="AQ176" s="728"/>
      <c r="AR176" s="728">
        <v>40000</v>
      </c>
      <c r="AS176" s="728"/>
      <c r="AT176" s="769">
        <f t="shared" si="14"/>
        <v>100000</v>
      </c>
      <c r="AU176" s="729"/>
      <c r="AV176" s="771">
        <f t="shared" si="16"/>
        <v>100000</v>
      </c>
      <c r="AW176" s="725">
        <f t="shared" si="12"/>
        <v>0</v>
      </c>
      <c r="AY176" s="742"/>
    </row>
    <row r="177" spans="1:51" s="725" customFormat="1" hidden="1">
      <c r="A177" s="738">
        <f t="shared" si="17"/>
        <v>173</v>
      </c>
      <c r="B177" s="724"/>
      <c r="C177" s="758" t="s">
        <v>1395</v>
      </c>
      <c r="D177" s="731" t="s">
        <v>1512</v>
      </c>
      <c r="E177" s="727">
        <f t="shared" si="13"/>
        <v>700000</v>
      </c>
      <c r="F177" s="728">
        <v>50000</v>
      </c>
      <c r="G177" s="728"/>
      <c r="H177" s="728">
        <v>50000</v>
      </c>
      <c r="I177" s="728"/>
      <c r="J177" s="728">
        <v>50000</v>
      </c>
      <c r="K177" s="728"/>
      <c r="L177" s="728">
        <v>50000</v>
      </c>
      <c r="M177" s="728"/>
      <c r="N177" s="728">
        <v>50000</v>
      </c>
      <c r="O177" s="728"/>
      <c r="P177" s="728">
        <v>50000</v>
      </c>
      <c r="Q177" s="728"/>
      <c r="R177" s="728">
        <v>50000</v>
      </c>
      <c r="S177" s="728"/>
      <c r="T177" s="728">
        <v>50000</v>
      </c>
      <c r="U177" s="728"/>
      <c r="V177" s="728">
        <v>50000</v>
      </c>
      <c r="W177" s="728"/>
      <c r="X177" s="728">
        <v>50000</v>
      </c>
      <c r="Y177" s="728"/>
      <c r="Z177" s="728">
        <v>100000</v>
      </c>
      <c r="AA177" s="728"/>
      <c r="AB177" s="728">
        <v>100000</v>
      </c>
      <c r="AC177" s="728"/>
      <c r="AD177" s="728">
        <v>0</v>
      </c>
      <c r="AE177" s="728"/>
      <c r="AF177" s="729">
        <v>0</v>
      </c>
      <c r="AG177" s="728"/>
      <c r="AH177" s="728"/>
      <c r="AI177" s="728"/>
      <c r="AJ177" s="728">
        <v>0</v>
      </c>
      <c r="AK177" s="728"/>
      <c r="AL177" s="728">
        <v>0</v>
      </c>
      <c r="AM177" s="728"/>
      <c r="AN177" s="728">
        <v>0</v>
      </c>
      <c r="AO177" s="728"/>
      <c r="AP177" s="728">
        <v>0</v>
      </c>
      <c r="AQ177" s="728"/>
      <c r="AR177" s="728">
        <v>0</v>
      </c>
      <c r="AS177" s="728"/>
      <c r="AT177" s="769">
        <f t="shared" si="14"/>
        <v>0</v>
      </c>
      <c r="AU177" s="729"/>
      <c r="AV177" s="769">
        <f t="shared" si="16"/>
        <v>0</v>
      </c>
      <c r="AW177" s="725">
        <f t="shared" si="12"/>
        <v>0</v>
      </c>
      <c r="AY177" s="742"/>
    </row>
    <row r="178" spans="1:51" s="725" customFormat="1" hidden="1">
      <c r="A178" s="738">
        <f t="shared" si="17"/>
        <v>174</v>
      </c>
      <c r="B178" s="724"/>
      <c r="C178" s="758" t="s">
        <v>1396</v>
      </c>
      <c r="D178" s="731" t="s">
        <v>1513</v>
      </c>
      <c r="E178" s="727">
        <f t="shared" si="13"/>
        <v>600000</v>
      </c>
      <c r="F178" s="728">
        <v>50000</v>
      </c>
      <c r="G178" s="728"/>
      <c r="H178" s="728">
        <v>50000</v>
      </c>
      <c r="I178" s="728"/>
      <c r="J178" s="728">
        <v>50000</v>
      </c>
      <c r="K178" s="728"/>
      <c r="L178" s="728">
        <v>50000</v>
      </c>
      <c r="M178" s="728"/>
      <c r="N178" s="728">
        <v>50000</v>
      </c>
      <c r="O178" s="728"/>
      <c r="P178" s="728">
        <v>50000</v>
      </c>
      <c r="Q178" s="728"/>
      <c r="R178" s="728">
        <v>50000</v>
      </c>
      <c r="S178" s="728"/>
      <c r="T178" s="728">
        <v>50000</v>
      </c>
      <c r="U178" s="728"/>
      <c r="V178" s="728">
        <v>50000</v>
      </c>
      <c r="W178" s="728"/>
      <c r="X178" s="728">
        <v>50000</v>
      </c>
      <c r="Y178" s="728"/>
      <c r="Z178" s="728">
        <v>50000</v>
      </c>
      <c r="AA178" s="728"/>
      <c r="AB178" s="728">
        <v>50000</v>
      </c>
      <c r="AC178" s="728"/>
      <c r="AD178" s="728">
        <v>0</v>
      </c>
      <c r="AE178" s="728"/>
      <c r="AF178" s="729">
        <v>0</v>
      </c>
      <c r="AG178" s="728"/>
      <c r="AH178" s="728"/>
      <c r="AI178" s="728"/>
      <c r="AJ178" s="728">
        <v>0</v>
      </c>
      <c r="AK178" s="728"/>
      <c r="AL178" s="728">
        <v>0</v>
      </c>
      <c r="AM178" s="728"/>
      <c r="AN178" s="728">
        <v>0</v>
      </c>
      <c r="AO178" s="728"/>
      <c r="AP178" s="728">
        <v>0</v>
      </c>
      <c r="AQ178" s="728"/>
      <c r="AR178" s="728">
        <v>0</v>
      </c>
      <c r="AS178" s="728"/>
      <c r="AT178" s="769">
        <f t="shared" si="14"/>
        <v>0</v>
      </c>
      <c r="AU178" s="729"/>
      <c r="AV178" s="769">
        <f t="shared" si="16"/>
        <v>0</v>
      </c>
      <c r="AW178" s="725">
        <f t="shared" si="12"/>
        <v>0</v>
      </c>
      <c r="AY178" s="742"/>
    </row>
    <row r="179" spans="1:51" s="725" customFormat="1" hidden="1">
      <c r="A179" s="738">
        <f t="shared" si="17"/>
        <v>175</v>
      </c>
      <c r="B179" s="724"/>
      <c r="C179" s="758" t="s">
        <v>1397</v>
      </c>
      <c r="D179" s="731" t="s">
        <v>1514</v>
      </c>
      <c r="E179" s="727">
        <f t="shared" si="13"/>
        <v>400000</v>
      </c>
      <c r="F179" s="728">
        <v>50000</v>
      </c>
      <c r="G179" s="728"/>
      <c r="H179" s="728">
        <v>50000</v>
      </c>
      <c r="I179" s="728"/>
      <c r="J179" s="728">
        <v>50000</v>
      </c>
      <c r="K179" s="728"/>
      <c r="L179" s="728">
        <v>50000</v>
      </c>
      <c r="M179" s="728"/>
      <c r="N179" s="728">
        <v>50000</v>
      </c>
      <c r="O179" s="728"/>
      <c r="P179" s="728">
        <v>50000</v>
      </c>
      <c r="Q179" s="728"/>
      <c r="R179" s="728">
        <v>50000</v>
      </c>
      <c r="S179" s="728"/>
      <c r="T179" s="728">
        <v>50000</v>
      </c>
      <c r="U179" s="728"/>
      <c r="V179" s="728">
        <v>0</v>
      </c>
      <c r="W179" s="728"/>
      <c r="X179" s="728">
        <v>0</v>
      </c>
      <c r="Y179" s="728"/>
      <c r="Z179" s="728">
        <v>0</v>
      </c>
      <c r="AA179" s="728"/>
      <c r="AB179" s="728">
        <v>0</v>
      </c>
      <c r="AC179" s="728"/>
      <c r="AD179" s="728">
        <v>0</v>
      </c>
      <c r="AE179" s="728"/>
      <c r="AF179" s="729">
        <v>0</v>
      </c>
      <c r="AG179" s="728"/>
      <c r="AH179" s="728"/>
      <c r="AI179" s="728"/>
      <c r="AJ179" s="728">
        <v>0</v>
      </c>
      <c r="AK179" s="728"/>
      <c r="AL179" s="728">
        <v>0</v>
      </c>
      <c r="AM179" s="728"/>
      <c r="AN179" s="728">
        <v>0</v>
      </c>
      <c r="AO179" s="728"/>
      <c r="AP179" s="728">
        <v>0</v>
      </c>
      <c r="AQ179" s="728"/>
      <c r="AR179" s="728">
        <v>0</v>
      </c>
      <c r="AS179" s="728"/>
      <c r="AT179" s="769">
        <f t="shared" si="14"/>
        <v>0</v>
      </c>
      <c r="AU179" s="729"/>
      <c r="AV179" s="769">
        <f t="shared" si="16"/>
        <v>0</v>
      </c>
      <c r="AW179" s="725">
        <f t="shared" si="12"/>
        <v>0</v>
      </c>
      <c r="AY179" s="742"/>
    </row>
    <row r="180" spans="1:51" s="725" customFormat="1">
      <c r="A180" s="738">
        <f t="shared" si="17"/>
        <v>176</v>
      </c>
      <c r="B180" s="724"/>
      <c r="C180" s="758" t="s">
        <v>1398</v>
      </c>
      <c r="D180" s="731" t="s">
        <v>2042</v>
      </c>
      <c r="E180" s="727">
        <f t="shared" si="13"/>
        <v>640000</v>
      </c>
      <c r="F180" s="728">
        <v>50000</v>
      </c>
      <c r="G180" s="728"/>
      <c r="H180" s="728">
        <v>50000</v>
      </c>
      <c r="I180" s="728"/>
      <c r="J180" s="728">
        <v>50000</v>
      </c>
      <c r="K180" s="728"/>
      <c r="L180" s="728">
        <v>50000</v>
      </c>
      <c r="M180" s="728"/>
      <c r="N180" s="728">
        <v>50000</v>
      </c>
      <c r="O180" s="728"/>
      <c r="P180" s="728">
        <v>50000</v>
      </c>
      <c r="Q180" s="728"/>
      <c r="R180" s="728">
        <v>50000</v>
      </c>
      <c r="S180" s="728"/>
      <c r="T180" s="728">
        <v>50000</v>
      </c>
      <c r="U180" s="728"/>
      <c r="V180" s="728">
        <v>50000</v>
      </c>
      <c r="W180" s="728"/>
      <c r="X180" s="728">
        <v>50000</v>
      </c>
      <c r="Y180" s="728"/>
      <c r="Z180" s="728">
        <v>50000</v>
      </c>
      <c r="AA180" s="728"/>
      <c r="AB180" s="728">
        <v>50000</v>
      </c>
      <c r="AC180" s="728"/>
      <c r="AD180" s="728">
        <v>0</v>
      </c>
      <c r="AE180" s="728"/>
      <c r="AF180" s="729">
        <v>0</v>
      </c>
      <c r="AG180" s="728"/>
      <c r="AH180" s="728"/>
      <c r="AI180" s="728"/>
      <c r="AJ180" s="728">
        <v>0</v>
      </c>
      <c r="AK180" s="728"/>
      <c r="AL180" s="728">
        <v>0</v>
      </c>
      <c r="AM180" s="728"/>
      <c r="AN180" s="728">
        <v>0</v>
      </c>
      <c r="AO180" s="728"/>
      <c r="AP180" s="763">
        <v>0</v>
      </c>
      <c r="AQ180" s="751">
        <v>40000</v>
      </c>
      <c r="AR180" s="728">
        <v>0</v>
      </c>
      <c r="AS180" s="728"/>
      <c r="AT180" s="769">
        <f t="shared" si="14"/>
        <v>40000</v>
      </c>
      <c r="AU180" s="729"/>
      <c r="AV180" s="771">
        <f t="shared" si="16"/>
        <v>40000</v>
      </c>
      <c r="AW180" s="725">
        <f t="shared" si="12"/>
        <v>0</v>
      </c>
      <c r="AY180" s="742"/>
    </row>
    <row r="181" spans="1:51" s="725" customFormat="1">
      <c r="A181" s="738">
        <f t="shared" si="17"/>
        <v>177</v>
      </c>
      <c r="B181" s="724"/>
      <c r="C181" s="758" t="s">
        <v>1399</v>
      </c>
      <c r="D181" s="731" t="s">
        <v>2043</v>
      </c>
      <c r="E181" s="727">
        <f t="shared" si="13"/>
        <v>880000</v>
      </c>
      <c r="F181" s="728">
        <v>50000</v>
      </c>
      <c r="G181" s="728"/>
      <c r="H181" s="728">
        <v>50000</v>
      </c>
      <c r="I181" s="728"/>
      <c r="J181" s="728">
        <v>50000</v>
      </c>
      <c r="K181" s="728"/>
      <c r="L181" s="728">
        <v>50000</v>
      </c>
      <c r="M181" s="728"/>
      <c r="N181" s="728">
        <v>50000</v>
      </c>
      <c r="O181" s="728"/>
      <c r="P181" s="728">
        <v>50000</v>
      </c>
      <c r="Q181" s="728"/>
      <c r="R181" s="728">
        <v>50000</v>
      </c>
      <c r="S181" s="728"/>
      <c r="T181" s="728">
        <v>50000</v>
      </c>
      <c r="U181" s="728"/>
      <c r="V181" s="763">
        <v>0</v>
      </c>
      <c r="W181" s="741">
        <v>50000</v>
      </c>
      <c r="X181" s="763">
        <v>0</v>
      </c>
      <c r="Y181" s="741">
        <v>50000</v>
      </c>
      <c r="Z181" s="763">
        <v>0</v>
      </c>
      <c r="AA181" s="741">
        <v>50000</v>
      </c>
      <c r="AB181" s="728">
        <v>50000</v>
      </c>
      <c r="AC181" s="728"/>
      <c r="AD181" s="763">
        <v>0</v>
      </c>
      <c r="AE181" s="741">
        <v>50000</v>
      </c>
      <c r="AF181" s="741">
        <v>0</v>
      </c>
      <c r="AG181" s="741">
        <v>50000</v>
      </c>
      <c r="AH181" s="741">
        <v>0</v>
      </c>
      <c r="AI181" s="741">
        <v>50000</v>
      </c>
      <c r="AJ181" s="763">
        <v>0</v>
      </c>
      <c r="AK181" s="741">
        <v>50000</v>
      </c>
      <c r="AL181" s="763">
        <v>0</v>
      </c>
      <c r="AM181" s="751">
        <v>40000</v>
      </c>
      <c r="AN181" s="763">
        <v>0</v>
      </c>
      <c r="AO181" s="751">
        <v>40000</v>
      </c>
      <c r="AP181" s="728">
        <v>0</v>
      </c>
      <c r="AQ181" s="728"/>
      <c r="AR181" s="763">
        <v>0</v>
      </c>
      <c r="AS181" s="751">
        <v>40000</v>
      </c>
      <c r="AT181" s="769">
        <f t="shared" si="14"/>
        <v>470000</v>
      </c>
      <c r="AU181" s="729"/>
      <c r="AV181" s="771">
        <f t="shared" si="16"/>
        <v>470000</v>
      </c>
      <c r="AW181" s="725">
        <f t="shared" si="12"/>
        <v>0</v>
      </c>
      <c r="AY181" s="742"/>
    </row>
    <row r="182" spans="1:51" s="725" customFormat="1">
      <c r="A182" s="738">
        <f t="shared" si="17"/>
        <v>178</v>
      </c>
      <c r="B182" s="724"/>
      <c r="C182" s="758" t="s">
        <v>1400</v>
      </c>
      <c r="D182" s="731" t="s">
        <v>2044</v>
      </c>
      <c r="E182" s="727">
        <f t="shared" si="13"/>
        <v>830000</v>
      </c>
      <c r="F182" s="728">
        <v>50000</v>
      </c>
      <c r="G182" s="728"/>
      <c r="H182" s="728">
        <v>50000</v>
      </c>
      <c r="I182" s="728"/>
      <c r="J182" s="728">
        <v>50000</v>
      </c>
      <c r="K182" s="728"/>
      <c r="L182" s="728">
        <v>50000</v>
      </c>
      <c r="M182" s="728"/>
      <c r="N182" s="728">
        <v>50000</v>
      </c>
      <c r="O182" s="728"/>
      <c r="P182" s="728">
        <v>50000</v>
      </c>
      <c r="Q182" s="728"/>
      <c r="R182" s="728">
        <v>50000</v>
      </c>
      <c r="S182" s="728"/>
      <c r="T182" s="728">
        <v>0</v>
      </c>
      <c r="U182" s="728"/>
      <c r="V182" s="763">
        <v>0</v>
      </c>
      <c r="W182" s="741">
        <v>50000</v>
      </c>
      <c r="X182" s="763">
        <v>0</v>
      </c>
      <c r="Y182" s="741">
        <v>50000</v>
      </c>
      <c r="Z182" s="728">
        <v>50000</v>
      </c>
      <c r="AA182" s="728"/>
      <c r="AB182" s="763">
        <v>0</v>
      </c>
      <c r="AC182" s="741">
        <v>50000</v>
      </c>
      <c r="AD182" s="763">
        <v>0</v>
      </c>
      <c r="AE182" s="741">
        <v>50000</v>
      </c>
      <c r="AF182" s="741">
        <v>0</v>
      </c>
      <c r="AG182" s="741">
        <v>50000</v>
      </c>
      <c r="AH182" s="741">
        <v>0</v>
      </c>
      <c r="AI182" s="741">
        <v>50000</v>
      </c>
      <c r="AJ182" s="763">
        <v>0</v>
      </c>
      <c r="AK182" s="741">
        <v>50000</v>
      </c>
      <c r="AL182" s="763">
        <v>0</v>
      </c>
      <c r="AM182" s="751">
        <v>40000</v>
      </c>
      <c r="AN182" s="763">
        <v>0</v>
      </c>
      <c r="AO182" s="751">
        <v>40000</v>
      </c>
      <c r="AP182" s="728">
        <v>0</v>
      </c>
      <c r="AQ182" s="728"/>
      <c r="AR182" s="763">
        <v>0</v>
      </c>
      <c r="AS182" s="751">
        <v>40000</v>
      </c>
      <c r="AT182" s="769">
        <f t="shared" si="14"/>
        <v>470000</v>
      </c>
      <c r="AU182" s="729"/>
      <c r="AV182" s="771">
        <f t="shared" si="16"/>
        <v>470000</v>
      </c>
      <c r="AW182" s="725">
        <f t="shared" si="12"/>
        <v>0</v>
      </c>
      <c r="AY182" s="742"/>
    </row>
    <row r="183" spans="1:51" s="725" customFormat="1">
      <c r="A183" s="738">
        <f t="shared" si="17"/>
        <v>179</v>
      </c>
      <c r="B183" s="724"/>
      <c r="C183" s="758" t="s">
        <v>1401</v>
      </c>
      <c r="D183" s="731" t="s">
        <v>2045</v>
      </c>
      <c r="E183" s="727">
        <f t="shared" si="13"/>
        <v>1900000</v>
      </c>
      <c r="F183" s="728">
        <v>100000</v>
      </c>
      <c r="G183" s="728"/>
      <c r="H183" s="728">
        <v>100000</v>
      </c>
      <c r="I183" s="728"/>
      <c r="J183" s="728">
        <v>100000</v>
      </c>
      <c r="K183" s="728"/>
      <c r="L183" s="728">
        <v>100000</v>
      </c>
      <c r="M183" s="728"/>
      <c r="N183" s="728">
        <v>100000</v>
      </c>
      <c r="O183" s="728"/>
      <c r="P183" s="728">
        <v>100000</v>
      </c>
      <c r="Q183" s="728"/>
      <c r="R183" s="728">
        <v>100000</v>
      </c>
      <c r="S183" s="728"/>
      <c r="T183" s="728">
        <v>100000</v>
      </c>
      <c r="U183" s="728"/>
      <c r="V183" s="728">
        <v>100000</v>
      </c>
      <c r="W183" s="728"/>
      <c r="X183" s="728">
        <v>100000</v>
      </c>
      <c r="Y183" s="728"/>
      <c r="Z183" s="728">
        <v>100000</v>
      </c>
      <c r="AA183" s="728"/>
      <c r="AB183" s="728">
        <v>100000</v>
      </c>
      <c r="AC183" s="728"/>
      <c r="AD183" s="763">
        <v>0</v>
      </c>
      <c r="AE183" s="763">
        <v>100000</v>
      </c>
      <c r="AF183" s="741">
        <v>0</v>
      </c>
      <c r="AG183" s="763">
        <v>100000</v>
      </c>
      <c r="AH183" s="741">
        <v>0</v>
      </c>
      <c r="AI183" s="763">
        <v>100000</v>
      </c>
      <c r="AJ183" s="763">
        <v>0</v>
      </c>
      <c r="AK183" s="763">
        <v>100000</v>
      </c>
      <c r="AL183" s="763">
        <v>0</v>
      </c>
      <c r="AM183" s="763">
        <v>100000</v>
      </c>
      <c r="AN183" s="763">
        <v>0</v>
      </c>
      <c r="AO183" s="763">
        <v>100000</v>
      </c>
      <c r="AP183" s="763">
        <v>0</v>
      </c>
      <c r="AQ183" s="763">
        <v>100000</v>
      </c>
      <c r="AR183" s="763">
        <v>0</v>
      </c>
      <c r="AS183" s="763">
        <v>100000</v>
      </c>
      <c r="AT183" s="769">
        <f t="shared" si="14"/>
        <v>800000</v>
      </c>
      <c r="AU183" s="729"/>
      <c r="AV183" s="771">
        <f t="shared" si="16"/>
        <v>800000</v>
      </c>
      <c r="AW183" s="725">
        <f t="shared" si="12"/>
        <v>0</v>
      </c>
      <c r="AY183" s="742"/>
    </row>
    <row r="184" spans="1:51" s="725" customFormat="1">
      <c r="A184" s="738">
        <f t="shared" si="17"/>
        <v>180</v>
      </c>
      <c r="B184" s="724"/>
      <c r="C184" s="758" t="s">
        <v>1402</v>
      </c>
      <c r="D184" s="731" t="s">
        <v>2046</v>
      </c>
      <c r="E184" s="727">
        <f t="shared" si="13"/>
        <v>1000000</v>
      </c>
      <c r="F184" s="728">
        <v>50000</v>
      </c>
      <c r="G184" s="728"/>
      <c r="H184" s="728">
        <v>50000</v>
      </c>
      <c r="I184" s="728"/>
      <c r="J184" s="728">
        <v>50000</v>
      </c>
      <c r="K184" s="728"/>
      <c r="L184" s="728">
        <v>50000</v>
      </c>
      <c r="M184" s="728"/>
      <c r="N184" s="728">
        <v>50000</v>
      </c>
      <c r="O184" s="728"/>
      <c r="P184" s="728">
        <v>50000</v>
      </c>
      <c r="Q184" s="728"/>
      <c r="R184" s="728">
        <v>50000</v>
      </c>
      <c r="S184" s="728"/>
      <c r="T184" s="728">
        <v>50000</v>
      </c>
      <c r="U184" s="728"/>
      <c r="V184" s="728">
        <v>50000</v>
      </c>
      <c r="W184" s="728"/>
      <c r="X184" s="728">
        <v>50000</v>
      </c>
      <c r="Y184" s="728"/>
      <c r="Z184" s="728">
        <v>50000</v>
      </c>
      <c r="AA184" s="728"/>
      <c r="AB184" s="728">
        <v>50000</v>
      </c>
      <c r="AC184" s="728"/>
      <c r="AD184" s="763">
        <v>0</v>
      </c>
      <c r="AE184" s="741">
        <v>50000</v>
      </c>
      <c r="AF184" s="741">
        <v>0</v>
      </c>
      <c r="AG184" s="741">
        <v>50000</v>
      </c>
      <c r="AH184" s="741">
        <v>0</v>
      </c>
      <c r="AI184" s="741">
        <v>50000</v>
      </c>
      <c r="AJ184" s="763">
        <v>0</v>
      </c>
      <c r="AK184" s="741">
        <v>50000</v>
      </c>
      <c r="AL184" s="728">
        <v>40000</v>
      </c>
      <c r="AM184" s="728"/>
      <c r="AN184" s="728">
        <v>40000</v>
      </c>
      <c r="AO184" s="728"/>
      <c r="AP184" s="728">
        <v>120000</v>
      </c>
      <c r="AQ184" s="728"/>
      <c r="AR184" s="763">
        <v>0</v>
      </c>
      <c r="AS184" s="751">
        <v>40000</v>
      </c>
      <c r="AT184" s="769">
        <f t="shared" si="14"/>
        <v>240000</v>
      </c>
      <c r="AU184" s="729"/>
      <c r="AV184" s="771">
        <f t="shared" si="16"/>
        <v>240000</v>
      </c>
      <c r="AW184" s="725">
        <f t="shared" si="12"/>
        <v>0</v>
      </c>
      <c r="AY184" s="742"/>
    </row>
    <row r="185" spans="1:51" s="752" customFormat="1">
      <c r="A185" s="743">
        <f t="shared" si="17"/>
        <v>181</v>
      </c>
      <c r="B185" s="764"/>
      <c r="C185" s="757" t="s">
        <v>1403</v>
      </c>
      <c r="D185" s="746" t="s">
        <v>2047</v>
      </c>
      <c r="E185" s="747">
        <f t="shared" si="13"/>
        <v>600000</v>
      </c>
      <c r="F185" s="765">
        <v>50000</v>
      </c>
      <c r="G185" s="765"/>
      <c r="H185" s="765">
        <v>50000</v>
      </c>
      <c r="I185" s="765"/>
      <c r="J185" s="765">
        <v>50000</v>
      </c>
      <c r="K185" s="765"/>
      <c r="L185" s="765">
        <v>50000</v>
      </c>
      <c r="M185" s="765"/>
      <c r="N185" s="765">
        <v>50000</v>
      </c>
      <c r="O185" s="765"/>
      <c r="P185" s="765">
        <v>50000</v>
      </c>
      <c r="Q185" s="765"/>
      <c r="R185" s="765">
        <v>50000</v>
      </c>
      <c r="S185" s="765"/>
      <c r="T185" s="765">
        <v>50000</v>
      </c>
      <c r="U185" s="765"/>
      <c r="V185" s="766">
        <v>0</v>
      </c>
      <c r="W185" s="751">
        <v>50000</v>
      </c>
      <c r="X185" s="766">
        <v>0</v>
      </c>
      <c r="Y185" s="751">
        <v>50000</v>
      </c>
      <c r="Z185" s="766">
        <v>0</v>
      </c>
      <c r="AA185" s="751">
        <v>50000</v>
      </c>
      <c r="AB185" s="766">
        <v>0</v>
      </c>
      <c r="AC185" s="751">
        <v>50000</v>
      </c>
      <c r="AD185" s="765">
        <v>0</v>
      </c>
      <c r="AE185" s="765"/>
      <c r="AF185" s="750">
        <v>0</v>
      </c>
      <c r="AG185" s="765"/>
      <c r="AH185" s="765"/>
      <c r="AI185" s="765"/>
      <c r="AJ185" s="765">
        <v>0</v>
      </c>
      <c r="AK185" s="765"/>
      <c r="AL185" s="765">
        <v>0</v>
      </c>
      <c r="AM185" s="765"/>
      <c r="AN185" s="765">
        <v>0</v>
      </c>
      <c r="AO185" s="765"/>
      <c r="AP185" s="765">
        <v>0</v>
      </c>
      <c r="AQ185" s="765"/>
      <c r="AR185" s="765">
        <v>0</v>
      </c>
      <c r="AS185" s="765"/>
      <c r="AT185" s="769">
        <f t="shared" si="14"/>
        <v>200000</v>
      </c>
      <c r="AU185" s="750"/>
      <c r="AV185" s="771">
        <f t="shared" si="16"/>
        <v>200000</v>
      </c>
      <c r="AW185" s="752">
        <f t="shared" si="12"/>
        <v>0</v>
      </c>
      <c r="AY185" s="753"/>
    </row>
    <row r="186" spans="1:51" s="752" customFormat="1">
      <c r="A186" s="743">
        <f t="shared" si="17"/>
        <v>182</v>
      </c>
      <c r="B186" s="764"/>
      <c r="C186" s="757" t="s">
        <v>1404</v>
      </c>
      <c r="D186" s="746" t="s">
        <v>1515</v>
      </c>
      <c r="E186" s="747">
        <f t="shared" si="13"/>
        <v>600000</v>
      </c>
      <c r="F186" s="765">
        <v>50000</v>
      </c>
      <c r="G186" s="765"/>
      <c r="H186" s="765">
        <v>50000</v>
      </c>
      <c r="I186" s="765"/>
      <c r="J186" s="765">
        <v>50000</v>
      </c>
      <c r="K186" s="765"/>
      <c r="L186" s="765">
        <v>50000</v>
      </c>
      <c r="M186" s="765"/>
      <c r="N186" s="765">
        <v>50000</v>
      </c>
      <c r="O186" s="765"/>
      <c r="P186" s="765">
        <v>50000</v>
      </c>
      <c r="Q186" s="765"/>
      <c r="R186" s="765">
        <v>50000</v>
      </c>
      <c r="S186" s="765"/>
      <c r="T186" s="765">
        <v>50000</v>
      </c>
      <c r="U186" s="765"/>
      <c r="V186" s="766">
        <v>0</v>
      </c>
      <c r="W186" s="751">
        <v>50000</v>
      </c>
      <c r="X186" s="766">
        <v>0</v>
      </c>
      <c r="Y186" s="751">
        <v>50000</v>
      </c>
      <c r="Z186" s="766">
        <v>0</v>
      </c>
      <c r="AA186" s="751">
        <v>50000</v>
      </c>
      <c r="AB186" s="766">
        <v>0</v>
      </c>
      <c r="AC186" s="751">
        <v>50000</v>
      </c>
      <c r="AD186" s="765">
        <v>0</v>
      </c>
      <c r="AE186" s="765"/>
      <c r="AF186" s="750">
        <v>0</v>
      </c>
      <c r="AG186" s="765"/>
      <c r="AH186" s="765"/>
      <c r="AI186" s="765"/>
      <c r="AJ186" s="765">
        <v>0</v>
      </c>
      <c r="AK186" s="765"/>
      <c r="AL186" s="765">
        <v>0</v>
      </c>
      <c r="AM186" s="765"/>
      <c r="AN186" s="765">
        <v>0</v>
      </c>
      <c r="AO186" s="765"/>
      <c r="AP186" s="765">
        <v>0</v>
      </c>
      <c r="AQ186" s="765"/>
      <c r="AR186" s="765">
        <v>0</v>
      </c>
      <c r="AS186" s="765"/>
      <c r="AT186" s="769">
        <f t="shared" si="14"/>
        <v>200000</v>
      </c>
      <c r="AU186" s="750"/>
      <c r="AV186" s="771">
        <f t="shared" si="16"/>
        <v>200000</v>
      </c>
      <c r="AW186" s="752">
        <f t="shared" si="12"/>
        <v>0</v>
      </c>
      <c r="AY186" s="753"/>
    </row>
    <row r="187" spans="1:51" s="752" customFormat="1">
      <c r="A187" s="743">
        <f t="shared" si="17"/>
        <v>183</v>
      </c>
      <c r="B187" s="764"/>
      <c r="C187" s="757" t="s">
        <v>1405</v>
      </c>
      <c r="D187" s="746" t="s">
        <v>2018</v>
      </c>
      <c r="E187" s="747">
        <f t="shared" si="13"/>
        <v>450000</v>
      </c>
      <c r="F187" s="765">
        <v>0</v>
      </c>
      <c r="G187" s="765"/>
      <c r="H187" s="765">
        <v>50000</v>
      </c>
      <c r="I187" s="765"/>
      <c r="J187" s="765">
        <v>50000</v>
      </c>
      <c r="K187" s="765"/>
      <c r="L187" s="766">
        <v>0</v>
      </c>
      <c r="M187" s="751">
        <v>50000</v>
      </c>
      <c r="N187" s="765">
        <v>50000</v>
      </c>
      <c r="O187" s="765"/>
      <c r="P187" s="765">
        <v>50000</v>
      </c>
      <c r="Q187" s="765"/>
      <c r="R187" s="765">
        <v>50000</v>
      </c>
      <c r="S187" s="765"/>
      <c r="T187" s="765">
        <v>50000</v>
      </c>
      <c r="U187" s="765"/>
      <c r="V187" s="765">
        <v>0</v>
      </c>
      <c r="W187" s="765"/>
      <c r="X187" s="765">
        <v>0</v>
      </c>
      <c r="Y187" s="765"/>
      <c r="Z187" s="766">
        <v>0</v>
      </c>
      <c r="AA187" s="751">
        <v>50000</v>
      </c>
      <c r="AB187" s="765">
        <v>0</v>
      </c>
      <c r="AC187" s="765"/>
      <c r="AD187" s="765">
        <v>0</v>
      </c>
      <c r="AE187" s="765"/>
      <c r="AF187" s="751">
        <v>0</v>
      </c>
      <c r="AG187" s="751">
        <v>50000</v>
      </c>
      <c r="AH187" s="765"/>
      <c r="AI187" s="765"/>
      <c r="AJ187" s="765">
        <v>0</v>
      </c>
      <c r="AK187" s="765"/>
      <c r="AL187" s="765">
        <v>0</v>
      </c>
      <c r="AM187" s="765"/>
      <c r="AN187" s="765">
        <v>0</v>
      </c>
      <c r="AO187" s="765"/>
      <c r="AP187" s="765">
        <v>0</v>
      </c>
      <c r="AQ187" s="765"/>
      <c r="AR187" s="765">
        <v>0</v>
      </c>
      <c r="AS187" s="765"/>
      <c r="AT187" s="769">
        <f t="shared" si="14"/>
        <v>150000</v>
      </c>
      <c r="AU187" s="750"/>
      <c r="AV187" s="771">
        <f t="shared" si="16"/>
        <v>150000</v>
      </c>
      <c r="AW187" s="752">
        <f t="shared" si="12"/>
        <v>0</v>
      </c>
      <c r="AY187" s="753"/>
    </row>
    <row r="188" spans="1:51" s="752" customFormat="1">
      <c r="A188" s="743">
        <f t="shared" si="17"/>
        <v>184</v>
      </c>
      <c r="B188" s="764"/>
      <c r="C188" s="757" t="s">
        <v>1406</v>
      </c>
      <c r="D188" s="746" t="s">
        <v>1516</v>
      </c>
      <c r="E188" s="747">
        <f t="shared" si="13"/>
        <v>930000</v>
      </c>
      <c r="F188" s="765">
        <v>50000</v>
      </c>
      <c r="G188" s="765"/>
      <c r="H188" s="765">
        <v>50000</v>
      </c>
      <c r="I188" s="765"/>
      <c r="J188" s="765">
        <v>50000</v>
      </c>
      <c r="K188" s="765"/>
      <c r="L188" s="765">
        <v>50000</v>
      </c>
      <c r="M188" s="765"/>
      <c r="N188" s="765">
        <v>50000</v>
      </c>
      <c r="O188" s="765"/>
      <c r="P188" s="765">
        <v>50000</v>
      </c>
      <c r="Q188" s="765"/>
      <c r="R188" s="765">
        <v>50000</v>
      </c>
      <c r="S188" s="765"/>
      <c r="T188" s="765">
        <v>50000</v>
      </c>
      <c r="U188" s="765"/>
      <c r="V188" s="766">
        <v>0</v>
      </c>
      <c r="W188" s="751">
        <v>50000</v>
      </c>
      <c r="X188" s="766">
        <v>0</v>
      </c>
      <c r="Y188" s="751">
        <v>50000</v>
      </c>
      <c r="Z188" s="765">
        <v>100000</v>
      </c>
      <c r="AA188" s="765"/>
      <c r="AB188" s="766">
        <v>0</v>
      </c>
      <c r="AC188" s="751">
        <v>50000</v>
      </c>
      <c r="AD188" s="766">
        <v>0</v>
      </c>
      <c r="AE188" s="751">
        <v>50000</v>
      </c>
      <c r="AF188" s="751">
        <v>0</v>
      </c>
      <c r="AG188" s="751">
        <v>50000</v>
      </c>
      <c r="AH188" s="751">
        <v>0</v>
      </c>
      <c r="AI188" s="751">
        <v>50000</v>
      </c>
      <c r="AJ188" s="766">
        <v>0</v>
      </c>
      <c r="AK188" s="751">
        <v>50000</v>
      </c>
      <c r="AL188" s="766">
        <v>0</v>
      </c>
      <c r="AM188" s="751">
        <v>40000</v>
      </c>
      <c r="AN188" s="766">
        <v>0</v>
      </c>
      <c r="AO188" s="751">
        <v>40000</v>
      </c>
      <c r="AP188" s="765">
        <v>0</v>
      </c>
      <c r="AQ188" s="765"/>
      <c r="AR188" s="766">
        <v>0</v>
      </c>
      <c r="AS188" s="751">
        <v>40000</v>
      </c>
      <c r="AT188" s="769">
        <f t="shared" si="14"/>
        <v>470000</v>
      </c>
      <c r="AU188" s="750"/>
      <c r="AV188" s="771">
        <f t="shared" si="16"/>
        <v>470000</v>
      </c>
      <c r="AW188" s="752">
        <f t="shared" si="12"/>
        <v>0</v>
      </c>
      <c r="AY188" s="753"/>
    </row>
    <row r="189" spans="1:51" s="752" customFormat="1">
      <c r="A189" s="743">
        <f t="shared" si="17"/>
        <v>185</v>
      </c>
      <c r="B189" s="764"/>
      <c r="C189" s="757" t="s">
        <v>1407</v>
      </c>
      <c r="D189" s="746" t="s">
        <v>1517</v>
      </c>
      <c r="E189" s="747">
        <f t="shared" si="13"/>
        <v>880000</v>
      </c>
      <c r="F189" s="765">
        <v>50000</v>
      </c>
      <c r="G189" s="765"/>
      <c r="H189" s="765">
        <v>50000</v>
      </c>
      <c r="I189" s="765"/>
      <c r="J189" s="765">
        <v>50000</v>
      </c>
      <c r="K189" s="765"/>
      <c r="L189" s="765">
        <v>50000</v>
      </c>
      <c r="M189" s="765"/>
      <c r="N189" s="765">
        <v>50000</v>
      </c>
      <c r="O189" s="765"/>
      <c r="P189" s="765">
        <v>50000</v>
      </c>
      <c r="Q189" s="765"/>
      <c r="R189" s="765">
        <v>50000</v>
      </c>
      <c r="S189" s="765"/>
      <c r="T189" s="765">
        <v>50000</v>
      </c>
      <c r="U189" s="765"/>
      <c r="V189" s="766">
        <v>0</v>
      </c>
      <c r="W189" s="751">
        <v>50000</v>
      </c>
      <c r="X189" s="766">
        <v>0</v>
      </c>
      <c r="Y189" s="751">
        <v>50000</v>
      </c>
      <c r="Z189" s="766">
        <v>0</v>
      </c>
      <c r="AA189" s="751">
        <v>50000</v>
      </c>
      <c r="AB189" s="766">
        <v>0</v>
      </c>
      <c r="AC189" s="751">
        <v>50000</v>
      </c>
      <c r="AD189" s="766">
        <v>0</v>
      </c>
      <c r="AE189" s="751">
        <v>50000</v>
      </c>
      <c r="AF189" s="751">
        <v>0</v>
      </c>
      <c r="AG189" s="751">
        <v>50000</v>
      </c>
      <c r="AH189" s="751">
        <v>0</v>
      </c>
      <c r="AI189" s="751">
        <v>50000</v>
      </c>
      <c r="AJ189" s="766">
        <v>0</v>
      </c>
      <c r="AK189" s="751">
        <v>50000</v>
      </c>
      <c r="AL189" s="766">
        <v>0</v>
      </c>
      <c r="AM189" s="751">
        <v>40000</v>
      </c>
      <c r="AN189" s="766">
        <v>0</v>
      </c>
      <c r="AO189" s="751">
        <v>40000</v>
      </c>
      <c r="AP189" s="765">
        <v>0</v>
      </c>
      <c r="AQ189" s="765"/>
      <c r="AR189" s="766">
        <v>0</v>
      </c>
      <c r="AS189" s="751">
        <v>40000</v>
      </c>
      <c r="AT189" s="769">
        <f t="shared" si="14"/>
        <v>520000</v>
      </c>
      <c r="AU189" s="750"/>
      <c r="AV189" s="771">
        <f t="shared" si="16"/>
        <v>520000</v>
      </c>
      <c r="AW189" s="752">
        <f t="shared" si="12"/>
        <v>0</v>
      </c>
      <c r="AY189" s="753"/>
    </row>
    <row r="190" spans="1:51" s="752" customFormat="1">
      <c r="A190" s="743">
        <f t="shared" si="17"/>
        <v>186</v>
      </c>
      <c r="B190" s="764"/>
      <c r="C190" s="757" t="s">
        <v>1408</v>
      </c>
      <c r="D190" s="746" t="s">
        <v>1518</v>
      </c>
      <c r="E190" s="747">
        <f t="shared" si="13"/>
        <v>920000</v>
      </c>
      <c r="F190" s="765">
        <v>50000</v>
      </c>
      <c r="G190" s="765"/>
      <c r="H190" s="765">
        <v>50000</v>
      </c>
      <c r="I190" s="765"/>
      <c r="J190" s="765">
        <v>50000</v>
      </c>
      <c r="K190" s="765"/>
      <c r="L190" s="765">
        <v>50000</v>
      </c>
      <c r="M190" s="765"/>
      <c r="N190" s="765">
        <v>50000</v>
      </c>
      <c r="O190" s="765"/>
      <c r="P190" s="765">
        <v>50000</v>
      </c>
      <c r="Q190" s="765"/>
      <c r="R190" s="765">
        <v>50000</v>
      </c>
      <c r="S190" s="765"/>
      <c r="T190" s="765">
        <v>50000</v>
      </c>
      <c r="U190" s="765"/>
      <c r="V190" s="765">
        <v>50000</v>
      </c>
      <c r="W190" s="765"/>
      <c r="X190" s="765">
        <v>50000</v>
      </c>
      <c r="Y190" s="765"/>
      <c r="Z190" s="765">
        <v>50000</v>
      </c>
      <c r="AA190" s="765"/>
      <c r="AB190" s="765">
        <v>50000</v>
      </c>
      <c r="AC190" s="765"/>
      <c r="AD190" s="766">
        <v>0</v>
      </c>
      <c r="AE190" s="751">
        <v>50000</v>
      </c>
      <c r="AF190" s="751">
        <v>0</v>
      </c>
      <c r="AG190" s="751">
        <v>50000</v>
      </c>
      <c r="AH190" s="751">
        <v>0</v>
      </c>
      <c r="AI190" s="751">
        <v>50000</v>
      </c>
      <c r="AJ190" s="766">
        <v>0</v>
      </c>
      <c r="AK190" s="751">
        <v>50000</v>
      </c>
      <c r="AL190" s="766">
        <v>0</v>
      </c>
      <c r="AM190" s="751">
        <v>40000</v>
      </c>
      <c r="AN190" s="766">
        <v>0</v>
      </c>
      <c r="AO190" s="751">
        <v>40000</v>
      </c>
      <c r="AP190" s="766">
        <v>0</v>
      </c>
      <c r="AQ190" s="751">
        <v>40000</v>
      </c>
      <c r="AR190" s="766">
        <v>0</v>
      </c>
      <c r="AS190" s="751">
        <v>40000</v>
      </c>
      <c r="AT190" s="769">
        <f t="shared" si="14"/>
        <v>360000</v>
      </c>
      <c r="AU190" s="750"/>
      <c r="AV190" s="771">
        <f t="shared" si="16"/>
        <v>360000</v>
      </c>
      <c r="AW190" s="752">
        <f t="shared" si="12"/>
        <v>0</v>
      </c>
      <c r="AY190" s="753"/>
    </row>
    <row r="191" spans="1:51" s="752" customFormat="1" hidden="1">
      <c r="A191" s="743">
        <f t="shared" si="17"/>
        <v>187</v>
      </c>
      <c r="B191" s="764"/>
      <c r="C191" s="757" t="s">
        <v>1409</v>
      </c>
      <c r="D191" s="746" t="s">
        <v>1519</v>
      </c>
      <c r="E191" s="747">
        <f t="shared" si="13"/>
        <v>350000</v>
      </c>
      <c r="F191" s="765">
        <v>50000</v>
      </c>
      <c r="G191" s="765"/>
      <c r="H191" s="765">
        <v>50000</v>
      </c>
      <c r="I191" s="765"/>
      <c r="J191" s="765">
        <v>50000</v>
      </c>
      <c r="K191" s="765"/>
      <c r="L191" s="765">
        <v>50000</v>
      </c>
      <c r="M191" s="765"/>
      <c r="N191" s="765">
        <v>50000</v>
      </c>
      <c r="O191" s="765"/>
      <c r="P191" s="765">
        <v>50000</v>
      </c>
      <c r="Q191" s="765"/>
      <c r="R191" s="765">
        <v>50000</v>
      </c>
      <c r="S191" s="765"/>
      <c r="T191" s="765">
        <v>0</v>
      </c>
      <c r="U191" s="765"/>
      <c r="V191" s="765">
        <v>0</v>
      </c>
      <c r="W191" s="765"/>
      <c r="X191" s="765">
        <v>0</v>
      </c>
      <c r="Y191" s="765"/>
      <c r="Z191" s="765">
        <v>0</v>
      </c>
      <c r="AA191" s="765"/>
      <c r="AB191" s="765">
        <v>0</v>
      </c>
      <c r="AC191" s="765"/>
      <c r="AD191" s="765">
        <v>0</v>
      </c>
      <c r="AE191" s="765"/>
      <c r="AF191" s="750">
        <v>0</v>
      </c>
      <c r="AG191" s="765"/>
      <c r="AH191" s="765"/>
      <c r="AI191" s="765"/>
      <c r="AJ191" s="765">
        <v>0</v>
      </c>
      <c r="AK191" s="765"/>
      <c r="AL191" s="765">
        <v>0</v>
      </c>
      <c r="AM191" s="765"/>
      <c r="AN191" s="765">
        <v>0</v>
      </c>
      <c r="AO191" s="765"/>
      <c r="AP191" s="765">
        <v>0</v>
      </c>
      <c r="AQ191" s="765"/>
      <c r="AR191" s="765">
        <v>0</v>
      </c>
      <c r="AS191" s="765"/>
      <c r="AT191" s="769">
        <f t="shared" si="14"/>
        <v>0</v>
      </c>
      <c r="AU191" s="750"/>
      <c r="AV191" s="769">
        <f t="shared" si="16"/>
        <v>0</v>
      </c>
      <c r="AW191" s="752">
        <f t="shared" si="12"/>
        <v>0</v>
      </c>
      <c r="AY191" s="753"/>
    </row>
    <row r="192" spans="1:51" s="752" customFormat="1">
      <c r="A192" s="743">
        <f t="shared" si="17"/>
        <v>188</v>
      </c>
      <c r="B192" s="764"/>
      <c r="C192" s="757" t="s">
        <v>1410</v>
      </c>
      <c r="D192" s="746" t="s">
        <v>1520</v>
      </c>
      <c r="E192" s="747">
        <f t="shared" si="13"/>
        <v>550000</v>
      </c>
      <c r="F192" s="765">
        <v>50000</v>
      </c>
      <c r="G192" s="765"/>
      <c r="H192" s="765">
        <v>50000</v>
      </c>
      <c r="I192" s="765"/>
      <c r="J192" s="765">
        <v>50000</v>
      </c>
      <c r="K192" s="765"/>
      <c r="L192" s="765">
        <v>50000</v>
      </c>
      <c r="M192" s="765"/>
      <c r="N192" s="765">
        <v>50000</v>
      </c>
      <c r="O192" s="765"/>
      <c r="P192" s="765">
        <v>50000</v>
      </c>
      <c r="Q192" s="765"/>
      <c r="R192" s="765">
        <v>50000</v>
      </c>
      <c r="S192" s="765"/>
      <c r="T192" s="765">
        <v>0</v>
      </c>
      <c r="U192" s="765"/>
      <c r="V192" s="766">
        <v>0</v>
      </c>
      <c r="W192" s="751">
        <v>50000</v>
      </c>
      <c r="X192" s="766">
        <v>0</v>
      </c>
      <c r="Y192" s="751">
        <v>50000</v>
      </c>
      <c r="Z192" s="766">
        <v>0</v>
      </c>
      <c r="AA192" s="751">
        <v>50000</v>
      </c>
      <c r="AB192" s="766">
        <v>0</v>
      </c>
      <c r="AC192" s="751">
        <v>50000</v>
      </c>
      <c r="AD192" s="765">
        <v>0</v>
      </c>
      <c r="AE192" s="765"/>
      <c r="AF192" s="750">
        <v>0</v>
      </c>
      <c r="AG192" s="765"/>
      <c r="AH192" s="765"/>
      <c r="AI192" s="765"/>
      <c r="AJ192" s="765">
        <v>0</v>
      </c>
      <c r="AK192" s="765"/>
      <c r="AL192" s="765">
        <v>0</v>
      </c>
      <c r="AM192" s="765"/>
      <c r="AN192" s="765">
        <v>0</v>
      </c>
      <c r="AO192" s="765"/>
      <c r="AP192" s="765">
        <v>0</v>
      </c>
      <c r="AQ192" s="765"/>
      <c r="AR192" s="765">
        <v>0</v>
      </c>
      <c r="AS192" s="765"/>
      <c r="AT192" s="769">
        <f t="shared" si="14"/>
        <v>200000</v>
      </c>
      <c r="AU192" s="750"/>
      <c r="AV192" s="771">
        <f t="shared" si="16"/>
        <v>200000</v>
      </c>
      <c r="AW192" s="752">
        <f t="shared" si="12"/>
        <v>0</v>
      </c>
      <c r="AY192" s="753"/>
    </row>
    <row r="193" spans="1:51" s="752" customFormat="1">
      <c r="A193" s="743">
        <f t="shared" si="17"/>
        <v>189</v>
      </c>
      <c r="B193" s="764"/>
      <c r="C193" s="757" t="s">
        <v>1411</v>
      </c>
      <c r="D193" s="746" t="s">
        <v>1521</v>
      </c>
      <c r="E193" s="747">
        <f t="shared" si="13"/>
        <v>880000</v>
      </c>
      <c r="F193" s="765">
        <v>50000</v>
      </c>
      <c r="G193" s="765"/>
      <c r="H193" s="765">
        <v>50000</v>
      </c>
      <c r="I193" s="765"/>
      <c r="J193" s="765">
        <v>50000</v>
      </c>
      <c r="K193" s="765"/>
      <c r="L193" s="765">
        <v>50000</v>
      </c>
      <c r="M193" s="765"/>
      <c r="N193" s="765">
        <v>50000</v>
      </c>
      <c r="O193" s="765"/>
      <c r="P193" s="765">
        <v>50000</v>
      </c>
      <c r="Q193" s="765"/>
      <c r="R193" s="765">
        <v>50000</v>
      </c>
      <c r="S193" s="765"/>
      <c r="T193" s="765">
        <v>50000</v>
      </c>
      <c r="U193" s="765"/>
      <c r="V193" s="766">
        <v>0</v>
      </c>
      <c r="W193" s="751">
        <v>50000</v>
      </c>
      <c r="X193" s="766">
        <v>0</v>
      </c>
      <c r="Y193" s="751">
        <v>50000</v>
      </c>
      <c r="Z193" s="766">
        <v>0</v>
      </c>
      <c r="AA193" s="751">
        <v>50000</v>
      </c>
      <c r="AB193" s="766">
        <v>0</v>
      </c>
      <c r="AC193" s="751">
        <v>50000</v>
      </c>
      <c r="AD193" s="766">
        <v>0</v>
      </c>
      <c r="AE193" s="751">
        <v>50000</v>
      </c>
      <c r="AF193" s="751">
        <v>0</v>
      </c>
      <c r="AG193" s="751">
        <v>50000</v>
      </c>
      <c r="AH193" s="751">
        <v>0</v>
      </c>
      <c r="AI193" s="751">
        <v>50000</v>
      </c>
      <c r="AJ193" s="766">
        <v>0</v>
      </c>
      <c r="AK193" s="751">
        <v>50000</v>
      </c>
      <c r="AL193" s="766">
        <v>0</v>
      </c>
      <c r="AM193" s="751">
        <v>40000</v>
      </c>
      <c r="AN193" s="766">
        <v>0</v>
      </c>
      <c r="AO193" s="751">
        <v>40000</v>
      </c>
      <c r="AP193" s="765">
        <v>0</v>
      </c>
      <c r="AQ193" s="765"/>
      <c r="AR193" s="766">
        <v>0</v>
      </c>
      <c r="AS193" s="751">
        <v>40000</v>
      </c>
      <c r="AT193" s="769">
        <f t="shared" si="14"/>
        <v>520000</v>
      </c>
      <c r="AU193" s="750"/>
      <c r="AV193" s="771">
        <f t="shared" si="16"/>
        <v>520000</v>
      </c>
      <c r="AW193" s="752">
        <f t="shared" si="12"/>
        <v>0</v>
      </c>
      <c r="AY193" s="753"/>
    </row>
    <row r="194" spans="1:51" s="752" customFormat="1">
      <c r="A194" s="743">
        <f t="shared" si="17"/>
        <v>190</v>
      </c>
      <c r="B194" s="764"/>
      <c r="C194" s="757" t="s">
        <v>1412</v>
      </c>
      <c r="D194" s="746" t="s">
        <v>1522</v>
      </c>
      <c r="E194" s="747">
        <f t="shared" si="13"/>
        <v>750000</v>
      </c>
      <c r="F194" s="765">
        <v>50000</v>
      </c>
      <c r="G194" s="765"/>
      <c r="H194" s="765">
        <v>50000</v>
      </c>
      <c r="I194" s="765"/>
      <c r="J194" s="765">
        <v>50000</v>
      </c>
      <c r="K194" s="765"/>
      <c r="L194" s="765">
        <v>50000</v>
      </c>
      <c r="M194" s="765"/>
      <c r="N194" s="765">
        <v>50000</v>
      </c>
      <c r="O194" s="765"/>
      <c r="P194" s="765">
        <v>50000</v>
      </c>
      <c r="Q194" s="765"/>
      <c r="R194" s="765">
        <v>50000</v>
      </c>
      <c r="S194" s="765"/>
      <c r="T194" s="765">
        <v>50000</v>
      </c>
      <c r="U194" s="765"/>
      <c r="V194" s="765">
        <v>50000</v>
      </c>
      <c r="W194" s="765"/>
      <c r="X194" s="765">
        <v>50000</v>
      </c>
      <c r="Y194" s="765"/>
      <c r="Z194" s="765">
        <v>50000</v>
      </c>
      <c r="AA194" s="765"/>
      <c r="AB194" s="765">
        <v>50000</v>
      </c>
      <c r="AC194" s="765"/>
      <c r="AD194" s="766">
        <v>0</v>
      </c>
      <c r="AE194" s="751">
        <v>50000</v>
      </c>
      <c r="AF194" s="751">
        <v>0</v>
      </c>
      <c r="AG194" s="751">
        <v>50000</v>
      </c>
      <c r="AH194" s="751">
        <v>0</v>
      </c>
      <c r="AI194" s="751">
        <v>50000</v>
      </c>
      <c r="AJ194" s="765">
        <v>0</v>
      </c>
      <c r="AK194" s="765"/>
      <c r="AL194" s="765">
        <v>0</v>
      </c>
      <c r="AM194" s="765"/>
      <c r="AN194" s="765">
        <v>0</v>
      </c>
      <c r="AO194" s="765"/>
      <c r="AP194" s="765">
        <v>0</v>
      </c>
      <c r="AQ194" s="765"/>
      <c r="AR194" s="765">
        <v>0</v>
      </c>
      <c r="AS194" s="765"/>
      <c r="AT194" s="769">
        <f t="shared" si="14"/>
        <v>150000</v>
      </c>
      <c r="AU194" s="750"/>
      <c r="AV194" s="771">
        <f t="shared" si="16"/>
        <v>150000</v>
      </c>
      <c r="AW194" s="752">
        <f t="shared" si="12"/>
        <v>0</v>
      </c>
      <c r="AY194" s="753"/>
    </row>
    <row r="195" spans="1:51" s="752" customFormat="1">
      <c r="A195" s="743">
        <f t="shared" si="17"/>
        <v>191</v>
      </c>
      <c r="B195" s="764"/>
      <c r="C195" s="757" t="s">
        <v>1413</v>
      </c>
      <c r="D195" s="746" t="s">
        <v>1523</v>
      </c>
      <c r="E195" s="747">
        <f t="shared" si="13"/>
        <v>650000</v>
      </c>
      <c r="F195" s="765">
        <v>50000</v>
      </c>
      <c r="G195" s="765"/>
      <c r="H195" s="766">
        <v>0</v>
      </c>
      <c r="I195" s="756">
        <v>50000</v>
      </c>
      <c r="J195" s="765">
        <v>50000</v>
      </c>
      <c r="K195" s="765"/>
      <c r="L195" s="765">
        <v>50000</v>
      </c>
      <c r="M195" s="765"/>
      <c r="N195" s="765">
        <v>50000</v>
      </c>
      <c r="O195" s="765"/>
      <c r="P195" s="765">
        <v>50000</v>
      </c>
      <c r="Q195" s="765"/>
      <c r="R195" s="765">
        <v>50000</v>
      </c>
      <c r="S195" s="765"/>
      <c r="T195" s="765">
        <v>50000</v>
      </c>
      <c r="U195" s="765"/>
      <c r="V195" s="766">
        <v>0</v>
      </c>
      <c r="W195" s="751">
        <v>50000</v>
      </c>
      <c r="X195" s="766">
        <v>0</v>
      </c>
      <c r="Y195" s="751">
        <v>50000</v>
      </c>
      <c r="Z195" s="765">
        <v>100000</v>
      </c>
      <c r="AA195" s="765"/>
      <c r="AB195" s="766">
        <v>0</v>
      </c>
      <c r="AC195" s="751">
        <v>50000</v>
      </c>
      <c r="AD195" s="765">
        <v>0</v>
      </c>
      <c r="AE195" s="765"/>
      <c r="AF195" s="750">
        <v>0</v>
      </c>
      <c r="AG195" s="765"/>
      <c r="AH195" s="765"/>
      <c r="AI195" s="765"/>
      <c r="AJ195" s="765">
        <v>0</v>
      </c>
      <c r="AK195" s="765"/>
      <c r="AL195" s="765">
        <v>0</v>
      </c>
      <c r="AM195" s="765"/>
      <c r="AN195" s="765">
        <v>0</v>
      </c>
      <c r="AO195" s="765"/>
      <c r="AP195" s="765">
        <v>0</v>
      </c>
      <c r="AQ195" s="765"/>
      <c r="AR195" s="765">
        <v>0</v>
      </c>
      <c r="AS195" s="765"/>
      <c r="AT195" s="769">
        <f t="shared" si="14"/>
        <v>200000</v>
      </c>
      <c r="AU195" s="750"/>
      <c r="AV195" s="771">
        <f t="shared" si="16"/>
        <v>200000</v>
      </c>
      <c r="AW195" s="752">
        <f t="shared" si="12"/>
        <v>0</v>
      </c>
      <c r="AY195" s="753"/>
    </row>
    <row r="196" spans="1:51" s="752" customFormat="1">
      <c r="A196" s="743">
        <f t="shared" si="17"/>
        <v>192</v>
      </c>
      <c r="B196" s="764"/>
      <c r="C196" s="757" t="s">
        <v>1414</v>
      </c>
      <c r="D196" s="746" t="s">
        <v>1524</v>
      </c>
      <c r="E196" s="747">
        <f t="shared" si="13"/>
        <v>600000</v>
      </c>
      <c r="F196" s="765">
        <v>50000</v>
      </c>
      <c r="G196" s="765"/>
      <c r="H196" s="765">
        <v>50000</v>
      </c>
      <c r="I196" s="765"/>
      <c r="J196" s="765">
        <v>50000</v>
      </c>
      <c r="K196" s="765"/>
      <c r="L196" s="765">
        <v>50000</v>
      </c>
      <c r="M196" s="765"/>
      <c r="N196" s="765">
        <v>50000</v>
      </c>
      <c r="O196" s="765"/>
      <c r="P196" s="765">
        <v>50000</v>
      </c>
      <c r="Q196" s="765"/>
      <c r="R196" s="765">
        <v>50000</v>
      </c>
      <c r="S196" s="765"/>
      <c r="T196" s="765">
        <v>50000</v>
      </c>
      <c r="U196" s="765"/>
      <c r="V196" s="766">
        <v>0</v>
      </c>
      <c r="W196" s="751">
        <v>50000</v>
      </c>
      <c r="X196" s="765">
        <v>50000</v>
      </c>
      <c r="Y196" s="765"/>
      <c r="Z196" s="765">
        <v>50000</v>
      </c>
      <c r="AA196" s="765"/>
      <c r="AB196" s="765">
        <v>50000</v>
      </c>
      <c r="AC196" s="765"/>
      <c r="AD196" s="765">
        <v>0</v>
      </c>
      <c r="AE196" s="765"/>
      <c r="AF196" s="750">
        <v>0</v>
      </c>
      <c r="AG196" s="765"/>
      <c r="AH196" s="765"/>
      <c r="AI196" s="765"/>
      <c r="AJ196" s="765">
        <v>0</v>
      </c>
      <c r="AK196" s="765"/>
      <c r="AL196" s="765">
        <v>0</v>
      </c>
      <c r="AM196" s="765"/>
      <c r="AN196" s="765">
        <v>0</v>
      </c>
      <c r="AO196" s="765"/>
      <c r="AP196" s="765">
        <v>0</v>
      </c>
      <c r="AQ196" s="765"/>
      <c r="AR196" s="765">
        <v>0</v>
      </c>
      <c r="AS196" s="765"/>
      <c r="AT196" s="769">
        <f t="shared" si="14"/>
        <v>50000</v>
      </c>
      <c r="AU196" s="750"/>
      <c r="AV196" s="771">
        <f t="shared" si="16"/>
        <v>50000</v>
      </c>
      <c r="AW196" s="752">
        <f t="shared" si="12"/>
        <v>0</v>
      </c>
      <c r="AY196" s="753"/>
    </row>
    <row r="197" spans="1:51" s="752" customFormat="1">
      <c r="A197" s="743">
        <f t="shared" si="17"/>
        <v>193</v>
      </c>
      <c r="B197" s="764"/>
      <c r="C197" s="757" t="s">
        <v>1415</v>
      </c>
      <c r="D197" s="746" t="s">
        <v>1525</v>
      </c>
      <c r="E197" s="747">
        <f t="shared" si="13"/>
        <v>250000</v>
      </c>
      <c r="F197" s="765">
        <v>0</v>
      </c>
      <c r="G197" s="765"/>
      <c r="H197" s="765">
        <v>0</v>
      </c>
      <c r="I197" s="765"/>
      <c r="J197" s="765">
        <v>0</v>
      </c>
      <c r="K197" s="765"/>
      <c r="L197" s="766">
        <v>0</v>
      </c>
      <c r="M197" s="751">
        <v>50000</v>
      </c>
      <c r="N197" s="765">
        <v>50000</v>
      </c>
      <c r="O197" s="765"/>
      <c r="P197" s="765">
        <v>50000</v>
      </c>
      <c r="Q197" s="765"/>
      <c r="R197" s="765">
        <v>50000</v>
      </c>
      <c r="S197" s="765"/>
      <c r="T197" s="765">
        <v>50000</v>
      </c>
      <c r="U197" s="765"/>
      <c r="V197" s="765">
        <v>0</v>
      </c>
      <c r="W197" s="765"/>
      <c r="X197" s="765">
        <v>0</v>
      </c>
      <c r="Y197" s="765"/>
      <c r="Z197" s="765">
        <v>0</v>
      </c>
      <c r="AA197" s="765"/>
      <c r="AB197" s="765">
        <v>0</v>
      </c>
      <c r="AC197" s="765"/>
      <c r="AD197" s="765">
        <v>0</v>
      </c>
      <c r="AE197" s="765"/>
      <c r="AF197" s="750">
        <v>0</v>
      </c>
      <c r="AG197" s="765"/>
      <c r="AH197" s="765"/>
      <c r="AI197" s="765"/>
      <c r="AJ197" s="765">
        <v>0</v>
      </c>
      <c r="AK197" s="765"/>
      <c r="AL197" s="765">
        <v>0</v>
      </c>
      <c r="AM197" s="765"/>
      <c r="AN197" s="765">
        <v>0</v>
      </c>
      <c r="AO197" s="765"/>
      <c r="AP197" s="765">
        <v>0</v>
      </c>
      <c r="AQ197" s="765"/>
      <c r="AR197" s="765">
        <v>0</v>
      </c>
      <c r="AS197" s="765"/>
      <c r="AT197" s="769">
        <f t="shared" si="14"/>
        <v>50000</v>
      </c>
      <c r="AU197" s="750"/>
      <c r="AV197" s="771">
        <f t="shared" si="16"/>
        <v>50000</v>
      </c>
      <c r="AW197" s="752">
        <f t="shared" ref="AW197:AW260" si="18">SUMIF(AX:AX,C197,AY:AY)</f>
        <v>0</v>
      </c>
      <c r="AY197" s="753"/>
    </row>
    <row r="198" spans="1:51" s="752" customFormat="1">
      <c r="A198" s="743">
        <f t="shared" si="17"/>
        <v>194</v>
      </c>
      <c r="B198" s="764"/>
      <c r="C198" s="757" t="s">
        <v>1416</v>
      </c>
      <c r="D198" s="746" t="s">
        <v>1526</v>
      </c>
      <c r="E198" s="747">
        <f t="shared" si="13"/>
        <v>880000</v>
      </c>
      <c r="F198" s="765">
        <v>50000</v>
      </c>
      <c r="G198" s="765"/>
      <c r="H198" s="765">
        <v>50000</v>
      </c>
      <c r="I198" s="765"/>
      <c r="J198" s="765">
        <v>50000</v>
      </c>
      <c r="K198" s="765"/>
      <c r="L198" s="765">
        <v>50000</v>
      </c>
      <c r="M198" s="765"/>
      <c r="N198" s="765">
        <v>50000</v>
      </c>
      <c r="O198" s="765"/>
      <c r="P198" s="765">
        <v>50000</v>
      </c>
      <c r="Q198" s="765"/>
      <c r="R198" s="765">
        <v>50000</v>
      </c>
      <c r="S198" s="765"/>
      <c r="T198" s="765">
        <v>50000</v>
      </c>
      <c r="U198" s="765"/>
      <c r="V198" s="766">
        <v>0</v>
      </c>
      <c r="W198" s="751">
        <v>50000</v>
      </c>
      <c r="X198" s="766">
        <v>0</v>
      </c>
      <c r="Y198" s="751">
        <v>50000</v>
      </c>
      <c r="Z198" s="766">
        <v>0</v>
      </c>
      <c r="AA198" s="751">
        <v>50000</v>
      </c>
      <c r="AB198" s="766">
        <v>0</v>
      </c>
      <c r="AC198" s="751">
        <v>50000</v>
      </c>
      <c r="AD198" s="766">
        <v>0</v>
      </c>
      <c r="AE198" s="751">
        <v>50000</v>
      </c>
      <c r="AF198" s="751">
        <v>0</v>
      </c>
      <c r="AG198" s="751">
        <v>50000</v>
      </c>
      <c r="AH198" s="751">
        <v>0</v>
      </c>
      <c r="AI198" s="751">
        <v>50000</v>
      </c>
      <c r="AJ198" s="766">
        <v>0</v>
      </c>
      <c r="AK198" s="751">
        <v>50000</v>
      </c>
      <c r="AL198" s="766">
        <v>0</v>
      </c>
      <c r="AM198" s="751">
        <v>40000</v>
      </c>
      <c r="AN198" s="766">
        <v>0</v>
      </c>
      <c r="AO198" s="751">
        <v>40000</v>
      </c>
      <c r="AP198" s="765">
        <v>0</v>
      </c>
      <c r="AQ198" s="765"/>
      <c r="AR198" s="766">
        <v>0</v>
      </c>
      <c r="AS198" s="751">
        <v>40000</v>
      </c>
      <c r="AT198" s="769">
        <f t="shared" ref="AT198:AT261" si="19">+AS198+AQ198+AO198+AM198+AK198+AI198+AG198+AE198+AC198+AA198+Y198+W198+U198+S198+Q198+O198+M198+K198+I198+G198</f>
        <v>520000</v>
      </c>
      <c r="AU198" s="750"/>
      <c r="AV198" s="771">
        <f t="shared" ref="AV198:AV261" si="20">+AT198-AW198</f>
        <v>520000</v>
      </c>
      <c r="AW198" s="752">
        <f t="shared" si="18"/>
        <v>0</v>
      </c>
      <c r="AY198" s="753"/>
    </row>
    <row r="199" spans="1:51" s="752" customFormat="1">
      <c r="A199" s="743">
        <f t="shared" ref="A199:A262" si="21">+A198+1</f>
        <v>195</v>
      </c>
      <c r="B199" s="764"/>
      <c r="C199" s="757" t="s">
        <v>1417</v>
      </c>
      <c r="D199" s="746" t="s">
        <v>1527</v>
      </c>
      <c r="E199" s="747">
        <f t="shared" si="13"/>
        <v>880000</v>
      </c>
      <c r="F199" s="765">
        <v>50000</v>
      </c>
      <c r="G199" s="765"/>
      <c r="H199" s="765">
        <v>50000</v>
      </c>
      <c r="I199" s="765"/>
      <c r="J199" s="765">
        <v>50000</v>
      </c>
      <c r="K199" s="765"/>
      <c r="L199" s="765">
        <v>50000</v>
      </c>
      <c r="M199" s="765"/>
      <c r="N199" s="765">
        <v>50000</v>
      </c>
      <c r="O199" s="765"/>
      <c r="P199" s="765">
        <v>50000</v>
      </c>
      <c r="Q199" s="765"/>
      <c r="R199" s="765">
        <v>50000</v>
      </c>
      <c r="S199" s="765"/>
      <c r="T199" s="765">
        <v>50000</v>
      </c>
      <c r="U199" s="765"/>
      <c r="V199" s="766">
        <v>0</v>
      </c>
      <c r="W199" s="751">
        <v>50000</v>
      </c>
      <c r="X199" s="766">
        <v>0</v>
      </c>
      <c r="Y199" s="751">
        <v>50000</v>
      </c>
      <c r="Z199" s="765">
        <v>50000</v>
      </c>
      <c r="AA199" s="765"/>
      <c r="AB199" s="766">
        <v>0</v>
      </c>
      <c r="AC199" s="751">
        <v>50000</v>
      </c>
      <c r="AD199" s="766">
        <v>0</v>
      </c>
      <c r="AE199" s="751">
        <v>50000</v>
      </c>
      <c r="AF199" s="751">
        <v>0</v>
      </c>
      <c r="AG199" s="751">
        <v>50000</v>
      </c>
      <c r="AH199" s="751">
        <v>0</v>
      </c>
      <c r="AI199" s="751">
        <v>50000</v>
      </c>
      <c r="AJ199" s="766">
        <v>0</v>
      </c>
      <c r="AK199" s="751">
        <v>50000</v>
      </c>
      <c r="AL199" s="766">
        <v>0</v>
      </c>
      <c r="AM199" s="751">
        <v>40000</v>
      </c>
      <c r="AN199" s="766">
        <v>0</v>
      </c>
      <c r="AO199" s="751">
        <v>40000</v>
      </c>
      <c r="AP199" s="765">
        <v>0</v>
      </c>
      <c r="AQ199" s="765"/>
      <c r="AR199" s="766">
        <v>0</v>
      </c>
      <c r="AS199" s="751">
        <v>40000</v>
      </c>
      <c r="AT199" s="769">
        <f t="shared" si="19"/>
        <v>470000</v>
      </c>
      <c r="AU199" s="750"/>
      <c r="AV199" s="771">
        <f t="shared" si="20"/>
        <v>470000</v>
      </c>
      <c r="AW199" s="752">
        <f t="shared" si="18"/>
        <v>0</v>
      </c>
      <c r="AY199" s="753"/>
    </row>
    <row r="200" spans="1:51" s="752" customFormat="1" hidden="1">
      <c r="A200" s="743">
        <f t="shared" si="21"/>
        <v>196</v>
      </c>
      <c r="B200" s="764"/>
      <c r="C200" s="757" t="s">
        <v>1418</v>
      </c>
      <c r="D200" s="746" t="s">
        <v>1528</v>
      </c>
      <c r="E200" s="747">
        <f t="shared" si="13"/>
        <v>400000</v>
      </c>
      <c r="F200" s="765">
        <v>50000</v>
      </c>
      <c r="G200" s="765"/>
      <c r="H200" s="765">
        <v>50000</v>
      </c>
      <c r="I200" s="765"/>
      <c r="J200" s="765">
        <v>50000</v>
      </c>
      <c r="K200" s="765"/>
      <c r="L200" s="765">
        <v>50000</v>
      </c>
      <c r="M200" s="765"/>
      <c r="N200" s="765">
        <v>50000</v>
      </c>
      <c r="O200" s="765"/>
      <c r="P200" s="765">
        <v>50000</v>
      </c>
      <c r="Q200" s="765"/>
      <c r="R200" s="765">
        <v>50000</v>
      </c>
      <c r="S200" s="765"/>
      <c r="T200" s="765">
        <v>50000</v>
      </c>
      <c r="U200" s="765"/>
      <c r="V200" s="765">
        <v>0</v>
      </c>
      <c r="W200" s="765"/>
      <c r="X200" s="765">
        <v>0</v>
      </c>
      <c r="Y200" s="765"/>
      <c r="Z200" s="765">
        <v>0</v>
      </c>
      <c r="AA200" s="765"/>
      <c r="AB200" s="765">
        <v>0</v>
      </c>
      <c r="AC200" s="765"/>
      <c r="AD200" s="765">
        <v>0</v>
      </c>
      <c r="AE200" s="765"/>
      <c r="AF200" s="750">
        <v>0</v>
      </c>
      <c r="AG200" s="765"/>
      <c r="AH200" s="765"/>
      <c r="AI200" s="765"/>
      <c r="AJ200" s="765">
        <v>0</v>
      </c>
      <c r="AK200" s="765"/>
      <c r="AL200" s="765">
        <v>0</v>
      </c>
      <c r="AM200" s="765"/>
      <c r="AN200" s="765">
        <v>0</v>
      </c>
      <c r="AO200" s="765"/>
      <c r="AP200" s="765">
        <v>0</v>
      </c>
      <c r="AQ200" s="765"/>
      <c r="AR200" s="765">
        <v>0</v>
      </c>
      <c r="AS200" s="765"/>
      <c r="AT200" s="769">
        <f t="shared" si="19"/>
        <v>0</v>
      </c>
      <c r="AU200" s="750"/>
      <c r="AV200" s="769">
        <f t="shared" si="20"/>
        <v>0</v>
      </c>
      <c r="AW200" s="752">
        <f t="shared" si="18"/>
        <v>0</v>
      </c>
      <c r="AY200" s="753"/>
    </row>
    <row r="201" spans="1:51" s="752" customFormat="1" hidden="1">
      <c r="A201" s="743">
        <f t="shared" si="21"/>
        <v>197</v>
      </c>
      <c r="B201" s="764"/>
      <c r="C201" s="757" t="s">
        <v>1419</v>
      </c>
      <c r="D201" s="746" t="s">
        <v>1529</v>
      </c>
      <c r="E201" s="747">
        <f t="shared" si="13"/>
        <v>400000</v>
      </c>
      <c r="F201" s="765">
        <v>50000</v>
      </c>
      <c r="G201" s="765"/>
      <c r="H201" s="765">
        <v>50000</v>
      </c>
      <c r="I201" s="765"/>
      <c r="J201" s="765">
        <v>50000</v>
      </c>
      <c r="K201" s="765"/>
      <c r="L201" s="765">
        <v>50000</v>
      </c>
      <c r="M201" s="765"/>
      <c r="N201" s="765">
        <v>50000</v>
      </c>
      <c r="O201" s="765"/>
      <c r="P201" s="765">
        <v>50000</v>
      </c>
      <c r="Q201" s="765"/>
      <c r="R201" s="765">
        <v>50000</v>
      </c>
      <c r="S201" s="765"/>
      <c r="T201" s="765">
        <v>50000</v>
      </c>
      <c r="U201" s="765"/>
      <c r="V201" s="765">
        <v>0</v>
      </c>
      <c r="W201" s="765"/>
      <c r="X201" s="765">
        <v>0</v>
      </c>
      <c r="Y201" s="765"/>
      <c r="Z201" s="765">
        <v>0</v>
      </c>
      <c r="AA201" s="765"/>
      <c r="AB201" s="765">
        <v>0</v>
      </c>
      <c r="AC201" s="765"/>
      <c r="AD201" s="765">
        <v>0</v>
      </c>
      <c r="AE201" s="765"/>
      <c r="AF201" s="750">
        <v>0</v>
      </c>
      <c r="AG201" s="765"/>
      <c r="AH201" s="765"/>
      <c r="AI201" s="765"/>
      <c r="AJ201" s="765">
        <v>0</v>
      </c>
      <c r="AK201" s="765"/>
      <c r="AL201" s="765">
        <v>0</v>
      </c>
      <c r="AM201" s="765"/>
      <c r="AN201" s="765">
        <v>0</v>
      </c>
      <c r="AO201" s="765"/>
      <c r="AP201" s="765">
        <v>0</v>
      </c>
      <c r="AQ201" s="765"/>
      <c r="AR201" s="765">
        <v>0</v>
      </c>
      <c r="AS201" s="765"/>
      <c r="AT201" s="769">
        <f t="shared" si="19"/>
        <v>0</v>
      </c>
      <c r="AU201" s="750"/>
      <c r="AV201" s="769">
        <f t="shared" si="20"/>
        <v>0</v>
      </c>
      <c r="AW201" s="752">
        <f t="shared" si="18"/>
        <v>0</v>
      </c>
      <c r="AY201" s="753"/>
    </row>
    <row r="202" spans="1:51" s="752" customFormat="1">
      <c r="A202" s="743">
        <f t="shared" si="21"/>
        <v>198</v>
      </c>
      <c r="B202" s="764"/>
      <c r="C202" s="757" t="s">
        <v>1420</v>
      </c>
      <c r="D202" s="746" t="s">
        <v>1530</v>
      </c>
      <c r="E202" s="747">
        <f t="shared" si="13"/>
        <v>880000</v>
      </c>
      <c r="F202" s="765">
        <v>50000</v>
      </c>
      <c r="G202" s="765"/>
      <c r="H202" s="765">
        <v>50000</v>
      </c>
      <c r="I202" s="765"/>
      <c r="J202" s="765">
        <v>50000</v>
      </c>
      <c r="K202" s="765"/>
      <c r="L202" s="765">
        <v>50000</v>
      </c>
      <c r="M202" s="765"/>
      <c r="N202" s="765">
        <v>50000</v>
      </c>
      <c r="O202" s="765"/>
      <c r="P202" s="765">
        <v>50000</v>
      </c>
      <c r="Q202" s="765"/>
      <c r="R202" s="765">
        <v>50000</v>
      </c>
      <c r="S202" s="765"/>
      <c r="T202" s="765">
        <v>50000</v>
      </c>
      <c r="U202" s="765"/>
      <c r="V202" s="766">
        <v>0</v>
      </c>
      <c r="W202" s="751">
        <v>50000</v>
      </c>
      <c r="X202" s="766">
        <v>0</v>
      </c>
      <c r="Y202" s="751">
        <v>50000</v>
      </c>
      <c r="Z202" s="766">
        <v>0</v>
      </c>
      <c r="AA202" s="751">
        <v>50000</v>
      </c>
      <c r="AB202" s="766">
        <v>0</v>
      </c>
      <c r="AC202" s="751">
        <v>50000</v>
      </c>
      <c r="AD202" s="766">
        <v>0</v>
      </c>
      <c r="AE202" s="751">
        <v>50000</v>
      </c>
      <c r="AF202" s="751">
        <v>0</v>
      </c>
      <c r="AG202" s="751">
        <v>50000</v>
      </c>
      <c r="AH202" s="751">
        <v>0</v>
      </c>
      <c r="AI202" s="751">
        <v>50000</v>
      </c>
      <c r="AJ202" s="766">
        <v>0</v>
      </c>
      <c r="AK202" s="751">
        <v>50000</v>
      </c>
      <c r="AL202" s="766">
        <v>0</v>
      </c>
      <c r="AM202" s="751">
        <v>40000</v>
      </c>
      <c r="AN202" s="766">
        <v>0</v>
      </c>
      <c r="AO202" s="751">
        <v>40000</v>
      </c>
      <c r="AP202" s="765">
        <v>0</v>
      </c>
      <c r="AQ202" s="765"/>
      <c r="AR202" s="766">
        <v>0</v>
      </c>
      <c r="AS202" s="751">
        <v>40000</v>
      </c>
      <c r="AT202" s="769">
        <f t="shared" si="19"/>
        <v>520000</v>
      </c>
      <c r="AU202" s="750"/>
      <c r="AV202" s="771">
        <f t="shared" si="20"/>
        <v>520000</v>
      </c>
      <c r="AW202" s="752">
        <f t="shared" si="18"/>
        <v>0</v>
      </c>
      <c r="AY202" s="753"/>
    </row>
    <row r="203" spans="1:51" s="752" customFormat="1">
      <c r="A203" s="743">
        <f t="shared" si="21"/>
        <v>199</v>
      </c>
      <c r="B203" s="764"/>
      <c r="C203" s="757" t="s">
        <v>1421</v>
      </c>
      <c r="D203" s="746" t="s">
        <v>1531</v>
      </c>
      <c r="E203" s="747">
        <f t="shared" si="13"/>
        <v>600000</v>
      </c>
      <c r="F203" s="765">
        <v>0</v>
      </c>
      <c r="G203" s="765"/>
      <c r="H203" s="765">
        <v>0</v>
      </c>
      <c r="I203" s="751">
        <v>50000</v>
      </c>
      <c r="J203" s="766">
        <v>0</v>
      </c>
      <c r="K203" s="751">
        <v>50000</v>
      </c>
      <c r="L203" s="765">
        <v>50000</v>
      </c>
      <c r="M203" s="765"/>
      <c r="N203" s="765">
        <v>50000</v>
      </c>
      <c r="O203" s="765"/>
      <c r="P203" s="765">
        <v>50000</v>
      </c>
      <c r="Q203" s="765"/>
      <c r="R203" s="765">
        <v>50000</v>
      </c>
      <c r="S203" s="765"/>
      <c r="T203" s="765">
        <v>50000</v>
      </c>
      <c r="U203" s="765"/>
      <c r="V203" s="765">
        <v>50000</v>
      </c>
      <c r="W203" s="765"/>
      <c r="X203" s="765">
        <v>50000</v>
      </c>
      <c r="Y203" s="765"/>
      <c r="Z203" s="765">
        <v>50000</v>
      </c>
      <c r="AA203" s="765"/>
      <c r="AB203" s="765">
        <v>50000</v>
      </c>
      <c r="AC203" s="765"/>
      <c r="AD203" s="766">
        <v>0</v>
      </c>
      <c r="AE203" s="751">
        <v>50000</v>
      </c>
      <c r="AF203" s="750">
        <v>0</v>
      </c>
      <c r="AG203" s="765"/>
      <c r="AH203" s="765"/>
      <c r="AI203" s="765"/>
      <c r="AJ203" s="765">
        <v>0</v>
      </c>
      <c r="AK203" s="765"/>
      <c r="AL203" s="765">
        <v>0</v>
      </c>
      <c r="AM203" s="765"/>
      <c r="AN203" s="765">
        <v>0</v>
      </c>
      <c r="AO203" s="765"/>
      <c r="AP203" s="765">
        <v>0</v>
      </c>
      <c r="AQ203" s="765"/>
      <c r="AR203" s="765">
        <v>0</v>
      </c>
      <c r="AS203" s="765"/>
      <c r="AT203" s="769">
        <f t="shared" si="19"/>
        <v>150000</v>
      </c>
      <c r="AU203" s="750"/>
      <c r="AV203" s="771">
        <f t="shared" si="20"/>
        <v>150000</v>
      </c>
      <c r="AW203" s="752">
        <f t="shared" si="18"/>
        <v>0</v>
      </c>
      <c r="AY203" s="753"/>
    </row>
    <row r="204" spans="1:51" s="752" customFormat="1">
      <c r="A204" s="743">
        <f t="shared" si="21"/>
        <v>200</v>
      </c>
      <c r="B204" s="764"/>
      <c r="C204" s="757" t="s">
        <v>1422</v>
      </c>
      <c r="D204" s="746" t="s">
        <v>1532</v>
      </c>
      <c r="E204" s="747">
        <f t="shared" si="13"/>
        <v>830000</v>
      </c>
      <c r="F204" s="765">
        <v>50000</v>
      </c>
      <c r="G204" s="765"/>
      <c r="H204" s="765">
        <v>50000</v>
      </c>
      <c r="I204" s="765"/>
      <c r="J204" s="765">
        <v>50000</v>
      </c>
      <c r="K204" s="765"/>
      <c r="L204" s="765">
        <v>50000</v>
      </c>
      <c r="M204" s="765"/>
      <c r="N204" s="765">
        <v>50000</v>
      </c>
      <c r="O204" s="765"/>
      <c r="P204" s="765">
        <v>50000</v>
      </c>
      <c r="Q204" s="765"/>
      <c r="R204" s="765">
        <v>50000</v>
      </c>
      <c r="S204" s="765"/>
      <c r="T204" s="765">
        <v>0</v>
      </c>
      <c r="U204" s="765"/>
      <c r="V204" s="766">
        <v>0</v>
      </c>
      <c r="W204" s="751">
        <v>50000</v>
      </c>
      <c r="X204" s="766">
        <v>0</v>
      </c>
      <c r="Y204" s="751">
        <v>50000</v>
      </c>
      <c r="Z204" s="766">
        <v>0</v>
      </c>
      <c r="AA204" s="751">
        <v>50000</v>
      </c>
      <c r="AB204" s="766">
        <v>0</v>
      </c>
      <c r="AC204" s="751">
        <v>50000</v>
      </c>
      <c r="AD204" s="766">
        <v>0</v>
      </c>
      <c r="AE204" s="751">
        <v>50000</v>
      </c>
      <c r="AF204" s="751">
        <v>0</v>
      </c>
      <c r="AG204" s="751">
        <v>50000</v>
      </c>
      <c r="AH204" s="751">
        <v>0</v>
      </c>
      <c r="AI204" s="751">
        <v>50000</v>
      </c>
      <c r="AJ204" s="766">
        <v>0</v>
      </c>
      <c r="AK204" s="751">
        <v>50000</v>
      </c>
      <c r="AL204" s="766">
        <v>0</v>
      </c>
      <c r="AM204" s="751">
        <v>40000</v>
      </c>
      <c r="AN204" s="766">
        <v>0</v>
      </c>
      <c r="AO204" s="751">
        <v>40000</v>
      </c>
      <c r="AP204" s="765">
        <v>0</v>
      </c>
      <c r="AQ204" s="765"/>
      <c r="AR204" s="766">
        <v>0</v>
      </c>
      <c r="AS204" s="751">
        <v>40000</v>
      </c>
      <c r="AT204" s="769">
        <f t="shared" si="19"/>
        <v>520000</v>
      </c>
      <c r="AU204" s="750"/>
      <c r="AV204" s="771">
        <f t="shared" si="20"/>
        <v>520000</v>
      </c>
      <c r="AW204" s="752">
        <f t="shared" si="18"/>
        <v>0</v>
      </c>
      <c r="AY204" s="753"/>
    </row>
    <row r="205" spans="1:51" s="725" customFormat="1">
      <c r="A205" s="738">
        <f t="shared" si="21"/>
        <v>201</v>
      </c>
      <c r="B205" s="724"/>
      <c r="C205" s="758" t="s">
        <v>1423</v>
      </c>
      <c r="D205" s="731" t="s">
        <v>1533</v>
      </c>
      <c r="E205" s="727">
        <f t="shared" si="13"/>
        <v>600000</v>
      </c>
      <c r="F205" s="728">
        <v>50000</v>
      </c>
      <c r="G205" s="728"/>
      <c r="H205" s="728">
        <v>50000</v>
      </c>
      <c r="I205" s="728"/>
      <c r="J205" s="728">
        <v>50000</v>
      </c>
      <c r="K205" s="728"/>
      <c r="L205" s="728">
        <v>50000</v>
      </c>
      <c r="M205" s="728"/>
      <c r="N205" s="728">
        <v>50000</v>
      </c>
      <c r="O205" s="728"/>
      <c r="P205" s="728">
        <v>50000</v>
      </c>
      <c r="Q205" s="728"/>
      <c r="R205" s="728">
        <v>50000</v>
      </c>
      <c r="S205" s="728"/>
      <c r="T205" s="728">
        <v>50000</v>
      </c>
      <c r="U205" s="728"/>
      <c r="V205" s="763">
        <v>0</v>
      </c>
      <c r="W205" s="741">
        <v>50000</v>
      </c>
      <c r="X205" s="763">
        <v>0</v>
      </c>
      <c r="Y205" s="741">
        <v>50000</v>
      </c>
      <c r="Z205" s="763">
        <v>0</v>
      </c>
      <c r="AA205" s="741">
        <v>50000</v>
      </c>
      <c r="AB205" s="763">
        <v>0</v>
      </c>
      <c r="AC205" s="741">
        <v>50000</v>
      </c>
      <c r="AD205" s="728">
        <v>0</v>
      </c>
      <c r="AE205" s="728"/>
      <c r="AF205" s="729">
        <v>0</v>
      </c>
      <c r="AG205" s="728"/>
      <c r="AH205" s="728"/>
      <c r="AI205" s="728"/>
      <c r="AJ205" s="728">
        <v>0</v>
      </c>
      <c r="AK205" s="728"/>
      <c r="AL205" s="728">
        <v>0</v>
      </c>
      <c r="AM205" s="728"/>
      <c r="AN205" s="728">
        <v>0</v>
      </c>
      <c r="AO205" s="728"/>
      <c r="AP205" s="728">
        <v>0</v>
      </c>
      <c r="AQ205" s="728"/>
      <c r="AR205" s="728">
        <v>0</v>
      </c>
      <c r="AS205" s="728"/>
      <c r="AT205" s="769">
        <f t="shared" si="19"/>
        <v>200000</v>
      </c>
      <c r="AU205" s="729"/>
      <c r="AV205" s="771">
        <f t="shared" si="20"/>
        <v>200000</v>
      </c>
      <c r="AW205" s="725">
        <f t="shared" si="18"/>
        <v>0</v>
      </c>
      <c r="AY205" s="742"/>
    </row>
    <row r="206" spans="1:51" s="725" customFormat="1">
      <c r="A206" s="738">
        <f t="shared" si="21"/>
        <v>202</v>
      </c>
      <c r="B206" s="724"/>
      <c r="C206" s="758" t="s">
        <v>1424</v>
      </c>
      <c r="D206" s="731" t="s">
        <v>1534</v>
      </c>
      <c r="E206" s="727">
        <f t="shared" si="13"/>
        <v>600000</v>
      </c>
      <c r="F206" s="728">
        <v>50000</v>
      </c>
      <c r="G206" s="728"/>
      <c r="H206" s="728">
        <v>50000</v>
      </c>
      <c r="I206" s="728"/>
      <c r="J206" s="728">
        <v>50000</v>
      </c>
      <c r="K206" s="728"/>
      <c r="L206" s="728">
        <v>50000</v>
      </c>
      <c r="M206" s="728"/>
      <c r="N206" s="728">
        <v>50000</v>
      </c>
      <c r="O206" s="728"/>
      <c r="P206" s="728">
        <v>50000</v>
      </c>
      <c r="Q206" s="728"/>
      <c r="R206" s="728">
        <v>50000</v>
      </c>
      <c r="S206" s="728"/>
      <c r="T206" s="728">
        <v>50000</v>
      </c>
      <c r="U206" s="728"/>
      <c r="V206" s="763">
        <v>0</v>
      </c>
      <c r="W206" s="741">
        <v>50000</v>
      </c>
      <c r="X206" s="763">
        <v>0</v>
      </c>
      <c r="Y206" s="741">
        <v>50000</v>
      </c>
      <c r="Z206" s="763">
        <v>0</v>
      </c>
      <c r="AA206" s="741">
        <v>50000</v>
      </c>
      <c r="AB206" s="763">
        <v>0</v>
      </c>
      <c r="AC206" s="741">
        <v>50000</v>
      </c>
      <c r="AD206" s="728">
        <v>0</v>
      </c>
      <c r="AE206" s="728"/>
      <c r="AF206" s="729">
        <v>0</v>
      </c>
      <c r="AG206" s="728"/>
      <c r="AH206" s="728"/>
      <c r="AI206" s="728"/>
      <c r="AJ206" s="728">
        <v>0</v>
      </c>
      <c r="AK206" s="728"/>
      <c r="AL206" s="728">
        <v>0</v>
      </c>
      <c r="AM206" s="728"/>
      <c r="AN206" s="728">
        <v>0</v>
      </c>
      <c r="AO206" s="728"/>
      <c r="AP206" s="728">
        <v>0</v>
      </c>
      <c r="AQ206" s="728"/>
      <c r="AR206" s="728">
        <v>0</v>
      </c>
      <c r="AS206" s="728"/>
      <c r="AT206" s="769">
        <f t="shared" si="19"/>
        <v>200000</v>
      </c>
      <c r="AU206" s="729"/>
      <c r="AV206" s="771">
        <f t="shared" si="20"/>
        <v>200000</v>
      </c>
      <c r="AW206" s="725">
        <f t="shared" si="18"/>
        <v>0</v>
      </c>
      <c r="AY206" s="742"/>
    </row>
    <row r="207" spans="1:51" s="725" customFormat="1">
      <c r="A207" s="738">
        <f t="shared" si="21"/>
        <v>203</v>
      </c>
      <c r="B207" s="724"/>
      <c r="C207" s="758" t="s">
        <v>1425</v>
      </c>
      <c r="D207" s="731" t="s">
        <v>1535</v>
      </c>
      <c r="E207" s="727">
        <f t="shared" si="13"/>
        <v>500000</v>
      </c>
      <c r="F207" s="728">
        <v>50000</v>
      </c>
      <c r="G207" s="728"/>
      <c r="H207" s="728">
        <v>50000</v>
      </c>
      <c r="I207" s="728"/>
      <c r="J207" s="728">
        <v>50000</v>
      </c>
      <c r="K207" s="728"/>
      <c r="L207" s="728">
        <v>50000</v>
      </c>
      <c r="M207" s="728"/>
      <c r="N207" s="728">
        <v>50000</v>
      </c>
      <c r="O207" s="728"/>
      <c r="P207" s="728">
        <v>50000</v>
      </c>
      <c r="Q207" s="728"/>
      <c r="R207" s="728">
        <v>50000</v>
      </c>
      <c r="S207" s="728"/>
      <c r="T207" s="728">
        <v>50000</v>
      </c>
      <c r="U207" s="728"/>
      <c r="V207" s="728">
        <v>0</v>
      </c>
      <c r="W207" s="728"/>
      <c r="X207" s="763">
        <v>0</v>
      </c>
      <c r="Y207" s="741">
        <v>50000</v>
      </c>
      <c r="Z207" s="728">
        <v>0</v>
      </c>
      <c r="AA207" s="728"/>
      <c r="AB207" s="728">
        <v>0</v>
      </c>
      <c r="AC207" s="728"/>
      <c r="AD207" s="728">
        <v>0</v>
      </c>
      <c r="AE207" s="728"/>
      <c r="AF207" s="741">
        <v>0</v>
      </c>
      <c r="AG207" s="741">
        <v>50000</v>
      </c>
      <c r="AH207" s="728"/>
      <c r="AI207" s="728"/>
      <c r="AJ207" s="728">
        <v>0</v>
      </c>
      <c r="AK207" s="728"/>
      <c r="AL207" s="728">
        <v>0</v>
      </c>
      <c r="AM207" s="728"/>
      <c r="AN207" s="728">
        <v>0</v>
      </c>
      <c r="AO207" s="728"/>
      <c r="AP207" s="728">
        <v>0</v>
      </c>
      <c r="AQ207" s="728"/>
      <c r="AR207" s="728">
        <v>0</v>
      </c>
      <c r="AS207" s="728"/>
      <c r="AT207" s="769">
        <f t="shared" si="19"/>
        <v>100000</v>
      </c>
      <c r="AU207" s="729"/>
      <c r="AV207" s="771">
        <f t="shared" si="20"/>
        <v>100000</v>
      </c>
      <c r="AW207" s="725">
        <f t="shared" si="18"/>
        <v>0</v>
      </c>
      <c r="AY207" s="742"/>
    </row>
    <row r="208" spans="1:51" s="725" customFormat="1">
      <c r="A208" s="738">
        <f t="shared" si="21"/>
        <v>204</v>
      </c>
      <c r="B208" s="724"/>
      <c r="C208" s="758" t="s">
        <v>1426</v>
      </c>
      <c r="D208" s="731" t="s">
        <v>1536</v>
      </c>
      <c r="E208" s="727">
        <f t="shared" si="13"/>
        <v>450000</v>
      </c>
      <c r="F208" s="728">
        <v>0</v>
      </c>
      <c r="G208" s="728"/>
      <c r="H208" s="728">
        <v>0</v>
      </c>
      <c r="I208" s="728"/>
      <c r="J208" s="728">
        <v>0</v>
      </c>
      <c r="K208" s="728"/>
      <c r="L208" s="763">
        <v>0</v>
      </c>
      <c r="M208" s="741">
        <v>50000</v>
      </c>
      <c r="N208" s="728">
        <v>50000</v>
      </c>
      <c r="O208" s="728"/>
      <c r="P208" s="728">
        <v>50000</v>
      </c>
      <c r="Q208" s="728"/>
      <c r="R208" s="728">
        <v>50000</v>
      </c>
      <c r="S208" s="728"/>
      <c r="T208" s="728">
        <v>50000</v>
      </c>
      <c r="U208" s="728"/>
      <c r="V208" s="728">
        <v>50000</v>
      </c>
      <c r="W208" s="728"/>
      <c r="X208" s="728">
        <v>50000</v>
      </c>
      <c r="Y208" s="728"/>
      <c r="Z208" s="728">
        <v>50000</v>
      </c>
      <c r="AA208" s="728"/>
      <c r="AB208" s="728">
        <v>50000</v>
      </c>
      <c r="AC208" s="728"/>
      <c r="AD208" s="728">
        <v>0</v>
      </c>
      <c r="AE208" s="728"/>
      <c r="AF208" s="729">
        <v>0</v>
      </c>
      <c r="AG208" s="728"/>
      <c r="AH208" s="728"/>
      <c r="AI208" s="728"/>
      <c r="AJ208" s="728">
        <v>0</v>
      </c>
      <c r="AK208" s="728"/>
      <c r="AL208" s="728">
        <v>0</v>
      </c>
      <c r="AM208" s="728"/>
      <c r="AN208" s="728">
        <v>0</v>
      </c>
      <c r="AO208" s="728"/>
      <c r="AP208" s="728">
        <v>0</v>
      </c>
      <c r="AQ208" s="728"/>
      <c r="AR208" s="728">
        <v>0</v>
      </c>
      <c r="AS208" s="728"/>
      <c r="AT208" s="769">
        <f t="shared" si="19"/>
        <v>50000</v>
      </c>
      <c r="AU208" s="729"/>
      <c r="AV208" s="771">
        <f t="shared" si="20"/>
        <v>50000</v>
      </c>
      <c r="AW208" s="725">
        <f t="shared" si="18"/>
        <v>0</v>
      </c>
      <c r="AY208" s="742"/>
    </row>
    <row r="209" spans="1:51" s="725" customFormat="1">
      <c r="A209" s="738">
        <f t="shared" si="21"/>
        <v>205</v>
      </c>
      <c r="B209" s="724"/>
      <c r="C209" s="758" t="s">
        <v>1427</v>
      </c>
      <c r="D209" s="731" t="s">
        <v>1537</v>
      </c>
      <c r="E209" s="727">
        <f t="shared" si="13"/>
        <v>970000</v>
      </c>
      <c r="F209" s="728">
        <v>50000</v>
      </c>
      <c r="G209" s="728"/>
      <c r="H209" s="728">
        <v>50000</v>
      </c>
      <c r="I209" s="728"/>
      <c r="J209" s="728">
        <v>50000</v>
      </c>
      <c r="K209" s="728"/>
      <c r="L209" s="728">
        <v>50000</v>
      </c>
      <c r="M209" s="728"/>
      <c r="N209" s="728">
        <v>50000</v>
      </c>
      <c r="O209" s="728"/>
      <c r="P209" s="728">
        <v>50000</v>
      </c>
      <c r="Q209" s="728"/>
      <c r="R209" s="728">
        <v>50000</v>
      </c>
      <c r="S209" s="728"/>
      <c r="T209" s="763">
        <v>0</v>
      </c>
      <c r="U209" s="763">
        <v>50000</v>
      </c>
      <c r="V209" s="763">
        <v>0</v>
      </c>
      <c r="W209" s="763">
        <v>50000</v>
      </c>
      <c r="X209" s="763">
        <v>0</v>
      </c>
      <c r="Y209" s="763">
        <v>50000</v>
      </c>
      <c r="Z209" s="763">
        <v>0</v>
      </c>
      <c r="AA209" s="763">
        <v>50000</v>
      </c>
      <c r="AB209" s="728">
        <v>100000</v>
      </c>
      <c r="AC209" s="728"/>
      <c r="AD209" s="763">
        <v>0</v>
      </c>
      <c r="AE209" s="763">
        <v>50000</v>
      </c>
      <c r="AF209" s="741">
        <v>0</v>
      </c>
      <c r="AG209" s="763">
        <v>50000</v>
      </c>
      <c r="AH209" s="741">
        <v>0</v>
      </c>
      <c r="AI209" s="763">
        <v>50000</v>
      </c>
      <c r="AJ209" s="763">
        <v>0</v>
      </c>
      <c r="AK209" s="763">
        <v>50000</v>
      </c>
      <c r="AL209" s="763">
        <v>0</v>
      </c>
      <c r="AM209" s="741">
        <v>40000</v>
      </c>
      <c r="AN209" s="763">
        <v>0</v>
      </c>
      <c r="AO209" s="741">
        <v>40000</v>
      </c>
      <c r="AP209" s="763">
        <v>0</v>
      </c>
      <c r="AQ209" s="741">
        <v>40000</v>
      </c>
      <c r="AR209" s="763">
        <v>0</v>
      </c>
      <c r="AS209" s="741">
        <v>40000</v>
      </c>
      <c r="AT209" s="769">
        <f t="shared" si="19"/>
        <v>560000</v>
      </c>
      <c r="AU209" s="729"/>
      <c r="AV209" s="771">
        <f t="shared" si="20"/>
        <v>560000</v>
      </c>
      <c r="AW209" s="725">
        <f t="shared" si="18"/>
        <v>0</v>
      </c>
      <c r="AY209" s="742"/>
    </row>
    <row r="210" spans="1:51" s="725" customFormat="1">
      <c r="A210" s="738">
        <f t="shared" si="21"/>
        <v>206</v>
      </c>
      <c r="B210" s="724"/>
      <c r="C210" s="758" t="s">
        <v>1428</v>
      </c>
      <c r="D210" s="731" t="s">
        <v>2022</v>
      </c>
      <c r="E210" s="727">
        <f t="shared" si="13"/>
        <v>830000</v>
      </c>
      <c r="F210" s="728">
        <v>50000</v>
      </c>
      <c r="G210" s="728"/>
      <c r="H210" s="728">
        <v>50000</v>
      </c>
      <c r="I210" s="728"/>
      <c r="J210" s="728">
        <v>50000</v>
      </c>
      <c r="K210" s="728"/>
      <c r="L210" s="728">
        <v>50000</v>
      </c>
      <c r="M210" s="728"/>
      <c r="N210" s="728">
        <v>50000</v>
      </c>
      <c r="O210" s="728"/>
      <c r="P210" s="728">
        <v>50000</v>
      </c>
      <c r="Q210" s="728"/>
      <c r="R210" s="728">
        <v>50000</v>
      </c>
      <c r="S210" s="728"/>
      <c r="T210" s="728">
        <v>0</v>
      </c>
      <c r="U210" s="728"/>
      <c r="V210" s="763">
        <v>0</v>
      </c>
      <c r="W210" s="763">
        <v>50000</v>
      </c>
      <c r="X210" s="763">
        <v>0</v>
      </c>
      <c r="Y210" s="763">
        <v>50000</v>
      </c>
      <c r="Z210" s="763">
        <v>0</v>
      </c>
      <c r="AA210" s="763">
        <v>50000</v>
      </c>
      <c r="AB210" s="763">
        <v>0</v>
      </c>
      <c r="AC210" s="763">
        <v>50000</v>
      </c>
      <c r="AD210" s="763">
        <v>0</v>
      </c>
      <c r="AE210" s="763">
        <v>50000</v>
      </c>
      <c r="AF210" s="741">
        <v>0</v>
      </c>
      <c r="AG210" s="763">
        <v>50000</v>
      </c>
      <c r="AH210" s="741">
        <v>0</v>
      </c>
      <c r="AI210" s="763">
        <v>50000</v>
      </c>
      <c r="AJ210" s="763">
        <v>0</v>
      </c>
      <c r="AK210" s="763">
        <v>50000</v>
      </c>
      <c r="AL210" s="763">
        <v>0</v>
      </c>
      <c r="AM210" s="741">
        <v>40000</v>
      </c>
      <c r="AN210" s="763">
        <v>0</v>
      </c>
      <c r="AO210" s="741">
        <v>40000</v>
      </c>
      <c r="AP210" s="728">
        <v>0</v>
      </c>
      <c r="AQ210" s="728"/>
      <c r="AR210" s="763">
        <v>0</v>
      </c>
      <c r="AS210" s="741">
        <v>40000</v>
      </c>
      <c r="AT210" s="769">
        <f t="shared" si="19"/>
        <v>520000</v>
      </c>
      <c r="AU210" s="729"/>
      <c r="AV210" s="771">
        <f t="shared" si="20"/>
        <v>520000</v>
      </c>
      <c r="AW210" s="725">
        <f t="shared" si="18"/>
        <v>0</v>
      </c>
      <c r="AY210" s="742"/>
    </row>
    <row r="211" spans="1:51" s="725" customFormat="1">
      <c r="A211" s="738">
        <f t="shared" si="21"/>
        <v>207</v>
      </c>
      <c r="B211" s="724"/>
      <c r="C211" s="758" t="s">
        <v>1429</v>
      </c>
      <c r="D211" s="731" t="s">
        <v>1538</v>
      </c>
      <c r="E211" s="727">
        <f t="shared" si="13"/>
        <v>880000</v>
      </c>
      <c r="F211" s="728">
        <v>50000</v>
      </c>
      <c r="G211" s="728"/>
      <c r="H211" s="728">
        <v>50000</v>
      </c>
      <c r="I211" s="728"/>
      <c r="J211" s="728">
        <v>50000</v>
      </c>
      <c r="K211" s="728"/>
      <c r="L211" s="728">
        <v>50000</v>
      </c>
      <c r="M211" s="728"/>
      <c r="N211" s="728">
        <v>50000</v>
      </c>
      <c r="O211" s="728"/>
      <c r="P211" s="728">
        <v>50000</v>
      </c>
      <c r="Q211" s="728"/>
      <c r="R211" s="728">
        <v>50000</v>
      </c>
      <c r="S211" s="728"/>
      <c r="T211" s="728">
        <v>50000</v>
      </c>
      <c r="U211" s="728"/>
      <c r="V211" s="763">
        <v>0</v>
      </c>
      <c r="W211" s="763">
        <v>50000</v>
      </c>
      <c r="X211" s="763">
        <v>0</v>
      </c>
      <c r="Y211" s="763">
        <v>50000</v>
      </c>
      <c r="Z211" s="763">
        <v>0</v>
      </c>
      <c r="AA211" s="763">
        <v>50000</v>
      </c>
      <c r="AB211" s="763">
        <v>0</v>
      </c>
      <c r="AC211" s="763">
        <v>50000</v>
      </c>
      <c r="AD211" s="763">
        <v>0</v>
      </c>
      <c r="AE211" s="763">
        <v>50000</v>
      </c>
      <c r="AF211" s="741">
        <v>0</v>
      </c>
      <c r="AG211" s="763">
        <v>50000</v>
      </c>
      <c r="AH211" s="741">
        <v>0</v>
      </c>
      <c r="AI211" s="763">
        <v>50000</v>
      </c>
      <c r="AJ211" s="763">
        <v>0</v>
      </c>
      <c r="AK211" s="763">
        <v>50000</v>
      </c>
      <c r="AL211" s="763">
        <v>0</v>
      </c>
      <c r="AM211" s="741">
        <v>40000</v>
      </c>
      <c r="AN211" s="763">
        <v>0</v>
      </c>
      <c r="AO211" s="741">
        <v>40000</v>
      </c>
      <c r="AP211" s="728">
        <v>0</v>
      </c>
      <c r="AQ211" s="728"/>
      <c r="AR211" s="763">
        <v>0</v>
      </c>
      <c r="AS211" s="741">
        <v>40000</v>
      </c>
      <c r="AT211" s="769">
        <f t="shared" si="19"/>
        <v>520000</v>
      </c>
      <c r="AU211" s="729"/>
      <c r="AV211" s="771">
        <f t="shared" si="20"/>
        <v>520000</v>
      </c>
      <c r="AW211" s="725">
        <f t="shared" si="18"/>
        <v>0</v>
      </c>
      <c r="AY211" s="742"/>
    </row>
    <row r="212" spans="1:51" s="725" customFormat="1">
      <c r="A212" s="738">
        <f t="shared" si="21"/>
        <v>208</v>
      </c>
      <c r="B212" s="724"/>
      <c r="C212" s="758" t="s">
        <v>1430</v>
      </c>
      <c r="D212" s="731" t="s">
        <v>1539</v>
      </c>
      <c r="E212" s="727">
        <f t="shared" si="13"/>
        <v>920000</v>
      </c>
      <c r="F212" s="728">
        <v>50000</v>
      </c>
      <c r="G212" s="728"/>
      <c r="H212" s="728">
        <v>50000</v>
      </c>
      <c r="I212" s="728"/>
      <c r="J212" s="728">
        <v>50000</v>
      </c>
      <c r="K212" s="728"/>
      <c r="L212" s="728">
        <v>50000</v>
      </c>
      <c r="M212" s="728"/>
      <c r="N212" s="728">
        <v>50000</v>
      </c>
      <c r="O212" s="728"/>
      <c r="P212" s="728">
        <v>50000</v>
      </c>
      <c r="Q212" s="728"/>
      <c r="R212" s="728">
        <v>50000</v>
      </c>
      <c r="S212" s="728"/>
      <c r="T212" s="728">
        <v>50000</v>
      </c>
      <c r="U212" s="728"/>
      <c r="V212" s="763">
        <v>0</v>
      </c>
      <c r="W212" s="763">
        <v>50000</v>
      </c>
      <c r="X212" s="728">
        <v>50000</v>
      </c>
      <c r="Y212" s="728"/>
      <c r="Z212" s="728">
        <v>50000</v>
      </c>
      <c r="AA212" s="728"/>
      <c r="AB212" s="728">
        <v>50000</v>
      </c>
      <c r="AC212" s="728"/>
      <c r="AD212" s="763">
        <v>0</v>
      </c>
      <c r="AE212" s="763">
        <v>50000</v>
      </c>
      <c r="AF212" s="741">
        <v>0</v>
      </c>
      <c r="AG212" s="763">
        <v>50000</v>
      </c>
      <c r="AH212" s="741">
        <v>0</v>
      </c>
      <c r="AI212" s="763">
        <v>50000</v>
      </c>
      <c r="AJ212" s="763">
        <v>0</v>
      </c>
      <c r="AK212" s="763">
        <v>50000</v>
      </c>
      <c r="AL212" s="763">
        <v>0</v>
      </c>
      <c r="AM212" s="741">
        <v>40000</v>
      </c>
      <c r="AN212" s="763">
        <v>0</v>
      </c>
      <c r="AO212" s="741">
        <v>40000</v>
      </c>
      <c r="AP212" s="763">
        <v>0</v>
      </c>
      <c r="AQ212" s="741">
        <v>40000</v>
      </c>
      <c r="AR212" s="763">
        <v>0</v>
      </c>
      <c r="AS212" s="741">
        <v>40000</v>
      </c>
      <c r="AT212" s="769">
        <f t="shared" si="19"/>
        <v>410000</v>
      </c>
      <c r="AU212" s="729"/>
      <c r="AV212" s="771">
        <f t="shared" si="20"/>
        <v>410000</v>
      </c>
      <c r="AW212" s="725">
        <f t="shared" si="18"/>
        <v>0</v>
      </c>
      <c r="AY212" s="742"/>
    </row>
    <row r="213" spans="1:51" s="725" customFormat="1">
      <c r="A213" s="738">
        <f t="shared" si="21"/>
        <v>209</v>
      </c>
      <c r="B213" s="724"/>
      <c r="C213" s="758" t="s">
        <v>1431</v>
      </c>
      <c r="D213" s="731" t="s">
        <v>1540</v>
      </c>
      <c r="E213" s="727">
        <f t="shared" si="13"/>
        <v>650000</v>
      </c>
      <c r="F213" s="728">
        <v>50000</v>
      </c>
      <c r="G213" s="728"/>
      <c r="H213" s="728">
        <v>50000</v>
      </c>
      <c r="I213" s="728"/>
      <c r="J213" s="728">
        <v>50000</v>
      </c>
      <c r="K213" s="728"/>
      <c r="L213" s="728">
        <v>50000</v>
      </c>
      <c r="M213" s="728"/>
      <c r="N213" s="728">
        <v>50000</v>
      </c>
      <c r="O213" s="728"/>
      <c r="P213" s="728">
        <v>50000</v>
      </c>
      <c r="Q213" s="728"/>
      <c r="R213" s="728">
        <v>50000</v>
      </c>
      <c r="S213" s="728"/>
      <c r="T213" s="728">
        <v>50000</v>
      </c>
      <c r="U213" s="728"/>
      <c r="V213" s="728">
        <v>50000</v>
      </c>
      <c r="W213" s="728"/>
      <c r="X213" s="728">
        <v>50000</v>
      </c>
      <c r="Y213" s="728"/>
      <c r="Z213" s="728">
        <v>50000</v>
      </c>
      <c r="AA213" s="728"/>
      <c r="AB213" s="728">
        <v>50000</v>
      </c>
      <c r="AC213" s="728"/>
      <c r="AD213" s="728">
        <v>0</v>
      </c>
      <c r="AE213" s="728"/>
      <c r="AF213" s="729">
        <v>0</v>
      </c>
      <c r="AG213" s="728"/>
      <c r="AH213" s="728"/>
      <c r="AI213" s="728"/>
      <c r="AJ213" s="763">
        <v>0</v>
      </c>
      <c r="AK213" s="763">
        <v>50000</v>
      </c>
      <c r="AL213" s="728">
        <v>0</v>
      </c>
      <c r="AM213" s="728"/>
      <c r="AN213" s="728">
        <v>0</v>
      </c>
      <c r="AO213" s="728"/>
      <c r="AP213" s="728">
        <v>0</v>
      </c>
      <c r="AQ213" s="728"/>
      <c r="AR213" s="728">
        <v>0</v>
      </c>
      <c r="AS213" s="728"/>
      <c r="AT213" s="769">
        <f t="shared" si="19"/>
        <v>50000</v>
      </c>
      <c r="AU213" s="729"/>
      <c r="AV213" s="771">
        <f t="shared" si="20"/>
        <v>50000</v>
      </c>
      <c r="AW213" s="725">
        <f t="shared" si="18"/>
        <v>0</v>
      </c>
      <c r="AY213" s="742"/>
    </row>
    <row r="214" spans="1:51" s="725" customFormat="1">
      <c r="A214" s="738">
        <f t="shared" si="21"/>
        <v>210</v>
      </c>
      <c r="B214" s="724"/>
      <c r="C214" s="758" t="s">
        <v>1432</v>
      </c>
      <c r="D214" s="731" t="s">
        <v>1541</v>
      </c>
      <c r="E214" s="727">
        <f t="shared" si="13"/>
        <v>450000</v>
      </c>
      <c r="F214" s="728">
        <v>50000</v>
      </c>
      <c r="G214" s="728"/>
      <c r="H214" s="728">
        <v>50000</v>
      </c>
      <c r="I214" s="728"/>
      <c r="J214" s="728">
        <v>50000</v>
      </c>
      <c r="K214" s="728"/>
      <c r="L214" s="728">
        <v>50000</v>
      </c>
      <c r="M214" s="728"/>
      <c r="N214" s="728">
        <v>50000</v>
      </c>
      <c r="O214" s="728"/>
      <c r="P214" s="728">
        <v>50000</v>
      </c>
      <c r="Q214" s="728"/>
      <c r="R214" s="728">
        <v>50000</v>
      </c>
      <c r="S214" s="728"/>
      <c r="T214" s="728">
        <v>50000</v>
      </c>
      <c r="U214" s="728"/>
      <c r="V214" s="728">
        <v>0</v>
      </c>
      <c r="W214" s="728"/>
      <c r="X214" s="728">
        <v>0</v>
      </c>
      <c r="Y214" s="728"/>
      <c r="Z214" s="763">
        <v>0</v>
      </c>
      <c r="AA214" s="763">
        <v>50000</v>
      </c>
      <c r="AB214" s="728">
        <v>0</v>
      </c>
      <c r="AC214" s="728"/>
      <c r="AD214" s="728">
        <v>0</v>
      </c>
      <c r="AE214" s="728"/>
      <c r="AF214" s="729">
        <v>0</v>
      </c>
      <c r="AG214" s="728"/>
      <c r="AH214" s="728"/>
      <c r="AI214" s="728"/>
      <c r="AJ214" s="728">
        <v>0</v>
      </c>
      <c r="AK214" s="728"/>
      <c r="AL214" s="728">
        <v>0</v>
      </c>
      <c r="AM214" s="728"/>
      <c r="AN214" s="728">
        <v>0</v>
      </c>
      <c r="AO214" s="728"/>
      <c r="AP214" s="728">
        <v>0</v>
      </c>
      <c r="AQ214" s="728"/>
      <c r="AR214" s="728">
        <v>0</v>
      </c>
      <c r="AS214" s="728"/>
      <c r="AT214" s="769">
        <f t="shared" si="19"/>
        <v>50000</v>
      </c>
      <c r="AU214" s="729"/>
      <c r="AV214" s="771">
        <f t="shared" si="20"/>
        <v>50000</v>
      </c>
      <c r="AW214" s="725">
        <f t="shared" si="18"/>
        <v>0</v>
      </c>
      <c r="AY214" s="742"/>
    </row>
    <row r="215" spans="1:51" s="725" customFormat="1">
      <c r="A215" s="738">
        <f t="shared" si="21"/>
        <v>211</v>
      </c>
      <c r="B215" s="724"/>
      <c r="C215" s="758" t="s">
        <v>1433</v>
      </c>
      <c r="D215" s="731" t="s">
        <v>2023</v>
      </c>
      <c r="E215" s="727">
        <f t="shared" si="13"/>
        <v>830000</v>
      </c>
      <c r="F215" s="728">
        <v>50000</v>
      </c>
      <c r="G215" s="728"/>
      <c r="H215" s="728">
        <v>50000</v>
      </c>
      <c r="I215" s="728"/>
      <c r="J215" s="728">
        <v>50000</v>
      </c>
      <c r="K215" s="728"/>
      <c r="L215" s="728">
        <v>50000</v>
      </c>
      <c r="M215" s="728"/>
      <c r="N215" s="728">
        <v>50000</v>
      </c>
      <c r="O215" s="728"/>
      <c r="P215" s="728">
        <v>50000</v>
      </c>
      <c r="Q215" s="728"/>
      <c r="R215" s="728">
        <v>50000</v>
      </c>
      <c r="S215" s="728"/>
      <c r="T215" s="728">
        <v>0</v>
      </c>
      <c r="U215" s="728"/>
      <c r="V215" s="763">
        <v>0</v>
      </c>
      <c r="W215" s="763">
        <v>50000</v>
      </c>
      <c r="X215" s="763">
        <v>0</v>
      </c>
      <c r="Y215" s="763">
        <v>50000</v>
      </c>
      <c r="Z215" s="763">
        <v>0</v>
      </c>
      <c r="AA215" s="763">
        <v>50000</v>
      </c>
      <c r="AB215" s="763">
        <v>0</v>
      </c>
      <c r="AC215" s="763">
        <v>50000</v>
      </c>
      <c r="AD215" s="763">
        <v>0</v>
      </c>
      <c r="AE215" s="763">
        <v>50000</v>
      </c>
      <c r="AF215" s="741">
        <v>0</v>
      </c>
      <c r="AG215" s="763">
        <v>50000</v>
      </c>
      <c r="AH215" s="741">
        <v>0</v>
      </c>
      <c r="AI215" s="763">
        <v>50000</v>
      </c>
      <c r="AJ215" s="763">
        <v>0</v>
      </c>
      <c r="AK215" s="763">
        <v>50000</v>
      </c>
      <c r="AL215" s="763">
        <v>0</v>
      </c>
      <c r="AM215" s="741">
        <v>40000</v>
      </c>
      <c r="AN215" s="763">
        <v>0</v>
      </c>
      <c r="AO215" s="741">
        <v>40000</v>
      </c>
      <c r="AP215" s="728">
        <v>0</v>
      </c>
      <c r="AQ215" s="728"/>
      <c r="AR215" s="763">
        <v>0</v>
      </c>
      <c r="AS215" s="741">
        <v>40000</v>
      </c>
      <c r="AT215" s="769">
        <f t="shared" si="19"/>
        <v>520000</v>
      </c>
      <c r="AU215" s="729"/>
      <c r="AV215" s="771">
        <f t="shared" si="20"/>
        <v>520000</v>
      </c>
      <c r="AW215" s="725">
        <f t="shared" si="18"/>
        <v>0</v>
      </c>
      <c r="AY215" s="742"/>
    </row>
    <row r="216" spans="1:51" s="725" customFormat="1">
      <c r="A216" s="738">
        <f t="shared" si="21"/>
        <v>212</v>
      </c>
      <c r="B216" s="724"/>
      <c r="C216" s="758" t="s">
        <v>1434</v>
      </c>
      <c r="D216" s="731" t="s">
        <v>1542</v>
      </c>
      <c r="E216" s="727">
        <f t="shared" si="13"/>
        <v>500000</v>
      </c>
      <c r="F216" s="728">
        <v>50000</v>
      </c>
      <c r="G216" s="728"/>
      <c r="H216" s="728">
        <v>50000</v>
      </c>
      <c r="I216" s="728"/>
      <c r="J216" s="728">
        <v>50000</v>
      </c>
      <c r="K216" s="728"/>
      <c r="L216" s="728">
        <v>50000</v>
      </c>
      <c r="M216" s="728"/>
      <c r="N216" s="728">
        <v>50000</v>
      </c>
      <c r="O216" s="728"/>
      <c r="P216" s="728">
        <v>50000</v>
      </c>
      <c r="Q216" s="728"/>
      <c r="R216" s="728">
        <v>50000</v>
      </c>
      <c r="S216" s="728"/>
      <c r="T216" s="728">
        <v>50000</v>
      </c>
      <c r="U216" s="728"/>
      <c r="V216" s="763">
        <v>0</v>
      </c>
      <c r="W216" s="763">
        <v>50000</v>
      </c>
      <c r="X216" s="728">
        <v>0</v>
      </c>
      <c r="Y216" s="728"/>
      <c r="Z216" s="728">
        <v>50000</v>
      </c>
      <c r="AA216" s="728"/>
      <c r="AB216" s="728">
        <v>0</v>
      </c>
      <c r="AC216" s="728"/>
      <c r="AD216" s="728">
        <v>0</v>
      </c>
      <c r="AE216" s="728"/>
      <c r="AF216" s="729">
        <v>0</v>
      </c>
      <c r="AG216" s="728"/>
      <c r="AH216" s="728"/>
      <c r="AI216" s="728"/>
      <c r="AJ216" s="728">
        <v>0</v>
      </c>
      <c r="AK216" s="728"/>
      <c r="AL216" s="728">
        <v>0</v>
      </c>
      <c r="AM216" s="728"/>
      <c r="AN216" s="728">
        <v>0</v>
      </c>
      <c r="AO216" s="728"/>
      <c r="AP216" s="728">
        <v>0</v>
      </c>
      <c r="AQ216" s="728"/>
      <c r="AR216" s="728">
        <v>0</v>
      </c>
      <c r="AS216" s="728"/>
      <c r="AT216" s="769">
        <f t="shared" si="19"/>
        <v>50000</v>
      </c>
      <c r="AU216" s="729"/>
      <c r="AV216" s="771">
        <f t="shared" si="20"/>
        <v>50000</v>
      </c>
      <c r="AW216" s="725">
        <f t="shared" si="18"/>
        <v>0</v>
      </c>
      <c r="AY216" s="742"/>
    </row>
    <row r="217" spans="1:51" s="725" customFormat="1">
      <c r="A217" s="738">
        <f t="shared" si="21"/>
        <v>213</v>
      </c>
      <c r="B217" s="724"/>
      <c r="C217" s="758" t="s">
        <v>1435</v>
      </c>
      <c r="D217" s="731" t="s">
        <v>1543</v>
      </c>
      <c r="E217" s="727">
        <f t="shared" si="13"/>
        <v>880000</v>
      </c>
      <c r="F217" s="728">
        <v>50000</v>
      </c>
      <c r="G217" s="728"/>
      <c r="H217" s="728">
        <v>50000</v>
      </c>
      <c r="I217" s="728"/>
      <c r="J217" s="728">
        <v>50000</v>
      </c>
      <c r="K217" s="728"/>
      <c r="L217" s="728">
        <v>50000</v>
      </c>
      <c r="M217" s="728"/>
      <c r="N217" s="728">
        <v>50000</v>
      </c>
      <c r="O217" s="728"/>
      <c r="P217" s="728">
        <v>50000</v>
      </c>
      <c r="Q217" s="728"/>
      <c r="R217" s="728">
        <v>50000</v>
      </c>
      <c r="S217" s="728"/>
      <c r="T217" s="728">
        <v>50000</v>
      </c>
      <c r="U217" s="728"/>
      <c r="V217" s="763">
        <v>0</v>
      </c>
      <c r="W217" s="763">
        <v>50000</v>
      </c>
      <c r="X217" s="763">
        <v>0</v>
      </c>
      <c r="Y217" s="763">
        <v>50000</v>
      </c>
      <c r="Z217" s="763">
        <v>0</v>
      </c>
      <c r="AA217" s="763">
        <v>50000</v>
      </c>
      <c r="AB217" s="763">
        <v>0</v>
      </c>
      <c r="AC217" s="763">
        <v>50000</v>
      </c>
      <c r="AD217" s="763">
        <v>0</v>
      </c>
      <c r="AE217" s="763">
        <v>50000</v>
      </c>
      <c r="AF217" s="741">
        <v>0</v>
      </c>
      <c r="AG217" s="763">
        <v>50000</v>
      </c>
      <c r="AH217" s="741">
        <v>0</v>
      </c>
      <c r="AI217" s="763">
        <v>50000</v>
      </c>
      <c r="AJ217" s="763">
        <v>0</v>
      </c>
      <c r="AK217" s="763">
        <v>50000</v>
      </c>
      <c r="AL217" s="763">
        <v>0</v>
      </c>
      <c r="AM217" s="741">
        <v>40000</v>
      </c>
      <c r="AN217" s="763">
        <v>0</v>
      </c>
      <c r="AO217" s="741">
        <v>40000</v>
      </c>
      <c r="AP217" s="728">
        <v>0</v>
      </c>
      <c r="AQ217" s="728"/>
      <c r="AR217" s="763">
        <v>0</v>
      </c>
      <c r="AS217" s="741">
        <v>40000</v>
      </c>
      <c r="AT217" s="769">
        <f t="shared" si="19"/>
        <v>520000</v>
      </c>
      <c r="AU217" s="729"/>
      <c r="AV217" s="771">
        <f t="shared" si="20"/>
        <v>520000</v>
      </c>
      <c r="AW217" s="725">
        <f t="shared" si="18"/>
        <v>0</v>
      </c>
      <c r="AY217" s="742"/>
    </row>
    <row r="218" spans="1:51" s="725" customFormat="1">
      <c r="A218" s="738">
        <f t="shared" si="21"/>
        <v>214</v>
      </c>
      <c r="B218" s="724"/>
      <c r="C218" s="758" t="s">
        <v>1436</v>
      </c>
      <c r="D218" s="731" t="s">
        <v>1544</v>
      </c>
      <c r="E218" s="727">
        <f t="shared" si="13"/>
        <v>600000</v>
      </c>
      <c r="F218" s="728">
        <v>50000</v>
      </c>
      <c r="G218" s="728"/>
      <c r="H218" s="728">
        <v>50000</v>
      </c>
      <c r="I218" s="728"/>
      <c r="J218" s="728">
        <v>50000</v>
      </c>
      <c r="K218" s="728"/>
      <c r="L218" s="728">
        <v>50000</v>
      </c>
      <c r="M218" s="728"/>
      <c r="N218" s="728">
        <v>50000</v>
      </c>
      <c r="O218" s="728"/>
      <c r="P218" s="728">
        <v>50000</v>
      </c>
      <c r="Q218" s="728"/>
      <c r="R218" s="728">
        <v>50000</v>
      </c>
      <c r="S218" s="728"/>
      <c r="T218" s="728">
        <v>50000</v>
      </c>
      <c r="U218" s="728"/>
      <c r="V218" s="728">
        <v>50000</v>
      </c>
      <c r="W218" s="728"/>
      <c r="X218" s="763">
        <v>0</v>
      </c>
      <c r="Y218" s="763">
        <v>50000</v>
      </c>
      <c r="Z218" s="728">
        <v>50000</v>
      </c>
      <c r="AA218" s="728"/>
      <c r="AB218" s="728">
        <v>50000</v>
      </c>
      <c r="AC218" s="728"/>
      <c r="AD218" s="728">
        <v>0</v>
      </c>
      <c r="AE218" s="728"/>
      <c r="AF218" s="729">
        <v>0</v>
      </c>
      <c r="AG218" s="728"/>
      <c r="AH218" s="728"/>
      <c r="AI218" s="728"/>
      <c r="AJ218" s="728">
        <v>0</v>
      </c>
      <c r="AK218" s="728"/>
      <c r="AL218" s="728">
        <v>0</v>
      </c>
      <c r="AM218" s="728"/>
      <c r="AN218" s="728">
        <v>0</v>
      </c>
      <c r="AO218" s="728"/>
      <c r="AP218" s="728">
        <v>0</v>
      </c>
      <c r="AQ218" s="728"/>
      <c r="AR218" s="728">
        <v>0</v>
      </c>
      <c r="AS218" s="728"/>
      <c r="AT218" s="769">
        <f t="shared" si="19"/>
        <v>50000</v>
      </c>
      <c r="AU218" s="729"/>
      <c r="AV218" s="771">
        <f t="shared" si="20"/>
        <v>50000</v>
      </c>
      <c r="AW218" s="725">
        <f t="shared" si="18"/>
        <v>0</v>
      </c>
      <c r="AY218" s="742"/>
    </row>
    <row r="219" spans="1:51" s="725" customFormat="1">
      <c r="A219" s="738">
        <f t="shared" si="21"/>
        <v>215</v>
      </c>
      <c r="B219" s="724"/>
      <c r="C219" s="758" t="s">
        <v>1437</v>
      </c>
      <c r="D219" s="731" t="s">
        <v>1545</v>
      </c>
      <c r="E219" s="727">
        <f t="shared" si="13"/>
        <v>920000</v>
      </c>
      <c r="F219" s="728">
        <v>50000</v>
      </c>
      <c r="G219" s="728"/>
      <c r="H219" s="728">
        <v>50000</v>
      </c>
      <c r="I219" s="728"/>
      <c r="J219" s="728">
        <v>50000</v>
      </c>
      <c r="K219" s="728"/>
      <c r="L219" s="728">
        <v>50000</v>
      </c>
      <c r="M219" s="728"/>
      <c r="N219" s="728">
        <v>50000</v>
      </c>
      <c r="O219" s="728"/>
      <c r="P219" s="728">
        <v>50000</v>
      </c>
      <c r="Q219" s="728"/>
      <c r="R219" s="728">
        <v>50000</v>
      </c>
      <c r="S219" s="728"/>
      <c r="T219" s="728">
        <v>50000</v>
      </c>
      <c r="U219" s="728"/>
      <c r="V219" s="728">
        <v>50000</v>
      </c>
      <c r="W219" s="728"/>
      <c r="X219" s="728">
        <v>50000</v>
      </c>
      <c r="Y219" s="728"/>
      <c r="Z219" s="728">
        <v>50000</v>
      </c>
      <c r="AA219" s="728"/>
      <c r="AB219" s="728">
        <v>50000</v>
      </c>
      <c r="AC219" s="728"/>
      <c r="AD219" s="763">
        <v>0</v>
      </c>
      <c r="AE219" s="763">
        <v>50000</v>
      </c>
      <c r="AF219" s="741">
        <v>0</v>
      </c>
      <c r="AG219" s="763">
        <v>50000</v>
      </c>
      <c r="AH219" s="741">
        <v>0</v>
      </c>
      <c r="AI219" s="763">
        <v>50000</v>
      </c>
      <c r="AJ219" s="763">
        <v>0</v>
      </c>
      <c r="AK219" s="763">
        <v>50000</v>
      </c>
      <c r="AL219" s="763">
        <v>0</v>
      </c>
      <c r="AM219" s="741">
        <v>40000</v>
      </c>
      <c r="AN219" s="763">
        <v>0</v>
      </c>
      <c r="AO219" s="741">
        <v>40000</v>
      </c>
      <c r="AP219" s="763">
        <v>0</v>
      </c>
      <c r="AQ219" s="741">
        <v>40000</v>
      </c>
      <c r="AR219" s="763">
        <v>0</v>
      </c>
      <c r="AS219" s="741">
        <v>40000</v>
      </c>
      <c r="AT219" s="769">
        <f t="shared" si="19"/>
        <v>360000</v>
      </c>
      <c r="AU219" s="729"/>
      <c r="AV219" s="771">
        <f t="shared" si="20"/>
        <v>360000</v>
      </c>
      <c r="AW219" s="725">
        <f t="shared" si="18"/>
        <v>0</v>
      </c>
      <c r="AY219" s="742"/>
    </row>
    <row r="220" spans="1:51" s="725" customFormat="1">
      <c r="A220" s="738">
        <f t="shared" si="21"/>
        <v>216</v>
      </c>
      <c r="B220" s="724"/>
      <c r="C220" s="758" t="s">
        <v>1438</v>
      </c>
      <c r="D220" s="731" t="s">
        <v>1546</v>
      </c>
      <c r="E220" s="727">
        <f t="shared" si="13"/>
        <v>830000</v>
      </c>
      <c r="F220" s="728">
        <v>50000</v>
      </c>
      <c r="G220" s="728"/>
      <c r="H220" s="728">
        <v>50000</v>
      </c>
      <c r="I220" s="728"/>
      <c r="J220" s="728">
        <v>50000</v>
      </c>
      <c r="K220" s="728"/>
      <c r="L220" s="728">
        <v>50000</v>
      </c>
      <c r="M220" s="728"/>
      <c r="N220" s="728">
        <v>50000</v>
      </c>
      <c r="O220" s="728"/>
      <c r="P220" s="728">
        <v>50000</v>
      </c>
      <c r="Q220" s="728"/>
      <c r="R220" s="728">
        <v>50000</v>
      </c>
      <c r="S220" s="728"/>
      <c r="T220" s="728">
        <v>50000</v>
      </c>
      <c r="U220" s="728"/>
      <c r="V220" s="763">
        <v>0</v>
      </c>
      <c r="W220" s="763">
        <v>50000</v>
      </c>
      <c r="X220" s="728">
        <v>0</v>
      </c>
      <c r="Y220" s="728"/>
      <c r="Z220" s="763">
        <v>0</v>
      </c>
      <c r="AA220" s="763">
        <v>50000</v>
      </c>
      <c r="AB220" s="763">
        <v>0</v>
      </c>
      <c r="AC220" s="763">
        <v>50000</v>
      </c>
      <c r="AD220" s="763">
        <v>0</v>
      </c>
      <c r="AE220" s="763">
        <v>50000</v>
      </c>
      <c r="AF220" s="741">
        <v>0</v>
      </c>
      <c r="AG220" s="763">
        <v>50000</v>
      </c>
      <c r="AH220" s="741">
        <v>0</v>
      </c>
      <c r="AI220" s="763">
        <v>50000</v>
      </c>
      <c r="AJ220" s="763">
        <v>0</v>
      </c>
      <c r="AK220" s="763">
        <v>50000</v>
      </c>
      <c r="AL220" s="763">
        <v>0</v>
      </c>
      <c r="AM220" s="741">
        <v>40000</v>
      </c>
      <c r="AN220" s="763">
        <v>0</v>
      </c>
      <c r="AO220" s="741">
        <v>40000</v>
      </c>
      <c r="AP220" s="728">
        <v>0</v>
      </c>
      <c r="AQ220" s="728"/>
      <c r="AR220" s="763">
        <v>0</v>
      </c>
      <c r="AS220" s="741">
        <v>40000</v>
      </c>
      <c r="AT220" s="769">
        <f t="shared" si="19"/>
        <v>470000</v>
      </c>
      <c r="AU220" s="729"/>
      <c r="AV220" s="771">
        <f t="shared" si="20"/>
        <v>470000</v>
      </c>
      <c r="AW220" s="725">
        <f t="shared" si="18"/>
        <v>0</v>
      </c>
      <c r="AY220" s="742"/>
    </row>
    <row r="221" spans="1:51" s="725" customFormat="1">
      <c r="A221" s="738">
        <f t="shared" si="21"/>
        <v>217</v>
      </c>
      <c r="B221" s="724"/>
      <c r="C221" s="758" t="s">
        <v>1439</v>
      </c>
      <c r="D221" s="731" t="s">
        <v>1547</v>
      </c>
      <c r="E221" s="727">
        <f t="shared" si="13"/>
        <v>880000</v>
      </c>
      <c r="F221" s="728">
        <v>50000</v>
      </c>
      <c r="G221" s="728"/>
      <c r="H221" s="728">
        <v>50000</v>
      </c>
      <c r="I221" s="728"/>
      <c r="J221" s="728">
        <v>50000</v>
      </c>
      <c r="K221" s="728"/>
      <c r="L221" s="728">
        <v>50000</v>
      </c>
      <c r="M221" s="728"/>
      <c r="N221" s="728">
        <v>50000</v>
      </c>
      <c r="O221" s="728"/>
      <c r="P221" s="728">
        <v>50000</v>
      </c>
      <c r="Q221" s="728"/>
      <c r="R221" s="728">
        <v>50000</v>
      </c>
      <c r="S221" s="728"/>
      <c r="T221" s="728">
        <v>50000</v>
      </c>
      <c r="U221" s="728"/>
      <c r="V221" s="763">
        <v>0</v>
      </c>
      <c r="W221" s="763">
        <v>50000</v>
      </c>
      <c r="X221" s="763">
        <v>0</v>
      </c>
      <c r="Y221" s="763">
        <v>50000</v>
      </c>
      <c r="Z221" s="763">
        <v>0</v>
      </c>
      <c r="AA221" s="763">
        <v>50000</v>
      </c>
      <c r="AB221" s="763">
        <v>0</v>
      </c>
      <c r="AC221" s="763">
        <v>50000</v>
      </c>
      <c r="AD221" s="763">
        <v>0</v>
      </c>
      <c r="AE221" s="763">
        <v>50000</v>
      </c>
      <c r="AF221" s="741">
        <v>0</v>
      </c>
      <c r="AG221" s="763">
        <v>50000</v>
      </c>
      <c r="AH221" s="741">
        <v>0</v>
      </c>
      <c r="AI221" s="763">
        <v>50000</v>
      </c>
      <c r="AJ221" s="763">
        <v>0</v>
      </c>
      <c r="AK221" s="763">
        <v>50000</v>
      </c>
      <c r="AL221" s="763">
        <v>0</v>
      </c>
      <c r="AM221" s="741">
        <v>40000</v>
      </c>
      <c r="AN221" s="763">
        <v>0</v>
      </c>
      <c r="AO221" s="741">
        <v>40000</v>
      </c>
      <c r="AP221" s="728">
        <v>0</v>
      </c>
      <c r="AQ221" s="728"/>
      <c r="AR221" s="763">
        <v>0</v>
      </c>
      <c r="AS221" s="741">
        <v>40000</v>
      </c>
      <c r="AT221" s="769">
        <f t="shared" si="19"/>
        <v>520000</v>
      </c>
      <c r="AU221" s="729"/>
      <c r="AV221" s="771">
        <f t="shared" si="20"/>
        <v>520000</v>
      </c>
      <c r="AW221" s="725">
        <f t="shared" si="18"/>
        <v>0</v>
      </c>
      <c r="AY221" s="742"/>
    </row>
    <row r="222" spans="1:51" s="725" customFormat="1" hidden="1">
      <c r="A222" s="738">
        <f t="shared" si="21"/>
        <v>218</v>
      </c>
      <c r="B222" s="724"/>
      <c r="C222" s="758" t="s">
        <v>1440</v>
      </c>
      <c r="D222" s="731" t="s">
        <v>1548</v>
      </c>
      <c r="E222" s="727">
        <f t="shared" si="13"/>
        <v>700000</v>
      </c>
      <c r="F222" s="728">
        <v>50000</v>
      </c>
      <c r="G222" s="728"/>
      <c r="H222" s="728">
        <v>50000</v>
      </c>
      <c r="I222" s="728"/>
      <c r="J222" s="728">
        <v>50000</v>
      </c>
      <c r="K222" s="728"/>
      <c r="L222" s="728">
        <v>50000</v>
      </c>
      <c r="M222" s="728"/>
      <c r="N222" s="728">
        <v>50000</v>
      </c>
      <c r="O222" s="728"/>
      <c r="P222" s="728">
        <v>50000</v>
      </c>
      <c r="Q222" s="728"/>
      <c r="R222" s="728">
        <v>50000</v>
      </c>
      <c r="S222" s="728"/>
      <c r="T222" s="728">
        <v>50000</v>
      </c>
      <c r="U222" s="728"/>
      <c r="V222" s="728">
        <v>50000</v>
      </c>
      <c r="W222" s="728"/>
      <c r="X222" s="728">
        <v>50000</v>
      </c>
      <c r="Y222" s="728"/>
      <c r="Z222" s="728">
        <v>100000</v>
      </c>
      <c r="AA222" s="728"/>
      <c r="AB222" s="728">
        <v>100000</v>
      </c>
      <c r="AC222" s="728"/>
      <c r="AD222" s="728">
        <v>0</v>
      </c>
      <c r="AE222" s="728"/>
      <c r="AF222" s="729">
        <v>0</v>
      </c>
      <c r="AG222" s="728"/>
      <c r="AH222" s="728"/>
      <c r="AI222" s="728"/>
      <c r="AJ222" s="728">
        <v>0</v>
      </c>
      <c r="AK222" s="728"/>
      <c r="AL222" s="728">
        <v>0</v>
      </c>
      <c r="AM222" s="728"/>
      <c r="AN222" s="728">
        <v>0</v>
      </c>
      <c r="AO222" s="728"/>
      <c r="AP222" s="728">
        <v>0</v>
      </c>
      <c r="AQ222" s="728"/>
      <c r="AR222" s="728">
        <v>0</v>
      </c>
      <c r="AS222" s="728"/>
      <c r="AT222" s="769">
        <f t="shared" si="19"/>
        <v>0</v>
      </c>
      <c r="AU222" s="729"/>
      <c r="AV222" s="769">
        <f t="shared" si="20"/>
        <v>0</v>
      </c>
      <c r="AW222" s="725">
        <f t="shared" si="18"/>
        <v>0</v>
      </c>
      <c r="AY222" s="742"/>
    </row>
    <row r="223" spans="1:51" s="725" customFormat="1">
      <c r="A223" s="738">
        <f t="shared" si="21"/>
        <v>219</v>
      </c>
      <c r="B223" s="724"/>
      <c r="C223" s="758" t="s">
        <v>1441</v>
      </c>
      <c r="D223" s="731" t="s">
        <v>1549</v>
      </c>
      <c r="E223" s="727">
        <f t="shared" si="13"/>
        <v>440000</v>
      </c>
      <c r="F223" s="728">
        <v>50000</v>
      </c>
      <c r="G223" s="728"/>
      <c r="H223" s="728">
        <v>50000</v>
      </c>
      <c r="I223" s="728"/>
      <c r="J223" s="728">
        <v>50000</v>
      </c>
      <c r="K223" s="728"/>
      <c r="L223" s="728">
        <v>50000</v>
      </c>
      <c r="M223" s="728"/>
      <c r="N223" s="728">
        <v>50000</v>
      </c>
      <c r="O223" s="728"/>
      <c r="P223" s="728">
        <v>50000</v>
      </c>
      <c r="Q223" s="728"/>
      <c r="R223" s="728">
        <v>50000</v>
      </c>
      <c r="S223" s="728"/>
      <c r="T223" s="728">
        <v>50000</v>
      </c>
      <c r="U223" s="728"/>
      <c r="V223" s="728">
        <v>0</v>
      </c>
      <c r="W223" s="728"/>
      <c r="X223" s="728">
        <v>0</v>
      </c>
      <c r="Y223" s="728"/>
      <c r="Z223" s="728">
        <v>0</v>
      </c>
      <c r="AA223" s="728"/>
      <c r="AB223" s="728">
        <v>0</v>
      </c>
      <c r="AC223" s="728"/>
      <c r="AD223" s="728">
        <v>0</v>
      </c>
      <c r="AE223" s="728"/>
      <c r="AF223" s="729">
        <v>0</v>
      </c>
      <c r="AG223" s="728"/>
      <c r="AH223" s="728"/>
      <c r="AI223" s="728"/>
      <c r="AJ223" s="728">
        <v>0</v>
      </c>
      <c r="AK223" s="728"/>
      <c r="AL223" s="728">
        <v>0</v>
      </c>
      <c r="AM223" s="728"/>
      <c r="AN223" s="728">
        <v>0</v>
      </c>
      <c r="AO223" s="728"/>
      <c r="AP223" s="763">
        <v>0</v>
      </c>
      <c r="AQ223" s="741">
        <v>40000</v>
      </c>
      <c r="AR223" s="728">
        <v>0</v>
      </c>
      <c r="AS223" s="728"/>
      <c r="AT223" s="769">
        <f t="shared" si="19"/>
        <v>40000</v>
      </c>
      <c r="AU223" s="729"/>
      <c r="AV223" s="771">
        <f t="shared" si="20"/>
        <v>40000</v>
      </c>
      <c r="AW223" s="725">
        <f t="shared" si="18"/>
        <v>0</v>
      </c>
      <c r="AY223" s="742"/>
    </row>
    <row r="224" spans="1:51" s="725" customFormat="1">
      <c r="A224" s="738">
        <f t="shared" si="21"/>
        <v>220</v>
      </c>
      <c r="B224" s="724"/>
      <c r="C224" s="758" t="s">
        <v>1442</v>
      </c>
      <c r="D224" s="731" t="s">
        <v>1550</v>
      </c>
      <c r="E224" s="727">
        <f t="shared" si="13"/>
        <v>920000</v>
      </c>
      <c r="F224" s="728">
        <v>50000</v>
      </c>
      <c r="G224" s="728"/>
      <c r="H224" s="728">
        <v>50000</v>
      </c>
      <c r="I224" s="728"/>
      <c r="J224" s="728">
        <v>50000</v>
      </c>
      <c r="K224" s="728"/>
      <c r="L224" s="728">
        <v>50000</v>
      </c>
      <c r="M224" s="728"/>
      <c r="N224" s="728">
        <v>50000</v>
      </c>
      <c r="O224" s="728"/>
      <c r="P224" s="728">
        <v>50000</v>
      </c>
      <c r="Q224" s="728"/>
      <c r="R224" s="728">
        <v>50000</v>
      </c>
      <c r="S224" s="728"/>
      <c r="T224" s="728">
        <v>50000</v>
      </c>
      <c r="U224" s="728"/>
      <c r="V224" s="728">
        <v>50000</v>
      </c>
      <c r="W224" s="728"/>
      <c r="X224" s="728">
        <v>50000</v>
      </c>
      <c r="Y224" s="728"/>
      <c r="Z224" s="728">
        <v>50000</v>
      </c>
      <c r="AA224" s="728"/>
      <c r="AB224" s="763">
        <v>0</v>
      </c>
      <c r="AC224" s="763">
        <v>50000</v>
      </c>
      <c r="AD224" s="763">
        <v>0</v>
      </c>
      <c r="AE224" s="763">
        <v>50000</v>
      </c>
      <c r="AF224" s="741">
        <v>0</v>
      </c>
      <c r="AG224" s="763">
        <v>50000</v>
      </c>
      <c r="AH224" s="741">
        <v>0</v>
      </c>
      <c r="AI224" s="763">
        <v>50000</v>
      </c>
      <c r="AJ224" s="763">
        <v>0</v>
      </c>
      <c r="AK224" s="763">
        <v>50000</v>
      </c>
      <c r="AL224" s="763">
        <v>0</v>
      </c>
      <c r="AM224" s="741">
        <v>40000</v>
      </c>
      <c r="AN224" s="763">
        <v>0</v>
      </c>
      <c r="AO224" s="741">
        <v>40000</v>
      </c>
      <c r="AP224" s="763">
        <v>0</v>
      </c>
      <c r="AQ224" s="741">
        <v>40000</v>
      </c>
      <c r="AR224" s="763">
        <v>0</v>
      </c>
      <c r="AS224" s="741">
        <v>40000</v>
      </c>
      <c r="AT224" s="769">
        <f t="shared" si="19"/>
        <v>410000</v>
      </c>
      <c r="AU224" s="729"/>
      <c r="AV224" s="771">
        <f t="shared" si="20"/>
        <v>410000</v>
      </c>
      <c r="AW224" s="725">
        <f t="shared" si="18"/>
        <v>0</v>
      </c>
      <c r="AY224" s="742"/>
    </row>
    <row r="225" spans="1:51" s="752" customFormat="1">
      <c r="A225" s="743">
        <f t="shared" si="21"/>
        <v>221</v>
      </c>
      <c r="B225" s="764"/>
      <c r="C225" s="757" t="s">
        <v>1443</v>
      </c>
      <c r="D225" s="746" t="s">
        <v>1551</v>
      </c>
      <c r="E225" s="747">
        <f t="shared" si="13"/>
        <v>850000</v>
      </c>
      <c r="F225" s="765">
        <v>50000</v>
      </c>
      <c r="G225" s="765"/>
      <c r="H225" s="765">
        <v>50000</v>
      </c>
      <c r="I225" s="765"/>
      <c r="J225" s="765">
        <v>50000</v>
      </c>
      <c r="K225" s="765"/>
      <c r="L225" s="765">
        <v>50000</v>
      </c>
      <c r="M225" s="765"/>
      <c r="N225" s="765">
        <v>50000</v>
      </c>
      <c r="O225" s="765"/>
      <c r="P225" s="765">
        <v>50000</v>
      </c>
      <c r="Q225" s="765"/>
      <c r="R225" s="765">
        <v>50000</v>
      </c>
      <c r="S225" s="765"/>
      <c r="T225" s="766">
        <v>0</v>
      </c>
      <c r="U225" s="766">
        <v>50000</v>
      </c>
      <c r="V225" s="766">
        <v>0</v>
      </c>
      <c r="W225" s="766">
        <v>50000</v>
      </c>
      <c r="X225" s="766">
        <v>0</v>
      </c>
      <c r="Y225" s="766">
        <v>50000</v>
      </c>
      <c r="Z225" s="765">
        <v>200000</v>
      </c>
      <c r="AA225" s="765"/>
      <c r="AB225" s="765">
        <v>100000</v>
      </c>
      <c r="AC225" s="765"/>
      <c r="AD225" s="765">
        <v>0</v>
      </c>
      <c r="AE225" s="765"/>
      <c r="AF225" s="750">
        <v>0</v>
      </c>
      <c r="AG225" s="765"/>
      <c r="AH225" s="765"/>
      <c r="AI225" s="765"/>
      <c r="AJ225" s="765">
        <v>0</v>
      </c>
      <c r="AK225" s="766">
        <v>50000</v>
      </c>
      <c r="AL225" s="765">
        <v>0</v>
      </c>
      <c r="AM225" s="765"/>
      <c r="AN225" s="765">
        <v>0</v>
      </c>
      <c r="AO225" s="765"/>
      <c r="AP225" s="765">
        <v>0</v>
      </c>
      <c r="AQ225" s="765"/>
      <c r="AR225" s="765">
        <v>0</v>
      </c>
      <c r="AS225" s="765"/>
      <c r="AT225" s="769">
        <f t="shared" si="19"/>
        <v>200000</v>
      </c>
      <c r="AU225" s="750"/>
      <c r="AV225" s="771">
        <f t="shared" si="20"/>
        <v>200000</v>
      </c>
      <c r="AW225" s="752">
        <f t="shared" si="18"/>
        <v>0</v>
      </c>
      <c r="AY225" s="753"/>
    </row>
    <row r="226" spans="1:51" s="752" customFormat="1">
      <c r="A226" s="743">
        <f t="shared" si="21"/>
        <v>222</v>
      </c>
      <c r="B226" s="764"/>
      <c r="C226" s="757" t="s">
        <v>1444</v>
      </c>
      <c r="D226" s="746" t="s">
        <v>1552</v>
      </c>
      <c r="E226" s="747">
        <f t="shared" si="13"/>
        <v>870000</v>
      </c>
      <c r="F226" s="765">
        <v>50000</v>
      </c>
      <c r="G226" s="765"/>
      <c r="H226" s="765">
        <v>50000</v>
      </c>
      <c r="I226" s="765"/>
      <c r="J226" s="765">
        <v>50000</v>
      </c>
      <c r="K226" s="765"/>
      <c r="L226" s="765">
        <v>50000</v>
      </c>
      <c r="M226" s="765"/>
      <c r="N226" s="765">
        <v>50000</v>
      </c>
      <c r="O226" s="765"/>
      <c r="P226" s="765">
        <v>50000</v>
      </c>
      <c r="Q226" s="765"/>
      <c r="R226" s="765">
        <v>50000</v>
      </c>
      <c r="S226" s="765"/>
      <c r="T226" s="765">
        <v>50000</v>
      </c>
      <c r="U226" s="765"/>
      <c r="V226" s="766">
        <v>0</v>
      </c>
      <c r="W226" s="766">
        <v>50000</v>
      </c>
      <c r="X226" s="766">
        <v>0</v>
      </c>
      <c r="Y226" s="766">
        <v>50000</v>
      </c>
      <c r="Z226" s="765">
        <v>50000</v>
      </c>
      <c r="AA226" s="765"/>
      <c r="AB226" s="766">
        <v>0</v>
      </c>
      <c r="AC226" s="766">
        <v>50000</v>
      </c>
      <c r="AD226" s="766">
        <v>0</v>
      </c>
      <c r="AE226" s="766">
        <v>50000</v>
      </c>
      <c r="AF226" s="751">
        <v>0</v>
      </c>
      <c r="AG226" s="766">
        <v>50000</v>
      </c>
      <c r="AH226" s="751">
        <v>0</v>
      </c>
      <c r="AI226" s="766">
        <v>50000</v>
      </c>
      <c r="AJ226" s="766">
        <v>0</v>
      </c>
      <c r="AK226" s="766"/>
      <c r="AL226" s="766">
        <v>0</v>
      </c>
      <c r="AM226" s="751">
        <v>40000</v>
      </c>
      <c r="AN226" s="766">
        <v>0</v>
      </c>
      <c r="AO226" s="751">
        <v>40000</v>
      </c>
      <c r="AP226" s="766">
        <v>0</v>
      </c>
      <c r="AQ226" s="751">
        <v>40000</v>
      </c>
      <c r="AR226" s="766">
        <v>0</v>
      </c>
      <c r="AS226" s="751">
        <v>40000</v>
      </c>
      <c r="AT226" s="769">
        <f t="shared" si="19"/>
        <v>460000</v>
      </c>
      <c r="AU226" s="750"/>
      <c r="AV226" s="771">
        <f t="shared" si="20"/>
        <v>460000</v>
      </c>
      <c r="AW226" s="752">
        <f t="shared" si="18"/>
        <v>0</v>
      </c>
      <c r="AY226" s="753"/>
    </row>
    <row r="227" spans="1:51" s="752" customFormat="1">
      <c r="A227" s="743">
        <f t="shared" si="21"/>
        <v>223</v>
      </c>
      <c r="B227" s="764"/>
      <c r="C227" s="757" t="s">
        <v>1445</v>
      </c>
      <c r="D227" s="746" t="s">
        <v>1553</v>
      </c>
      <c r="E227" s="747">
        <f t="shared" si="13"/>
        <v>600000</v>
      </c>
      <c r="F227" s="765">
        <v>50000</v>
      </c>
      <c r="G227" s="765"/>
      <c r="H227" s="765">
        <v>50000</v>
      </c>
      <c r="I227" s="765"/>
      <c r="J227" s="765">
        <v>50000</v>
      </c>
      <c r="K227" s="765"/>
      <c r="L227" s="765">
        <v>50000</v>
      </c>
      <c r="M227" s="765"/>
      <c r="N227" s="765">
        <v>50000</v>
      </c>
      <c r="O227" s="765"/>
      <c r="P227" s="765">
        <v>50000</v>
      </c>
      <c r="Q227" s="765"/>
      <c r="R227" s="765">
        <v>50000</v>
      </c>
      <c r="S227" s="765"/>
      <c r="T227" s="765">
        <v>50000</v>
      </c>
      <c r="U227" s="765"/>
      <c r="V227" s="766">
        <v>0</v>
      </c>
      <c r="W227" s="766">
        <v>50000</v>
      </c>
      <c r="X227" s="766">
        <v>0</v>
      </c>
      <c r="Y227" s="766">
        <v>50000</v>
      </c>
      <c r="Z227" s="766">
        <v>0</v>
      </c>
      <c r="AA227" s="766">
        <v>50000</v>
      </c>
      <c r="AB227" s="766">
        <v>0</v>
      </c>
      <c r="AC227" s="766">
        <v>50000</v>
      </c>
      <c r="AD227" s="765">
        <v>0</v>
      </c>
      <c r="AE227" s="765"/>
      <c r="AF227" s="750">
        <v>0</v>
      </c>
      <c r="AG227" s="765"/>
      <c r="AH227" s="765"/>
      <c r="AI227" s="765"/>
      <c r="AJ227" s="765">
        <v>0</v>
      </c>
      <c r="AK227" s="765"/>
      <c r="AL227" s="765">
        <v>0</v>
      </c>
      <c r="AM227" s="765"/>
      <c r="AN227" s="765">
        <v>0</v>
      </c>
      <c r="AO227" s="765"/>
      <c r="AP227" s="765">
        <v>0</v>
      </c>
      <c r="AQ227" s="765"/>
      <c r="AR227" s="765">
        <v>0</v>
      </c>
      <c r="AS227" s="765"/>
      <c r="AT227" s="769">
        <f t="shared" si="19"/>
        <v>200000</v>
      </c>
      <c r="AU227" s="750"/>
      <c r="AV227" s="771">
        <f t="shared" si="20"/>
        <v>200000</v>
      </c>
      <c r="AW227" s="752">
        <f t="shared" si="18"/>
        <v>0</v>
      </c>
      <c r="AY227" s="753"/>
    </row>
    <row r="228" spans="1:51" s="752" customFormat="1">
      <c r="A228" s="743">
        <f t="shared" si="21"/>
        <v>224</v>
      </c>
      <c r="B228" s="764"/>
      <c r="C228" s="757" t="s">
        <v>1446</v>
      </c>
      <c r="D228" s="746" t="s">
        <v>1554</v>
      </c>
      <c r="E228" s="747">
        <f t="shared" si="13"/>
        <v>600000</v>
      </c>
      <c r="F228" s="765">
        <v>50000</v>
      </c>
      <c r="G228" s="765"/>
      <c r="H228" s="765">
        <v>50000</v>
      </c>
      <c r="I228" s="765"/>
      <c r="J228" s="765">
        <v>50000</v>
      </c>
      <c r="K228" s="765"/>
      <c r="L228" s="765">
        <v>50000</v>
      </c>
      <c r="M228" s="765"/>
      <c r="N228" s="765">
        <v>50000</v>
      </c>
      <c r="O228" s="765"/>
      <c r="P228" s="765">
        <v>50000</v>
      </c>
      <c r="Q228" s="765"/>
      <c r="R228" s="765">
        <v>50000</v>
      </c>
      <c r="S228" s="765"/>
      <c r="T228" s="765">
        <v>50000</v>
      </c>
      <c r="U228" s="765"/>
      <c r="V228" s="766">
        <v>0</v>
      </c>
      <c r="W228" s="766">
        <v>50000</v>
      </c>
      <c r="X228" s="766">
        <v>0</v>
      </c>
      <c r="Y228" s="766">
        <v>50000</v>
      </c>
      <c r="Z228" s="765">
        <v>50000</v>
      </c>
      <c r="AA228" s="765"/>
      <c r="AB228" s="765">
        <v>50000</v>
      </c>
      <c r="AC228" s="765"/>
      <c r="AD228" s="765">
        <v>0</v>
      </c>
      <c r="AE228" s="765"/>
      <c r="AF228" s="750">
        <v>0</v>
      </c>
      <c r="AG228" s="765"/>
      <c r="AH228" s="765"/>
      <c r="AI228" s="765"/>
      <c r="AJ228" s="765">
        <v>0</v>
      </c>
      <c r="AK228" s="765"/>
      <c r="AL228" s="765">
        <v>0</v>
      </c>
      <c r="AM228" s="765"/>
      <c r="AN228" s="765">
        <v>0</v>
      </c>
      <c r="AO228" s="765"/>
      <c r="AP228" s="765">
        <v>0</v>
      </c>
      <c r="AQ228" s="765"/>
      <c r="AR228" s="765">
        <v>0</v>
      </c>
      <c r="AS228" s="765"/>
      <c r="AT228" s="769">
        <f t="shared" si="19"/>
        <v>100000</v>
      </c>
      <c r="AU228" s="750"/>
      <c r="AV228" s="771">
        <f t="shared" si="20"/>
        <v>100000</v>
      </c>
      <c r="AW228" s="752">
        <f t="shared" si="18"/>
        <v>0</v>
      </c>
      <c r="AY228" s="753"/>
    </row>
    <row r="229" spans="1:51" s="752" customFormat="1">
      <c r="A229" s="743">
        <f t="shared" si="21"/>
        <v>225</v>
      </c>
      <c r="B229" s="764"/>
      <c r="C229" s="757" t="s">
        <v>1447</v>
      </c>
      <c r="D229" s="746" t="s">
        <v>1555</v>
      </c>
      <c r="E229" s="747">
        <f t="shared" si="13"/>
        <v>880000</v>
      </c>
      <c r="F229" s="765">
        <v>50000</v>
      </c>
      <c r="G229" s="765"/>
      <c r="H229" s="765">
        <v>50000</v>
      </c>
      <c r="I229" s="765"/>
      <c r="J229" s="765">
        <v>50000</v>
      </c>
      <c r="K229" s="765"/>
      <c r="L229" s="765">
        <v>50000</v>
      </c>
      <c r="M229" s="765"/>
      <c r="N229" s="765">
        <v>50000</v>
      </c>
      <c r="O229" s="765"/>
      <c r="P229" s="765">
        <v>50000</v>
      </c>
      <c r="Q229" s="765"/>
      <c r="R229" s="765">
        <v>50000</v>
      </c>
      <c r="S229" s="765"/>
      <c r="T229" s="765">
        <v>50000</v>
      </c>
      <c r="U229" s="765"/>
      <c r="V229" s="766">
        <v>0</v>
      </c>
      <c r="W229" s="766">
        <v>50000</v>
      </c>
      <c r="X229" s="766">
        <v>0</v>
      </c>
      <c r="Y229" s="766">
        <v>50000</v>
      </c>
      <c r="Z229" s="766">
        <v>0</v>
      </c>
      <c r="AA229" s="766">
        <v>50000</v>
      </c>
      <c r="AB229" s="766">
        <v>0</v>
      </c>
      <c r="AC229" s="766">
        <v>50000</v>
      </c>
      <c r="AD229" s="766">
        <v>0</v>
      </c>
      <c r="AE229" s="766">
        <v>50000</v>
      </c>
      <c r="AF229" s="751">
        <v>0</v>
      </c>
      <c r="AG229" s="766">
        <v>50000</v>
      </c>
      <c r="AH229" s="751">
        <v>0</v>
      </c>
      <c r="AI229" s="766">
        <v>50000</v>
      </c>
      <c r="AJ229" s="766">
        <v>0</v>
      </c>
      <c r="AK229" s="766">
        <v>50000</v>
      </c>
      <c r="AL229" s="766">
        <v>0</v>
      </c>
      <c r="AM229" s="751">
        <v>40000</v>
      </c>
      <c r="AN229" s="766">
        <v>0</v>
      </c>
      <c r="AO229" s="751">
        <v>40000</v>
      </c>
      <c r="AP229" s="765">
        <v>0</v>
      </c>
      <c r="AQ229" s="765"/>
      <c r="AR229" s="766">
        <v>0</v>
      </c>
      <c r="AS229" s="751">
        <v>40000</v>
      </c>
      <c r="AT229" s="769">
        <f t="shared" si="19"/>
        <v>520000</v>
      </c>
      <c r="AU229" s="750"/>
      <c r="AV229" s="771">
        <f t="shared" si="20"/>
        <v>520000</v>
      </c>
      <c r="AW229" s="752">
        <f t="shared" si="18"/>
        <v>0</v>
      </c>
      <c r="AY229" s="753"/>
    </row>
    <row r="230" spans="1:51" s="752" customFormat="1">
      <c r="A230" s="743">
        <f t="shared" si="21"/>
        <v>226</v>
      </c>
      <c r="B230" s="764"/>
      <c r="C230" s="757" t="s">
        <v>1448</v>
      </c>
      <c r="D230" s="746" t="s">
        <v>1556</v>
      </c>
      <c r="E230" s="747">
        <f t="shared" si="13"/>
        <v>880000</v>
      </c>
      <c r="F230" s="765">
        <v>50000</v>
      </c>
      <c r="G230" s="765"/>
      <c r="H230" s="765">
        <v>50000</v>
      </c>
      <c r="I230" s="765"/>
      <c r="J230" s="765">
        <v>50000</v>
      </c>
      <c r="K230" s="765"/>
      <c r="L230" s="765">
        <v>50000</v>
      </c>
      <c r="M230" s="765"/>
      <c r="N230" s="765">
        <v>50000</v>
      </c>
      <c r="O230" s="765"/>
      <c r="P230" s="765">
        <v>50000</v>
      </c>
      <c r="Q230" s="765"/>
      <c r="R230" s="765">
        <v>50000</v>
      </c>
      <c r="S230" s="765"/>
      <c r="T230" s="765">
        <v>50000</v>
      </c>
      <c r="U230" s="765"/>
      <c r="V230" s="766">
        <v>0</v>
      </c>
      <c r="W230" s="766">
        <v>50000</v>
      </c>
      <c r="X230" s="766">
        <v>0</v>
      </c>
      <c r="Y230" s="766">
        <v>50000</v>
      </c>
      <c r="Z230" s="766">
        <v>0</v>
      </c>
      <c r="AA230" s="766">
        <v>50000</v>
      </c>
      <c r="AB230" s="766">
        <v>0</v>
      </c>
      <c r="AC230" s="766">
        <v>50000</v>
      </c>
      <c r="AD230" s="766">
        <v>0</v>
      </c>
      <c r="AE230" s="766">
        <v>50000</v>
      </c>
      <c r="AF230" s="751">
        <v>0</v>
      </c>
      <c r="AG230" s="766">
        <v>50000</v>
      </c>
      <c r="AH230" s="751">
        <v>0</v>
      </c>
      <c r="AI230" s="766">
        <v>50000</v>
      </c>
      <c r="AJ230" s="766">
        <v>0</v>
      </c>
      <c r="AK230" s="766">
        <v>50000</v>
      </c>
      <c r="AL230" s="766">
        <v>0</v>
      </c>
      <c r="AM230" s="751">
        <v>40000</v>
      </c>
      <c r="AN230" s="766">
        <v>0</v>
      </c>
      <c r="AO230" s="751">
        <v>40000</v>
      </c>
      <c r="AP230" s="765">
        <v>0</v>
      </c>
      <c r="AQ230" s="765"/>
      <c r="AR230" s="766">
        <v>0</v>
      </c>
      <c r="AS230" s="751">
        <v>40000</v>
      </c>
      <c r="AT230" s="769">
        <f t="shared" si="19"/>
        <v>520000</v>
      </c>
      <c r="AU230" s="750"/>
      <c r="AV230" s="771">
        <f t="shared" si="20"/>
        <v>520000</v>
      </c>
      <c r="AW230" s="752">
        <f t="shared" si="18"/>
        <v>0</v>
      </c>
      <c r="AY230" s="753"/>
    </row>
    <row r="231" spans="1:51" s="752" customFormat="1" hidden="1">
      <c r="A231" s="743">
        <f t="shared" si="21"/>
        <v>227</v>
      </c>
      <c r="B231" s="764"/>
      <c r="C231" s="757" t="s">
        <v>1449</v>
      </c>
      <c r="D231" s="746" t="s">
        <v>1557</v>
      </c>
      <c r="E231" s="747">
        <f t="shared" si="13"/>
        <v>600000</v>
      </c>
      <c r="F231" s="765">
        <v>50000</v>
      </c>
      <c r="G231" s="765"/>
      <c r="H231" s="765">
        <v>50000</v>
      </c>
      <c r="I231" s="765"/>
      <c r="J231" s="765">
        <v>50000</v>
      </c>
      <c r="K231" s="765"/>
      <c r="L231" s="765">
        <v>50000</v>
      </c>
      <c r="M231" s="765"/>
      <c r="N231" s="765">
        <v>50000</v>
      </c>
      <c r="O231" s="765"/>
      <c r="P231" s="765">
        <v>50000</v>
      </c>
      <c r="Q231" s="765"/>
      <c r="R231" s="765">
        <v>50000</v>
      </c>
      <c r="S231" s="765"/>
      <c r="T231" s="765">
        <v>50000</v>
      </c>
      <c r="U231" s="765"/>
      <c r="V231" s="765">
        <v>50000</v>
      </c>
      <c r="W231" s="765"/>
      <c r="X231" s="765">
        <v>50000</v>
      </c>
      <c r="Y231" s="765"/>
      <c r="Z231" s="765">
        <v>50000</v>
      </c>
      <c r="AA231" s="765"/>
      <c r="AB231" s="765">
        <v>50000</v>
      </c>
      <c r="AC231" s="765"/>
      <c r="AD231" s="765">
        <v>0</v>
      </c>
      <c r="AE231" s="765"/>
      <c r="AF231" s="750">
        <v>0</v>
      </c>
      <c r="AG231" s="765"/>
      <c r="AH231" s="765"/>
      <c r="AI231" s="765"/>
      <c r="AJ231" s="765">
        <v>0</v>
      </c>
      <c r="AK231" s="765"/>
      <c r="AL231" s="765">
        <v>0</v>
      </c>
      <c r="AM231" s="765"/>
      <c r="AN231" s="765">
        <v>0</v>
      </c>
      <c r="AO231" s="765"/>
      <c r="AP231" s="765">
        <v>0</v>
      </c>
      <c r="AQ231" s="765"/>
      <c r="AR231" s="765">
        <v>0</v>
      </c>
      <c r="AS231" s="765"/>
      <c r="AT231" s="769">
        <f t="shared" si="19"/>
        <v>0</v>
      </c>
      <c r="AU231" s="750"/>
      <c r="AV231" s="769">
        <f t="shared" si="20"/>
        <v>0</v>
      </c>
      <c r="AW231" s="752">
        <f t="shared" si="18"/>
        <v>0</v>
      </c>
      <c r="AY231" s="753"/>
    </row>
    <row r="232" spans="1:51" s="752" customFormat="1">
      <c r="A232" s="743">
        <f t="shared" si="21"/>
        <v>228</v>
      </c>
      <c r="B232" s="764"/>
      <c r="C232" s="757" t="s">
        <v>1450</v>
      </c>
      <c r="D232" s="746" t="s">
        <v>1558</v>
      </c>
      <c r="E232" s="747">
        <f t="shared" si="13"/>
        <v>880000</v>
      </c>
      <c r="F232" s="765">
        <v>50000</v>
      </c>
      <c r="G232" s="765"/>
      <c r="H232" s="765">
        <v>50000</v>
      </c>
      <c r="I232" s="765"/>
      <c r="J232" s="765">
        <v>50000</v>
      </c>
      <c r="K232" s="765"/>
      <c r="L232" s="765">
        <v>50000</v>
      </c>
      <c r="M232" s="765"/>
      <c r="N232" s="765">
        <v>50000</v>
      </c>
      <c r="O232" s="765"/>
      <c r="P232" s="765">
        <v>50000</v>
      </c>
      <c r="Q232" s="765"/>
      <c r="R232" s="765">
        <v>50000</v>
      </c>
      <c r="S232" s="765"/>
      <c r="T232" s="765">
        <v>50000</v>
      </c>
      <c r="U232" s="765"/>
      <c r="V232" s="766">
        <v>0</v>
      </c>
      <c r="W232" s="766">
        <v>50000</v>
      </c>
      <c r="X232" s="766">
        <v>0</v>
      </c>
      <c r="Y232" s="766">
        <v>50000</v>
      </c>
      <c r="Z232" s="766">
        <v>0</v>
      </c>
      <c r="AA232" s="766">
        <v>50000</v>
      </c>
      <c r="AB232" s="766">
        <v>0</v>
      </c>
      <c r="AC232" s="766">
        <v>50000</v>
      </c>
      <c r="AD232" s="766">
        <v>0</v>
      </c>
      <c r="AE232" s="766">
        <v>50000</v>
      </c>
      <c r="AF232" s="751">
        <v>0</v>
      </c>
      <c r="AG232" s="766">
        <v>50000</v>
      </c>
      <c r="AH232" s="751">
        <v>0</v>
      </c>
      <c r="AI232" s="766">
        <v>50000</v>
      </c>
      <c r="AJ232" s="766">
        <v>0</v>
      </c>
      <c r="AK232" s="766">
        <v>50000</v>
      </c>
      <c r="AL232" s="766">
        <v>0</v>
      </c>
      <c r="AM232" s="751">
        <v>40000</v>
      </c>
      <c r="AN232" s="766">
        <v>0</v>
      </c>
      <c r="AO232" s="751">
        <v>40000</v>
      </c>
      <c r="AP232" s="765">
        <v>0</v>
      </c>
      <c r="AQ232" s="765"/>
      <c r="AR232" s="766">
        <v>0</v>
      </c>
      <c r="AS232" s="751">
        <v>40000</v>
      </c>
      <c r="AT232" s="769">
        <f t="shared" si="19"/>
        <v>520000</v>
      </c>
      <c r="AU232" s="750"/>
      <c r="AV232" s="771">
        <f t="shared" si="20"/>
        <v>520000</v>
      </c>
      <c r="AW232" s="752">
        <f t="shared" si="18"/>
        <v>0</v>
      </c>
      <c r="AY232" s="753"/>
    </row>
    <row r="233" spans="1:51" s="752" customFormat="1">
      <c r="A233" s="743">
        <f t="shared" si="21"/>
        <v>229</v>
      </c>
      <c r="B233" s="764"/>
      <c r="C233" s="757" t="s">
        <v>1451</v>
      </c>
      <c r="D233" s="746" t="s">
        <v>1559</v>
      </c>
      <c r="E233" s="747">
        <f t="shared" si="13"/>
        <v>550000</v>
      </c>
      <c r="F233" s="765">
        <v>50000</v>
      </c>
      <c r="G233" s="765"/>
      <c r="H233" s="765">
        <v>50000</v>
      </c>
      <c r="I233" s="765"/>
      <c r="J233" s="765">
        <v>50000</v>
      </c>
      <c r="K233" s="765"/>
      <c r="L233" s="765">
        <v>50000</v>
      </c>
      <c r="M233" s="765"/>
      <c r="N233" s="765">
        <v>50000</v>
      </c>
      <c r="O233" s="765"/>
      <c r="P233" s="765">
        <v>50000</v>
      </c>
      <c r="Q233" s="765"/>
      <c r="R233" s="765">
        <v>50000</v>
      </c>
      <c r="S233" s="765"/>
      <c r="T233" s="765">
        <v>0</v>
      </c>
      <c r="U233" s="765"/>
      <c r="V233" s="766">
        <v>0</v>
      </c>
      <c r="W233" s="766">
        <v>50000</v>
      </c>
      <c r="X233" s="766">
        <v>0</v>
      </c>
      <c r="Y233" s="766">
        <v>50000</v>
      </c>
      <c r="Z233" s="766">
        <v>0</v>
      </c>
      <c r="AA233" s="766">
        <v>50000</v>
      </c>
      <c r="AB233" s="766">
        <v>0</v>
      </c>
      <c r="AC233" s="766">
        <v>50000</v>
      </c>
      <c r="AD233" s="765">
        <v>0</v>
      </c>
      <c r="AE233" s="765"/>
      <c r="AF233" s="750">
        <v>0</v>
      </c>
      <c r="AG233" s="765"/>
      <c r="AH233" s="765"/>
      <c r="AI233" s="765"/>
      <c r="AJ233" s="765">
        <v>0</v>
      </c>
      <c r="AK233" s="765"/>
      <c r="AL233" s="765">
        <v>0</v>
      </c>
      <c r="AM233" s="765"/>
      <c r="AN233" s="765">
        <v>0</v>
      </c>
      <c r="AO233" s="765"/>
      <c r="AP233" s="765">
        <v>0</v>
      </c>
      <c r="AQ233" s="765"/>
      <c r="AR233" s="765">
        <v>0</v>
      </c>
      <c r="AS233" s="765"/>
      <c r="AT233" s="769">
        <f t="shared" si="19"/>
        <v>200000</v>
      </c>
      <c r="AU233" s="750"/>
      <c r="AV233" s="771">
        <f t="shared" si="20"/>
        <v>200000</v>
      </c>
      <c r="AW233" s="752">
        <f t="shared" si="18"/>
        <v>0</v>
      </c>
      <c r="AY233" s="753"/>
    </row>
    <row r="234" spans="1:51" s="752" customFormat="1">
      <c r="A234" s="743">
        <f t="shared" si="21"/>
        <v>230</v>
      </c>
      <c r="B234" s="764"/>
      <c r="C234" s="757" t="s">
        <v>1452</v>
      </c>
      <c r="D234" s="746" t="s">
        <v>1560</v>
      </c>
      <c r="E234" s="747">
        <f t="shared" si="13"/>
        <v>910000</v>
      </c>
      <c r="F234" s="765">
        <v>50000</v>
      </c>
      <c r="G234" s="765"/>
      <c r="H234" s="765">
        <v>50000</v>
      </c>
      <c r="I234" s="765"/>
      <c r="J234" s="765">
        <v>50000</v>
      </c>
      <c r="K234" s="765"/>
      <c r="L234" s="765">
        <v>50000</v>
      </c>
      <c r="M234" s="765"/>
      <c r="N234" s="765">
        <v>50000</v>
      </c>
      <c r="O234" s="765"/>
      <c r="P234" s="765">
        <v>50000</v>
      </c>
      <c r="Q234" s="765"/>
      <c r="R234" s="765">
        <v>50000</v>
      </c>
      <c r="S234" s="765"/>
      <c r="T234" s="765">
        <v>50000</v>
      </c>
      <c r="U234" s="765"/>
      <c r="V234" s="766">
        <v>0</v>
      </c>
      <c r="W234" s="766">
        <v>50000</v>
      </c>
      <c r="X234" s="765">
        <v>50000</v>
      </c>
      <c r="Y234" s="765"/>
      <c r="Z234" s="766">
        <v>0</v>
      </c>
      <c r="AA234" s="766">
        <v>50000</v>
      </c>
      <c r="AB234" s="766">
        <v>0</v>
      </c>
      <c r="AC234" s="766">
        <v>50000</v>
      </c>
      <c r="AD234" s="766">
        <v>0</v>
      </c>
      <c r="AE234" s="766">
        <v>50000</v>
      </c>
      <c r="AF234" s="751">
        <v>0</v>
      </c>
      <c r="AG234" s="766">
        <v>50000</v>
      </c>
      <c r="AH234" s="751">
        <v>0</v>
      </c>
      <c r="AI234" s="766">
        <v>50000</v>
      </c>
      <c r="AJ234" s="765">
        <v>0</v>
      </c>
      <c r="AK234" s="765"/>
      <c r="AL234" s="766">
        <v>0</v>
      </c>
      <c r="AM234" s="751">
        <v>40000</v>
      </c>
      <c r="AN234" s="766">
        <v>0</v>
      </c>
      <c r="AO234" s="751">
        <v>40000</v>
      </c>
      <c r="AP234" s="765">
        <v>40000</v>
      </c>
      <c r="AQ234" s="765"/>
      <c r="AR234" s="765">
        <v>40000</v>
      </c>
      <c r="AS234" s="765"/>
      <c r="AT234" s="769">
        <f t="shared" si="19"/>
        <v>380000</v>
      </c>
      <c r="AU234" s="750"/>
      <c r="AV234" s="771">
        <f t="shared" si="20"/>
        <v>380000</v>
      </c>
      <c r="AW234" s="752">
        <f t="shared" si="18"/>
        <v>0</v>
      </c>
      <c r="AY234" s="753"/>
    </row>
    <row r="235" spans="1:51" s="752" customFormat="1">
      <c r="A235" s="743">
        <f t="shared" si="21"/>
        <v>231</v>
      </c>
      <c r="B235" s="764"/>
      <c r="C235" s="757" t="s">
        <v>1453</v>
      </c>
      <c r="D235" s="746" t="s">
        <v>1561</v>
      </c>
      <c r="E235" s="747">
        <f t="shared" si="13"/>
        <v>880000</v>
      </c>
      <c r="F235" s="765">
        <v>50000</v>
      </c>
      <c r="G235" s="765"/>
      <c r="H235" s="765">
        <v>50000</v>
      </c>
      <c r="I235" s="765"/>
      <c r="J235" s="765">
        <v>50000</v>
      </c>
      <c r="K235" s="765"/>
      <c r="L235" s="765">
        <v>50000</v>
      </c>
      <c r="M235" s="765"/>
      <c r="N235" s="765">
        <v>50000</v>
      </c>
      <c r="O235" s="765"/>
      <c r="P235" s="765">
        <v>50000</v>
      </c>
      <c r="Q235" s="765"/>
      <c r="R235" s="765">
        <v>50000</v>
      </c>
      <c r="S235" s="765"/>
      <c r="T235" s="765">
        <v>50000</v>
      </c>
      <c r="U235" s="765"/>
      <c r="V235" s="766">
        <v>0</v>
      </c>
      <c r="W235" s="766">
        <v>50000</v>
      </c>
      <c r="X235" s="766">
        <v>0</v>
      </c>
      <c r="Y235" s="766">
        <v>50000</v>
      </c>
      <c r="Z235" s="766">
        <v>0</v>
      </c>
      <c r="AA235" s="766">
        <v>50000</v>
      </c>
      <c r="AB235" s="765">
        <v>50000</v>
      </c>
      <c r="AC235" s="765"/>
      <c r="AD235" s="766">
        <v>0</v>
      </c>
      <c r="AE235" s="766">
        <v>50000</v>
      </c>
      <c r="AF235" s="751">
        <v>0</v>
      </c>
      <c r="AG235" s="766">
        <v>50000</v>
      </c>
      <c r="AH235" s="751">
        <v>0</v>
      </c>
      <c r="AI235" s="766">
        <v>50000</v>
      </c>
      <c r="AJ235" s="766">
        <v>0</v>
      </c>
      <c r="AK235" s="766">
        <v>50000</v>
      </c>
      <c r="AL235" s="766">
        <v>0</v>
      </c>
      <c r="AM235" s="751">
        <v>40000</v>
      </c>
      <c r="AN235" s="766">
        <v>0</v>
      </c>
      <c r="AO235" s="751">
        <v>40000</v>
      </c>
      <c r="AP235" s="765">
        <v>0</v>
      </c>
      <c r="AQ235" s="765"/>
      <c r="AR235" s="766">
        <v>0</v>
      </c>
      <c r="AS235" s="751">
        <v>40000</v>
      </c>
      <c r="AT235" s="769">
        <f t="shared" si="19"/>
        <v>470000</v>
      </c>
      <c r="AU235" s="750"/>
      <c r="AV235" s="771">
        <f t="shared" si="20"/>
        <v>470000</v>
      </c>
      <c r="AW235" s="752">
        <f t="shared" si="18"/>
        <v>0</v>
      </c>
      <c r="AY235" s="753"/>
    </row>
    <row r="236" spans="1:51" s="752" customFormat="1">
      <c r="A236" s="743">
        <f t="shared" si="21"/>
        <v>232</v>
      </c>
      <c r="B236" s="764"/>
      <c r="C236" s="757" t="s">
        <v>1454</v>
      </c>
      <c r="D236" s="746" t="s">
        <v>1562</v>
      </c>
      <c r="E236" s="747">
        <f t="shared" si="13"/>
        <v>880000</v>
      </c>
      <c r="F236" s="765">
        <v>50000</v>
      </c>
      <c r="G236" s="765"/>
      <c r="H236" s="765">
        <v>50000</v>
      </c>
      <c r="I236" s="765"/>
      <c r="J236" s="765">
        <v>50000</v>
      </c>
      <c r="K236" s="765"/>
      <c r="L236" s="765">
        <v>50000</v>
      </c>
      <c r="M236" s="765"/>
      <c r="N236" s="765">
        <v>50000</v>
      </c>
      <c r="O236" s="765"/>
      <c r="P236" s="765">
        <v>50000</v>
      </c>
      <c r="Q236" s="765"/>
      <c r="R236" s="765">
        <v>50000</v>
      </c>
      <c r="S236" s="765"/>
      <c r="T236" s="765">
        <v>50000</v>
      </c>
      <c r="U236" s="765"/>
      <c r="V236" s="766">
        <v>0</v>
      </c>
      <c r="W236" s="766">
        <v>50000</v>
      </c>
      <c r="X236" s="766">
        <v>0</v>
      </c>
      <c r="Y236" s="766">
        <v>50000</v>
      </c>
      <c r="Z236" s="766">
        <v>0</v>
      </c>
      <c r="AA236" s="766">
        <v>50000</v>
      </c>
      <c r="AB236" s="765">
        <v>50000</v>
      </c>
      <c r="AC236" s="765"/>
      <c r="AD236" s="766">
        <v>0</v>
      </c>
      <c r="AE236" s="766">
        <v>50000</v>
      </c>
      <c r="AF236" s="751">
        <v>0</v>
      </c>
      <c r="AG236" s="766">
        <v>50000</v>
      </c>
      <c r="AH236" s="751">
        <v>0</v>
      </c>
      <c r="AI236" s="766">
        <v>50000</v>
      </c>
      <c r="AJ236" s="766">
        <v>0</v>
      </c>
      <c r="AK236" s="766">
        <v>50000</v>
      </c>
      <c r="AL236" s="766">
        <v>0</v>
      </c>
      <c r="AM236" s="751">
        <v>40000</v>
      </c>
      <c r="AN236" s="766">
        <v>0</v>
      </c>
      <c r="AO236" s="751">
        <v>40000</v>
      </c>
      <c r="AP236" s="765">
        <v>0</v>
      </c>
      <c r="AQ236" s="765"/>
      <c r="AR236" s="766">
        <v>0</v>
      </c>
      <c r="AS236" s="751">
        <v>40000</v>
      </c>
      <c r="AT236" s="769">
        <f t="shared" si="19"/>
        <v>470000</v>
      </c>
      <c r="AU236" s="750"/>
      <c r="AV236" s="771">
        <f t="shared" si="20"/>
        <v>470000</v>
      </c>
      <c r="AW236" s="752">
        <f t="shared" si="18"/>
        <v>0</v>
      </c>
      <c r="AY236" s="753"/>
    </row>
    <row r="237" spans="1:51" s="752" customFormat="1">
      <c r="A237" s="743">
        <f t="shared" si="21"/>
        <v>233</v>
      </c>
      <c r="B237" s="764"/>
      <c r="C237" s="757" t="s">
        <v>1455</v>
      </c>
      <c r="D237" s="746" t="s">
        <v>1563</v>
      </c>
      <c r="E237" s="747">
        <f t="shared" si="13"/>
        <v>610000</v>
      </c>
      <c r="F237" s="765">
        <v>50000</v>
      </c>
      <c r="G237" s="765"/>
      <c r="H237" s="765">
        <v>0</v>
      </c>
      <c r="I237" s="765"/>
      <c r="J237" s="765">
        <v>0</v>
      </c>
      <c r="K237" s="765"/>
      <c r="L237" s="766">
        <v>0</v>
      </c>
      <c r="M237" s="751">
        <v>50000</v>
      </c>
      <c r="N237" s="765">
        <v>50000</v>
      </c>
      <c r="O237" s="765"/>
      <c r="P237" s="765">
        <v>50000</v>
      </c>
      <c r="Q237" s="765"/>
      <c r="R237" s="765">
        <v>50000</v>
      </c>
      <c r="S237" s="765"/>
      <c r="T237" s="765">
        <v>50000</v>
      </c>
      <c r="U237" s="765"/>
      <c r="V237" s="765">
        <v>50000</v>
      </c>
      <c r="W237" s="765"/>
      <c r="X237" s="765">
        <v>50000</v>
      </c>
      <c r="Y237" s="765"/>
      <c r="Z237" s="765">
        <v>50000</v>
      </c>
      <c r="AA237" s="765"/>
      <c r="AB237" s="765">
        <v>0</v>
      </c>
      <c r="AC237" s="765"/>
      <c r="AD237" s="765">
        <v>0</v>
      </c>
      <c r="AE237" s="765"/>
      <c r="AF237" s="750">
        <v>0</v>
      </c>
      <c r="AG237" s="765"/>
      <c r="AH237" s="765"/>
      <c r="AI237" s="765"/>
      <c r="AJ237" s="765">
        <v>0</v>
      </c>
      <c r="AK237" s="765"/>
      <c r="AL237" s="765">
        <v>40000</v>
      </c>
      <c r="AM237" s="765"/>
      <c r="AN237" s="765">
        <v>40000</v>
      </c>
      <c r="AO237" s="765"/>
      <c r="AP237" s="765">
        <v>40000</v>
      </c>
      <c r="AQ237" s="765"/>
      <c r="AR237" s="765">
        <v>40000</v>
      </c>
      <c r="AS237" s="765"/>
      <c r="AT237" s="769">
        <f t="shared" si="19"/>
        <v>50000</v>
      </c>
      <c r="AU237" s="750"/>
      <c r="AV237" s="771">
        <f t="shared" si="20"/>
        <v>50000</v>
      </c>
      <c r="AW237" s="752">
        <f t="shared" si="18"/>
        <v>0</v>
      </c>
      <c r="AY237" s="753"/>
    </row>
    <row r="238" spans="1:51" s="752" customFormat="1">
      <c r="A238" s="743">
        <f t="shared" si="21"/>
        <v>234</v>
      </c>
      <c r="B238" s="764"/>
      <c r="C238" s="757" t="s">
        <v>1456</v>
      </c>
      <c r="D238" s="746" t="s">
        <v>1564</v>
      </c>
      <c r="E238" s="747">
        <f t="shared" si="13"/>
        <v>880000</v>
      </c>
      <c r="F238" s="765">
        <v>50000</v>
      </c>
      <c r="G238" s="765"/>
      <c r="H238" s="765">
        <v>50000</v>
      </c>
      <c r="I238" s="765"/>
      <c r="J238" s="765">
        <v>50000</v>
      </c>
      <c r="K238" s="765"/>
      <c r="L238" s="765">
        <v>50000</v>
      </c>
      <c r="M238" s="765"/>
      <c r="N238" s="765">
        <v>50000</v>
      </c>
      <c r="O238" s="765"/>
      <c r="P238" s="765">
        <v>50000</v>
      </c>
      <c r="Q238" s="765"/>
      <c r="R238" s="765">
        <v>50000</v>
      </c>
      <c r="S238" s="765"/>
      <c r="T238" s="765">
        <v>50000</v>
      </c>
      <c r="U238" s="765"/>
      <c r="V238" s="766">
        <v>0</v>
      </c>
      <c r="W238" s="766">
        <v>50000</v>
      </c>
      <c r="X238" s="766">
        <v>0</v>
      </c>
      <c r="Y238" s="766">
        <v>50000</v>
      </c>
      <c r="Z238" s="766">
        <v>0</v>
      </c>
      <c r="AA238" s="766">
        <v>50000</v>
      </c>
      <c r="AB238" s="766">
        <v>0</v>
      </c>
      <c r="AC238" s="766">
        <v>50000</v>
      </c>
      <c r="AD238" s="766">
        <v>0</v>
      </c>
      <c r="AE238" s="766">
        <v>50000</v>
      </c>
      <c r="AF238" s="751">
        <v>0</v>
      </c>
      <c r="AG238" s="766">
        <v>50000</v>
      </c>
      <c r="AH238" s="751">
        <v>0</v>
      </c>
      <c r="AI238" s="766">
        <v>50000</v>
      </c>
      <c r="AJ238" s="766">
        <v>0</v>
      </c>
      <c r="AK238" s="766">
        <v>50000</v>
      </c>
      <c r="AL238" s="766">
        <v>0</v>
      </c>
      <c r="AM238" s="751">
        <v>40000</v>
      </c>
      <c r="AN238" s="766">
        <v>0</v>
      </c>
      <c r="AO238" s="751">
        <v>40000</v>
      </c>
      <c r="AP238" s="765">
        <v>0</v>
      </c>
      <c r="AQ238" s="765"/>
      <c r="AR238" s="766">
        <v>0</v>
      </c>
      <c r="AS238" s="751">
        <v>40000</v>
      </c>
      <c r="AT238" s="769">
        <f t="shared" si="19"/>
        <v>520000</v>
      </c>
      <c r="AU238" s="750"/>
      <c r="AV238" s="771">
        <f t="shared" si="20"/>
        <v>520000</v>
      </c>
      <c r="AW238" s="752">
        <f t="shared" si="18"/>
        <v>0</v>
      </c>
      <c r="AY238" s="753"/>
    </row>
    <row r="239" spans="1:51" s="752" customFormat="1" hidden="1">
      <c r="A239" s="743">
        <f t="shared" si="21"/>
        <v>235</v>
      </c>
      <c r="B239" s="764"/>
      <c r="C239" s="757" t="s">
        <v>1457</v>
      </c>
      <c r="D239" s="746" t="s">
        <v>1565</v>
      </c>
      <c r="E239" s="747">
        <f t="shared" si="13"/>
        <v>710000</v>
      </c>
      <c r="F239" s="765">
        <v>0</v>
      </c>
      <c r="G239" s="765"/>
      <c r="H239" s="765">
        <v>0</v>
      </c>
      <c r="I239" s="765"/>
      <c r="J239" s="765">
        <v>0</v>
      </c>
      <c r="K239" s="765"/>
      <c r="L239" s="766">
        <v>0</v>
      </c>
      <c r="M239" s="751">
        <v>50000</v>
      </c>
      <c r="N239" s="765">
        <v>50000</v>
      </c>
      <c r="O239" s="765"/>
      <c r="P239" s="765">
        <v>50000</v>
      </c>
      <c r="Q239" s="765"/>
      <c r="R239" s="765">
        <v>50000</v>
      </c>
      <c r="S239" s="765"/>
      <c r="T239" s="765">
        <v>50000</v>
      </c>
      <c r="U239" s="765"/>
      <c r="V239" s="765">
        <v>50000</v>
      </c>
      <c r="W239" s="765"/>
      <c r="X239" s="765">
        <v>50000</v>
      </c>
      <c r="Y239" s="765"/>
      <c r="Z239" s="765">
        <v>50000</v>
      </c>
      <c r="AA239" s="765"/>
      <c r="AB239" s="765">
        <v>50000</v>
      </c>
      <c r="AC239" s="765"/>
      <c r="AD239" s="765">
        <v>0</v>
      </c>
      <c r="AE239" s="765"/>
      <c r="AF239" s="750">
        <v>0</v>
      </c>
      <c r="AG239" s="765"/>
      <c r="AH239" s="751">
        <v>0</v>
      </c>
      <c r="AI239" s="766">
        <v>50000</v>
      </c>
      <c r="AJ239" s="765">
        <v>50000</v>
      </c>
      <c r="AK239" s="765"/>
      <c r="AL239" s="765">
        <v>40000</v>
      </c>
      <c r="AM239" s="765"/>
      <c r="AN239" s="765">
        <v>40000</v>
      </c>
      <c r="AO239" s="765"/>
      <c r="AP239" s="765">
        <v>40000</v>
      </c>
      <c r="AQ239" s="765"/>
      <c r="AR239" s="765">
        <v>40000</v>
      </c>
      <c r="AS239" s="765"/>
      <c r="AT239" s="769">
        <f t="shared" si="19"/>
        <v>100000</v>
      </c>
      <c r="AU239" s="750"/>
      <c r="AV239" s="769">
        <f t="shared" si="20"/>
        <v>0</v>
      </c>
      <c r="AW239" s="752">
        <f t="shared" si="18"/>
        <v>100000</v>
      </c>
      <c r="AY239" s="753"/>
    </row>
    <row r="240" spans="1:51" s="752" customFormat="1">
      <c r="A240" s="743">
        <f t="shared" si="21"/>
        <v>236</v>
      </c>
      <c r="B240" s="764"/>
      <c r="C240" s="757" t="s">
        <v>1458</v>
      </c>
      <c r="D240" s="746" t="s">
        <v>1566</v>
      </c>
      <c r="E240" s="747">
        <f t="shared" si="13"/>
        <v>830000</v>
      </c>
      <c r="F240" s="765">
        <v>50000</v>
      </c>
      <c r="G240" s="765"/>
      <c r="H240" s="765">
        <v>50000</v>
      </c>
      <c r="I240" s="765"/>
      <c r="J240" s="765">
        <v>50000</v>
      </c>
      <c r="K240" s="765"/>
      <c r="L240" s="765">
        <v>50000</v>
      </c>
      <c r="M240" s="765"/>
      <c r="N240" s="765">
        <v>50000</v>
      </c>
      <c r="O240" s="765"/>
      <c r="P240" s="765">
        <v>50000</v>
      </c>
      <c r="Q240" s="765"/>
      <c r="R240" s="765">
        <v>50000</v>
      </c>
      <c r="S240" s="765"/>
      <c r="T240" s="765">
        <v>0</v>
      </c>
      <c r="U240" s="765"/>
      <c r="V240" s="766">
        <v>0</v>
      </c>
      <c r="W240" s="766">
        <v>50000</v>
      </c>
      <c r="X240" s="766">
        <v>0</v>
      </c>
      <c r="Y240" s="766">
        <v>50000</v>
      </c>
      <c r="Z240" s="766">
        <v>0</v>
      </c>
      <c r="AA240" s="766">
        <v>50000</v>
      </c>
      <c r="AB240" s="766">
        <v>0</v>
      </c>
      <c r="AC240" s="766">
        <v>50000</v>
      </c>
      <c r="AD240" s="766">
        <v>0</v>
      </c>
      <c r="AE240" s="766">
        <v>50000</v>
      </c>
      <c r="AF240" s="751">
        <v>0</v>
      </c>
      <c r="AG240" s="766">
        <v>50000</v>
      </c>
      <c r="AH240" s="751">
        <v>0</v>
      </c>
      <c r="AI240" s="766">
        <v>50000</v>
      </c>
      <c r="AJ240" s="766">
        <v>0</v>
      </c>
      <c r="AK240" s="766">
        <v>50000</v>
      </c>
      <c r="AL240" s="766">
        <v>0</v>
      </c>
      <c r="AM240" s="751">
        <v>40000</v>
      </c>
      <c r="AN240" s="766">
        <v>0</v>
      </c>
      <c r="AO240" s="751">
        <v>40000</v>
      </c>
      <c r="AP240" s="765">
        <v>0</v>
      </c>
      <c r="AQ240" s="765"/>
      <c r="AR240" s="766">
        <v>0</v>
      </c>
      <c r="AS240" s="751">
        <v>40000</v>
      </c>
      <c r="AT240" s="769">
        <f t="shared" si="19"/>
        <v>520000</v>
      </c>
      <c r="AU240" s="750"/>
      <c r="AV240" s="771">
        <f t="shared" si="20"/>
        <v>520000</v>
      </c>
      <c r="AW240" s="752">
        <f t="shared" si="18"/>
        <v>0</v>
      </c>
      <c r="AY240" s="753"/>
    </row>
    <row r="241" spans="1:51" s="752" customFormat="1">
      <c r="A241" s="743">
        <f t="shared" si="21"/>
        <v>237</v>
      </c>
      <c r="B241" s="764"/>
      <c r="C241" s="757" t="s">
        <v>1459</v>
      </c>
      <c r="D241" s="746" t="s">
        <v>1567</v>
      </c>
      <c r="E241" s="747">
        <f t="shared" si="13"/>
        <v>700000</v>
      </c>
      <c r="F241" s="765">
        <v>50000</v>
      </c>
      <c r="G241" s="765"/>
      <c r="H241" s="765">
        <v>50000</v>
      </c>
      <c r="I241" s="765"/>
      <c r="J241" s="765">
        <v>50000</v>
      </c>
      <c r="K241" s="765"/>
      <c r="L241" s="765">
        <v>50000</v>
      </c>
      <c r="M241" s="765"/>
      <c r="N241" s="765">
        <v>50000</v>
      </c>
      <c r="O241" s="765"/>
      <c r="P241" s="765">
        <v>50000</v>
      </c>
      <c r="Q241" s="765"/>
      <c r="R241" s="765">
        <v>50000</v>
      </c>
      <c r="S241" s="765"/>
      <c r="T241" s="766">
        <v>0</v>
      </c>
      <c r="U241" s="766">
        <v>50000</v>
      </c>
      <c r="V241" s="766">
        <v>0</v>
      </c>
      <c r="W241" s="766">
        <v>50000</v>
      </c>
      <c r="X241" s="766">
        <v>0</v>
      </c>
      <c r="Y241" s="766">
        <v>50000</v>
      </c>
      <c r="Z241" s="765">
        <v>150000</v>
      </c>
      <c r="AA241" s="765"/>
      <c r="AB241" s="765">
        <v>50000</v>
      </c>
      <c r="AC241" s="765"/>
      <c r="AD241" s="765">
        <v>0</v>
      </c>
      <c r="AE241" s="765"/>
      <c r="AF241" s="750">
        <v>0</v>
      </c>
      <c r="AG241" s="765"/>
      <c r="AH241" s="765"/>
      <c r="AI241" s="765"/>
      <c r="AJ241" s="765">
        <v>0</v>
      </c>
      <c r="AK241" s="765"/>
      <c r="AL241" s="765">
        <v>0</v>
      </c>
      <c r="AM241" s="765"/>
      <c r="AN241" s="765">
        <v>0</v>
      </c>
      <c r="AO241" s="765"/>
      <c r="AP241" s="765">
        <v>0</v>
      </c>
      <c r="AQ241" s="765"/>
      <c r="AR241" s="765">
        <v>0</v>
      </c>
      <c r="AS241" s="765"/>
      <c r="AT241" s="769">
        <f t="shared" si="19"/>
        <v>150000</v>
      </c>
      <c r="AU241" s="750"/>
      <c r="AV241" s="771">
        <f t="shared" si="20"/>
        <v>150000</v>
      </c>
      <c r="AW241" s="752">
        <f t="shared" si="18"/>
        <v>0</v>
      </c>
      <c r="AY241" s="753"/>
    </row>
    <row r="242" spans="1:51" s="752" customFormat="1">
      <c r="A242" s="743">
        <f t="shared" si="21"/>
        <v>238</v>
      </c>
      <c r="B242" s="764"/>
      <c r="C242" s="757" t="s">
        <v>1460</v>
      </c>
      <c r="D242" s="746" t="s">
        <v>1568</v>
      </c>
      <c r="E242" s="747">
        <f t="shared" si="13"/>
        <v>830000</v>
      </c>
      <c r="F242" s="765">
        <v>50000</v>
      </c>
      <c r="G242" s="765"/>
      <c r="H242" s="765">
        <v>50000</v>
      </c>
      <c r="I242" s="765"/>
      <c r="J242" s="765">
        <v>50000</v>
      </c>
      <c r="K242" s="765"/>
      <c r="L242" s="765">
        <v>50000</v>
      </c>
      <c r="M242" s="765"/>
      <c r="N242" s="765">
        <v>50000</v>
      </c>
      <c r="O242" s="765"/>
      <c r="P242" s="765">
        <v>50000</v>
      </c>
      <c r="Q242" s="765"/>
      <c r="R242" s="765">
        <v>50000</v>
      </c>
      <c r="S242" s="765"/>
      <c r="T242" s="765">
        <v>0</v>
      </c>
      <c r="U242" s="765"/>
      <c r="V242" s="766">
        <v>0</v>
      </c>
      <c r="W242" s="766">
        <v>50000</v>
      </c>
      <c r="X242" s="766">
        <v>0</v>
      </c>
      <c r="Y242" s="766">
        <v>50000</v>
      </c>
      <c r="Z242" s="766">
        <v>0</v>
      </c>
      <c r="AA242" s="766">
        <v>50000</v>
      </c>
      <c r="AB242" s="766">
        <v>0</v>
      </c>
      <c r="AC242" s="766">
        <v>50000</v>
      </c>
      <c r="AD242" s="766">
        <v>0</v>
      </c>
      <c r="AE242" s="766">
        <v>50000</v>
      </c>
      <c r="AF242" s="751">
        <v>0</v>
      </c>
      <c r="AG242" s="766">
        <v>50000</v>
      </c>
      <c r="AH242" s="751">
        <v>0</v>
      </c>
      <c r="AI242" s="766">
        <v>50000</v>
      </c>
      <c r="AJ242" s="766">
        <v>0</v>
      </c>
      <c r="AK242" s="766">
        <v>50000</v>
      </c>
      <c r="AL242" s="766">
        <v>0</v>
      </c>
      <c r="AM242" s="751">
        <v>40000</v>
      </c>
      <c r="AN242" s="766">
        <v>0</v>
      </c>
      <c r="AO242" s="751">
        <v>40000</v>
      </c>
      <c r="AP242" s="765">
        <v>0</v>
      </c>
      <c r="AQ242" s="765"/>
      <c r="AR242" s="766">
        <v>0</v>
      </c>
      <c r="AS242" s="751">
        <v>40000</v>
      </c>
      <c r="AT242" s="769">
        <f t="shared" si="19"/>
        <v>520000</v>
      </c>
      <c r="AU242" s="750"/>
      <c r="AV242" s="771">
        <f t="shared" si="20"/>
        <v>520000</v>
      </c>
      <c r="AW242" s="752">
        <f t="shared" si="18"/>
        <v>0</v>
      </c>
      <c r="AY242" s="753"/>
    </row>
    <row r="243" spans="1:51" s="752" customFormat="1">
      <c r="A243" s="743">
        <f t="shared" si="21"/>
        <v>239</v>
      </c>
      <c r="B243" s="764"/>
      <c r="C243" s="757" t="s">
        <v>1461</v>
      </c>
      <c r="D243" s="746" t="s">
        <v>1569</v>
      </c>
      <c r="E243" s="747">
        <f t="shared" si="13"/>
        <v>920000</v>
      </c>
      <c r="F243" s="765">
        <v>50000</v>
      </c>
      <c r="G243" s="765"/>
      <c r="H243" s="765">
        <v>50000</v>
      </c>
      <c r="I243" s="765"/>
      <c r="J243" s="765">
        <v>50000</v>
      </c>
      <c r="K243" s="765"/>
      <c r="L243" s="765">
        <v>50000</v>
      </c>
      <c r="M243" s="765"/>
      <c r="N243" s="765">
        <v>50000</v>
      </c>
      <c r="O243" s="765"/>
      <c r="P243" s="765">
        <v>50000</v>
      </c>
      <c r="Q243" s="765"/>
      <c r="R243" s="765">
        <v>50000</v>
      </c>
      <c r="S243" s="765"/>
      <c r="T243" s="765">
        <v>50000</v>
      </c>
      <c r="U243" s="765"/>
      <c r="V243" s="765">
        <v>50000</v>
      </c>
      <c r="W243" s="765"/>
      <c r="X243" s="765">
        <v>50000</v>
      </c>
      <c r="Y243" s="765"/>
      <c r="Z243" s="765">
        <v>50000</v>
      </c>
      <c r="AA243" s="765"/>
      <c r="AB243" s="766">
        <v>0</v>
      </c>
      <c r="AC243" s="766">
        <v>50000</v>
      </c>
      <c r="AD243" s="766">
        <v>0</v>
      </c>
      <c r="AE243" s="766">
        <v>50000</v>
      </c>
      <c r="AF243" s="751">
        <v>0</v>
      </c>
      <c r="AG243" s="766">
        <v>50000</v>
      </c>
      <c r="AH243" s="751">
        <v>0</v>
      </c>
      <c r="AI243" s="766">
        <v>50000</v>
      </c>
      <c r="AJ243" s="766">
        <v>0</v>
      </c>
      <c r="AK243" s="766">
        <v>50000</v>
      </c>
      <c r="AL243" s="766">
        <v>0</v>
      </c>
      <c r="AM243" s="751">
        <v>40000</v>
      </c>
      <c r="AN243" s="766">
        <v>0</v>
      </c>
      <c r="AO243" s="751">
        <v>40000</v>
      </c>
      <c r="AP243" s="766">
        <v>0</v>
      </c>
      <c r="AQ243" s="751">
        <v>40000</v>
      </c>
      <c r="AR243" s="766">
        <v>0</v>
      </c>
      <c r="AS243" s="751">
        <v>40000</v>
      </c>
      <c r="AT243" s="769">
        <f t="shared" si="19"/>
        <v>410000</v>
      </c>
      <c r="AU243" s="750"/>
      <c r="AV243" s="771">
        <f t="shared" si="20"/>
        <v>410000</v>
      </c>
      <c r="AW243" s="752">
        <f t="shared" si="18"/>
        <v>0</v>
      </c>
      <c r="AY243" s="753"/>
    </row>
    <row r="244" spans="1:51" s="752" customFormat="1">
      <c r="A244" s="743">
        <f t="shared" si="21"/>
        <v>240</v>
      </c>
      <c r="B244" s="764"/>
      <c r="C244" s="757" t="s">
        <v>1462</v>
      </c>
      <c r="D244" s="746" t="s">
        <v>1570</v>
      </c>
      <c r="E244" s="747">
        <f t="shared" si="13"/>
        <v>960000</v>
      </c>
      <c r="F244" s="765">
        <v>50000</v>
      </c>
      <c r="G244" s="765"/>
      <c r="H244" s="765">
        <v>50000</v>
      </c>
      <c r="I244" s="765"/>
      <c r="J244" s="765">
        <v>50000</v>
      </c>
      <c r="K244" s="765"/>
      <c r="L244" s="765">
        <v>50000</v>
      </c>
      <c r="M244" s="765"/>
      <c r="N244" s="765">
        <v>50000</v>
      </c>
      <c r="O244" s="765"/>
      <c r="P244" s="765">
        <v>50000</v>
      </c>
      <c r="Q244" s="765"/>
      <c r="R244" s="765">
        <v>50000</v>
      </c>
      <c r="S244" s="765"/>
      <c r="T244" s="765">
        <v>50000</v>
      </c>
      <c r="U244" s="765"/>
      <c r="V244" s="765">
        <v>50000</v>
      </c>
      <c r="W244" s="765"/>
      <c r="X244" s="765">
        <v>50000</v>
      </c>
      <c r="Y244" s="765"/>
      <c r="Z244" s="765">
        <v>50000</v>
      </c>
      <c r="AA244" s="765"/>
      <c r="AB244" s="765">
        <v>50000</v>
      </c>
      <c r="AC244" s="765"/>
      <c r="AD244" s="766">
        <v>0</v>
      </c>
      <c r="AE244" s="766">
        <v>50000</v>
      </c>
      <c r="AF244" s="751">
        <v>0</v>
      </c>
      <c r="AG244" s="766">
        <v>50000</v>
      </c>
      <c r="AH244" s="751">
        <v>0</v>
      </c>
      <c r="AI244" s="766">
        <v>50000</v>
      </c>
      <c r="AJ244" s="766">
        <v>0</v>
      </c>
      <c r="AK244" s="766">
        <v>50000</v>
      </c>
      <c r="AL244" s="766">
        <v>0</v>
      </c>
      <c r="AM244" s="751">
        <v>40000</v>
      </c>
      <c r="AN244" s="766">
        <v>0</v>
      </c>
      <c r="AO244" s="751">
        <v>40000</v>
      </c>
      <c r="AP244" s="766">
        <v>0</v>
      </c>
      <c r="AQ244" s="751">
        <v>40000</v>
      </c>
      <c r="AR244" s="765">
        <v>40000</v>
      </c>
      <c r="AS244" s="765"/>
      <c r="AT244" s="769">
        <f t="shared" si="19"/>
        <v>320000</v>
      </c>
      <c r="AU244" s="750"/>
      <c r="AV244" s="771">
        <f t="shared" si="20"/>
        <v>320000</v>
      </c>
      <c r="AW244" s="752">
        <f t="shared" si="18"/>
        <v>0</v>
      </c>
      <c r="AY244" s="753"/>
    </row>
    <row r="245" spans="1:51" s="725" customFormat="1" hidden="1">
      <c r="A245" s="738">
        <f t="shared" si="21"/>
        <v>241</v>
      </c>
      <c r="B245" s="724"/>
      <c r="C245" s="758" t="s">
        <v>1571</v>
      </c>
      <c r="D245" s="731" t="s">
        <v>1587</v>
      </c>
      <c r="E245" s="727">
        <f t="shared" si="13"/>
        <v>200000</v>
      </c>
      <c r="F245" s="728">
        <v>50000</v>
      </c>
      <c r="G245" s="728"/>
      <c r="H245" s="728">
        <v>0</v>
      </c>
      <c r="I245" s="728"/>
      <c r="J245" s="728">
        <v>0</v>
      </c>
      <c r="K245" s="728"/>
      <c r="L245" s="728">
        <v>0</v>
      </c>
      <c r="M245" s="728"/>
      <c r="N245" s="728">
        <v>0</v>
      </c>
      <c r="O245" s="728"/>
      <c r="P245" s="728">
        <v>50000</v>
      </c>
      <c r="Q245" s="728"/>
      <c r="R245" s="728">
        <v>50000</v>
      </c>
      <c r="S245" s="728"/>
      <c r="T245" s="728">
        <v>50000</v>
      </c>
      <c r="U245" s="728"/>
      <c r="V245" s="728">
        <v>0</v>
      </c>
      <c r="W245" s="728"/>
      <c r="X245" s="728">
        <v>0</v>
      </c>
      <c r="Y245" s="728"/>
      <c r="Z245" s="728">
        <v>0</v>
      </c>
      <c r="AA245" s="728"/>
      <c r="AB245" s="728">
        <v>0</v>
      </c>
      <c r="AC245" s="728"/>
      <c r="AD245" s="728">
        <v>0</v>
      </c>
      <c r="AE245" s="728"/>
      <c r="AF245" s="729">
        <v>0</v>
      </c>
      <c r="AG245" s="728"/>
      <c r="AH245" s="728"/>
      <c r="AI245" s="728"/>
      <c r="AJ245" s="728">
        <v>0</v>
      </c>
      <c r="AK245" s="728"/>
      <c r="AL245" s="728">
        <v>0</v>
      </c>
      <c r="AM245" s="728"/>
      <c r="AN245" s="728">
        <v>0</v>
      </c>
      <c r="AO245" s="728"/>
      <c r="AP245" s="728">
        <v>0</v>
      </c>
      <c r="AQ245" s="728"/>
      <c r="AR245" s="728">
        <v>0</v>
      </c>
      <c r="AS245" s="728"/>
      <c r="AT245" s="769">
        <f t="shared" si="19"/>
        <v>0</v>
      </c>
      <c r="AU245" s="729"/>
      <c r="AV245" s="769">
        <f t="shared" si="20"/>
        <v>0</v>
      </c>
      <c r="AW245" s="725">
        <f t="shared" si="18"/>
        <v>0</v>
      </c>
      <c r="AY245" s="742"/>
    </row>
    <row r="246" spans="1:51" s="725" customFormat="1" hidden="1">
      <c r="A246" s="738">
        <f t="shared" si="21"/>
        <v>242</v>
      </c>
      <c r="B246" s="724"/>
      <c r="C246" s="758" t="s">
        <v>1572</v>
      </c>
      <c r="D246" s="731" t="s">
        <v>1588</v>
      </c>
      <c r="E246" s="727">
        <f t="shared" si="13"/>
        <v>300000</v>
      </c>
      <c r="F246" s="728">
        <v>50000</v>
      </c>
      <c r="G246" s="728"/>
      <c r="H246" s="728">
        <v>50000</v>
      </c>
      <c r="I246" s="728"/>
      <c r="J246" s="728">
        <v>50000</v>
      </c>
      <c r="K246" s="728"/>
      <c r="L246" s="728">
        <v>0</v>
      </c>
      <c r="M246" s="728"/>
      <c r="N246" s="728">
        <v>0</v>
      </c>
      <c r="O246" s="728"/>
      <c r="P246" s="728">
        <v>50000</v>
      </c>
      <c r="Q246" s="728"/>
      <c r="R246" s="728">
        <v>50000</v>
      </c>
      <c r="S246" s="728"/>
      <c r="T246" s="728">
        <v>50000</v>
      </c>
      <c r="U246" s="728"/>
      <c r="V246" s="728">
        <v>0</v>
      </c>
      <c r="W246" s="728"/>
      <c r="X246" s="728">
        <v>0</v>
      </c>
      <c r="Y246" s="728"/>
      <c r="Z246" s="728">
        <v>0</v>
      </c>
      <c r="AA246" s="728"/>
      <c r="AB246" s="728">
        <v>0</v>
      </c>
      <c r="AC246" s="728"/>
      <c r="AD246" s="728">
        <v>0</v>
      </c>
      <c r="AE246" s="728"/>
      <c r="AF246" s="729">
        <v>0</v>
      </c>
      <c r="AG246" s="728"/>
      <c r="AH246" s="728"/>
      <c r="AI246" s="728"/>
      <c r="AJ246" s="728">
        <v>0</v>
      </c>
      <c r="AK246" s="728"/>
      <c r="AL246" s="728">
        <v>0</v>
      </c>
      <c r="AM246" s="728"/>
      <c r="AN246" s="728">
        <v>0</v>
      </c>
      <c r="AO246" s="728"/>
      <c r="AP246" s="728">
        <v>0</v>
      </c>
      <c r="AQ246" s="728"/>
      <c r="AR246" s="728">
        <v>0</v>
      </c>
      <c r="AS246" s="728"/>
      <c r="AT246" s="769">
        <f t="shared" si="19"/>
        <v>0</v>
      </c>
      <c r="AU246" s="729"/>
      <c r="AV246" s="769">
        <f t="shared" si="20"/>
        <v>0</v>
      </c>
      <c r="AW246" s="725">
        <f t="shared" si="18"/>
        <v>0</v>
      </c>
      <c r="AY246" s="742"/>
    </row>
    <row r="247" spans="1:51" s="725" customFormat="1">
      <c r="A247" s="738">
        <f t="shared" si="21"/>
        <v>243</v>
      </c>
      <c r="B247" s="724"/>
      <c r="C247" s="758" t="s">
        <v>1573</v>
      </c>
      <c r="D247" s="731" t="s">
        <v>1589</v>
      </c>
      <c r="E247" s="727">
        <f t="shared" si="13"/>
        <v>400000</v>
      </c>
      <c r="F247" s="728">
        <v>50000</v>
      </c>
      <c r="G247" s="728"/>
      <c r="H247" s="763">
        <v>0</v>
      </c>
      <c r="I247" s="741">
        <v>50000</v>
      </c>
      <c r="J247" s="728">
        <v>50000</v>
      </c>
      <c r="K247" s="728"/>
      <c r="L247" s="728">
        <v>0</v>
      </c>
      <c r="M247" s="728"/>
      <c r="N247" s="728">
        <v>0</v>
      </c>
      <c r="O247" s="728"/>
      <c r="P247" s="728">
        <v>50000</v>
      </c>
      <c r="Q247" s="728"/>
      <c r="R247" s="728">
        <v>50000</v>
      </c>
      <c r="S247" s="728"/>
      <c r="T247" s="763">
        <v>0</v>
      </c>
      <c r="U247" s="741">
        <v>50000</v>
      </c>
      <c r="V247" s="763">
        <v>0</v>
      </c>
      <c r="W247" s="741">
        <v>50000</v>
      </c>
      <c r="X247" s="728">
        <v>0</v>
      </c>
      <c r="Y247" s="728"/>
      <c r="Z247" s="728">
        <v>50000</v>
      </c>
      <c r="AA247" s="728"/>
      <c r="AB247" s="728">
        <v>0</v>
      </c>
      <c r="AC247" s="728"/>
      <c r="AD247" s="728">
        <v>0</v>
      </c>
      <c r="AE247" s="728"/>
      <c r="AF247" s="729">
        <v>0</v>
      </c>
      <c r="AG247" s="728"/>
      <c r="AH247" s="728"/>
      <c r="AI247" s="728"/>
      <c r="AJ247" s="728">
        <v>0</v>
      </c>
      <c r="AK247" s="728"/>
      <c r="AL247" s="728">
        <v>0</v>
      </c>
      <c r="AM247" s="728"/>
      <c r="AN247" s="728">
        <v>0</v>
      </c>
      <c r="AO247" s="728"/>
      <c r="AP247" s="728">
        <v>0</v>
      </c>
      <c r="AQ247" s="728"/>
      <c r="AR247" s="728">
        <v>0</v>
      </c>
      <c r="AS247" s="728"/>
      <c r="AT247" s="769">
        <f t="shared" si="19"/>
        <v>150000</v>
      </c>
      <c r="AU247" s="729"/>
      <c r="AV247" s="771">
        <f t="shared" si="20"/>
        <v>150000</v>
      </c>
      <c r="AW247" s="725">
        <f t="shared" si="18"/>
        <v>0</v>
      </c>
      <c r="AY247" s="742"/>
    </row>
    <row r="248" spans="1:51" s="725" customFormat="1">
      <c r="A248" s="738">
        <f t="shared" si="21"/>
        <v>244</v>
      </c>
      <c r="B248" s="724"/>
      <c r="C248" s="758" t="s">
        <v>1574</v>
      </c>
      <c r="D248" s="731" t="s">
        <v>1590</v>
      </c>
      <c r="E248" s="727">
        <f t="shared" si="13"/>
        <v>250000</v>
      </c>
      <c r="F248" s="728">
        <v>50000</v>
      </c>
      <c r="G248" s="728"/>
      <c r="H248" s="728">
        <v>0</v>
      </c>
      <c r="I248" s="728"/>
      <c r="J248" s="728">
        <v>0</v>
      </c>
      <c r="K248" s="728"/>
      <c r="L248" s="728">
        <v>0</v>
      </c>
      <c r="M248" s="728"/>
      <c r="N248" s="728">
        <v>0</v>
      </c>
      <c r="O248" s="728"/>
      <c r="P248" s="728">
        <v>50000</v>
      </c>
      <c r="Q248" s="728"/>
      <c r="R248" s="728">
        <v>50000</v>
      </c>
      <c r="S248" s="728"/>
      <c r="T248" s="728">
        <v>50000</v>
      </c>
      <c r="U248" s="728"/>
      <c r="V248" s="728">
        <v>0</v>
      </c>
      <c r="W248" s="728"/>
      <c r="X248" s="763">
        <v>0</v>
      </c>
      <c r="Y248" s="741">
        <v>50000</v>
      </c>
      <c r="Z248" s="728">
        <v>0</v>
      </c>
      <c r="AA248" s="728"/>
      <c r="AB248" s="728">
        <v>0</v>
      </c>
      <c r="AC248" s="728"/>
      <c r="AD248" s="728">
        <v>0</v>
      </c>
      <c r="AE248" s="728"/>
      <c r="AF248" s="729">
        <v>0</v>
      </c>
      <c r="AG248" s="728"/>
      <c r="AH248" s="728"/>
      <c r="AI248" s="728"/>
      <c r="AJ248" s="728">
        <v>0</v>
      </c>
      <c r="AK248" s="728"/>
      <c r="AL248" s="728">
        <v>0</v>
      </c>
      <c r="AM248" s="728"/>
      <c r="AN248" s="728">
        <v>0</v>
      </c>
      <c r="AO248" s="728"/>
      <c r="AP248" s="728">
        <v>0</v>
      </c>
      <c r="AQ248" s="728"/>
      <c r="AR248" s="728">
        <v>0</v>
      </c>
      <c r="AS248" s="728"/>
      <c r="AT248" s="769">
        <f t="shared" si="19"/>
        <v>50000</v>
      </c>
      <c r="AU248" s="729"/>
      <c r="AV248" s="771">
        <f t="shared" si="20"/>
        <v>50000</v>
      </c>
      <c r="AW248" s="725">
        <f t="shared" si="18"/>
        <v>0</v>
      </c>
      <c r="AY248" s="742"/>
    </row>
    <row r="249" spans="1:51" s="725" customFormat="1">
      <c r="A249" s="738">
        <f t="shared" si="21"/>
        <v>245</v>
      </c>
      <c r="B249" s="724"/>
      <c r="C249" s="758" t="s">
        <v>1575</v>
      </c>
      <c r="D249" s="731" t="s">
        <v>1591</v>
      </c>
      <c r="E249" s="727">
        <f t="shared" si="13"/>
        <v>250000</v>
      </c>
      <c r="F249" s="728">
        <v>50000</v>
      </c>
      <c r="G249" s="728"/>
      <c r="H249" s="728">
        <v>0</v>
      </c>
      <c r="I249" s="728"/>
      <c r="J249" s="728">
        <v>0</v>
      </c>
      <c r="K249" s="728"/>
      <c r="L249" s="763">
        <v>0</v>
      </c>
      <c r="M249" s="741">
        <v>50000</v>
      </c>
      <c r="N249" s="728">
        <v>0</v>
      </c>
      <c r="O249" s="728"/>
      <c r="P249" s="728">
        <v>50000</v>
      </c>
      <c r="Q249" s="728"/>
      <c r="R249" s="728">
        <v>50000</v>
      </c>
      <c r="S249" s="728"/>
      <c r="T249" s="728">
        <v>50000</v>
      </c>
      <c r="U249" s="728"/>
      <c r="V249" s="728">
        <v>0</v>
      </c>
      <c r="W249" s="728"/>
      <c r="X249" s="728">
        <v>0</v>
      </c>
      <c r="Y249" s="728"/>
      <c r="Z249" s="728">
        <v>0</v>
      </c>
      <c r="AA249" s="728"/>
      <c r="AB249" s="728">
        <v>0</v>
      </c>
      <c r="AC249" s="728"/>
      <c r="AD249" s="728">
        <v>0</v>
      </c>
      <c r="AE249" s="728"/>
      <c r="AF249" s="729">
        <v>0</v>
      </c>
      <c r="AG249" s="728"/>
      <c r="AH249" s="728"/>
      <c r="AI249" s="728"/>
      <c r="AJ249" s="728">
        <v>0</v>
      </c>
      <c r="AK249" s="728"/>
      <c r="AL249" s="728">
        <v>0</v>
      </c>
      <c r="AM249" s="728"/>
      <c r="AN249" s="728">
        <v>0</v>
      </c>
      <c r="AO249" s="728"/>
      <c r="AP249" s="728">
        <v>0</v>
      </c>
      <c r="AQ249" s="728"/>
      <c r="AR249" s="728">
        <v>0</v>
      </c>
      <c r="AS249" s="728"/>
      <c r="AT249" s="769">
        <f t="shared" si="19"/>
        <v>50000</v>
      </c>
      <c r="AU249" s="729"/>
      <c r="AV249" s="771">
        <f t="shared" si="20"/>
        <v>50000</v>
      </c>
      <c r="AW249" s="725">
        <f t="shared" si="18"/>
        <v>0</v>
      </c>
      <c r="AY249" s="742"/>
    </row>
    <row r="250" spans="1:51" s="725" customFormat="1" hidden="1">
      <c r="A250" s="738">
        <f t="shared" si="21"/>
        <v>246</v>
      </c>
      <c r="B250" s="724"/>
      <c r="C250" s="758" t="s">
        <v>1576</v>
      </c>
      <c r="D250" s="731" t="s">
        <v>1592</v>
      </c>
      <c r="E250" s="727">
        <f t="shared" si="13"/>
        <v>200000</v>
      </c>
      <c r="F250" s="728">
        <v>50000</v>
      </c>
      <c r="G250" s="728"/>
      <c r="H250" s="728">
        <v>0</v>
      </c>
      <c r="I250" s="728"/>
      <c r="J250" s="728">
        <v>0</v>
      </c>
      <c r="K250" s="728"/>
      <c r="L250" s="728">
        <v>0</v>
      </c>
      <c r="M250" s="728"/>
      <c r="N250" s="728">
        <v>0</v>
      </c>
      <c r="O250" s="728"/>
      <c r="P250" s="728">
        <v>50000</v>
      </c>
      <c r="Q250" s="728"/>
      <c r="R250" s="728">
        <v>50000</v>
      </c>
      <c r="S250" s="728"/>
      <c r="T250" s="728">
        <v>50000</v>
      </c>
      <c r="U250" s="728"/>
      <c r="V250" s="728">
        <v>0</v>
      </c>
      <c r="W250" s="728"/>
      <c r="X250" s="728">
        <v>0</v>
      </c>
      <c r="Y250" s="728"/>
      <c r="Z250" s="728">
        <v>0</v>
      </c>
      <c r="AA250" s="728"/>
      <c r="AB250" s="728">
        <v>0</v>
      </c>
      <c r="AC250" s="728"/>
      <c r="AD250" s="728">
        <v>0</v>
      </c>
      <c r="AE250" s="728"/>
      <c r="AF250" s="729">
        <v>0</v>
      </c>
      <c r="AG250" s="728"/>
      <c r="AH250" s="728"/>
      <c r="AI250" s="728"/>
      <c r="AJ250" s="728">
        <v>0</v>
      </c>
      <c r="AK250" s="728"/>
      <c r="AL250" s="728">
        <v>0</v>
      </c>
      <c r="AM250" s="728"/>
      <c r="AN250" s="728">
        <v>0</v>
      </c>
      <c r="AO250" s="728"/>
      <c r="AP250" s="728">
        <v>0</v>
      </c>
      <c r="AQ250" s="728"/>
      <c r="AR250" s="728">
        <v>0</v>
      </c>
      <c r="AS250" s="728"/>
      <c r="AT250" s="769">
        <f t="shared" si="19"/>
        <v>0</v>
      </c>
      <c r="AU250" s="729"/>
      <c r="AV250" s="769">
        <f t="shared" si="20"/>
        <v>0</v>
      </c>
      <c r="AW250" s="725">
        <f t="shared" si="18"/>
        <v>0</v>
      </c>
      <c r="AY250" s="742"/>
    </row>
    <row r="251" spans="1:51" s="725" customFormat="1">
      <c r="A251" s="738">
        <f t="shared" si="21"/>
        <v>247</v>
      </c>
      <c r="B251" s="724"/>
      <c r="C251" s="758" t="s">
        <v>1577</v>
      </c>
      <c r="D251" s="731" t="s">
        <v>1593</v>
      </c>
      <c r="E251" s="727">
        <f t="shared" si="13"/>
        <v>300000</v>
      </c>
      <c r="F251" s="728">
        <v>50000</v>
      </c>
      <c r="G251" s="728"/>
      <c r="H251" s="728">
        <v>50000</v>
      </c>
      <c r="I251" s="728"/>
      <c r="J251" s="728">
        <v>50000</v>
      </c>
      <c r="K251" s="728"/>
      <c r="L251" s="763">
        <v>0</v>
      </c>
      <c r="M251" s="741">
        <v>50000</v>
      </c>
      <c r="N251" s="728">
        <v>0</v>
      </c>
      <c r="O251" s="728"/>
      <c r="P251" s="728">
        <v>50000</v>
      </c>
      <c r="Q251" s="728"/>
      <c r="R251" s="728">
        <v>50000</v>
      </c>
      <c r="S251" s="728"/>
      <c r="T251" s="728">
        <v>0</v>
      </c>
      <c r="U251" s="728"/>
      <c r="V251" s="728">
        <v>0</v>
      </c>
      <c r="W251" s="728"/>
      <c r="X251" s="728">
        <v>0</v>
      </c>
      <c r="Y251" s="728"/>
      <c r="Z251" s="728">
        <v>0</v>
      </c>
      <c r="AA251" s="728"/>
      <c r="AB251" s="728">
        <v>0</v>
      </c>
      <c r="AC251" s="728"/>
      <c r="AD251" s="728">
        <v>0</v>
      </c>
      <c r="AE251" s="728"/>
      <c r="AF251" s="729">
        <v>0</v>
      </c>
      <c r="AG251" s="728"/>
      <c r="AH251" s="728"/>
      <c r="AI251" s="728"/>
      <c r="AJ251" s="728">
        <v>0</v>
      </c>
      <c r="AK251" s="728"/>
      <c r="AL251" s="728">
        <v>0</v>
      </c>
      <c r="AM251" s="728"/>
      <c r="AN251" s="728">
        <v>0</v>
      </c>
      <c r="AO251" s="728"/>
      <c r="AP251" s="728">
        <v>0</v>
      </c>
      <c r="AQ251" s="728"/>
      <c r="AR251" s="728">
        <v>0</v>
      </c>
      <c r="AS251" s="728"/>
      <c r="AT251" s="769">
        <f t="shared" si="19"/>
        <v>50000</v>
      </c>
      <c r="AU251" s="729"/>
      <c r="AV251" s="771">
        <f t="shared" si="20"/>
        <v>50000</v>
      </c>
      <c r="AW251" s="725">
        <f t="shared" si="18"/>
        <v>0</v>
      </c>
      <c r="AY251" s="742"/>
    </row>
    <row r="252" spans="1:51" s="725" customFormat="1">
      <c r="A252" s="738">
        <f t="shared" si="21"/>
        <v>248</v>
      </c>
      <c r="B252" s="724"/>
      <c r="C252" s="758" t="s">
        <v>1578</v>
      </c>
      <c r="D252" s="731" t="s">
        <v>1594</v>
      </c>
      <c r="E252" s="727">
        <f t="shared" si="13"/>
        <v>400000</v>
      </c>
      <c r="F252" s="728">
        <v>50000</v>
      </c>
      <c r="G252" s="728"/>
      <c r="H252" s="728">
        <v>50000</v>
      </c>
      <c r="I252" s="728"/>
      <c r="J252" s="728">
        <v>0</v>
      </c>
      <c r="K252" s="728"/>
      <c r="L252" s="763">
        <v>0</v>
      </c>
      <c r="M252" s="741">
        <v>50000</v>
      </c>
      <c r="N252" s="728">
        <v>0</v>
      </c>
      <c r="O252" s="728"/>
      <c r="P252" s="728">
        <v>50000</v>
      </c>
      <c r="Q252" s="728"/>
      <c r="R252" s="728">
        <v>50000</v>
      </c>
      <c r="S252" s="728"/>
      <c r="T252" s="728">
        <v>50000</v>
      </c>
      <c r="U252" s="728"/>
      <c r="V252" s="728">
        <v>0</v>
      </c>
      <c r="W252" s="728"/>
      <c r="X252" s="728">
        <v>0</v>
      </c>
      <c r="Y252" s="728"/>
      <c r="Z252" s="763">
        <v>0</v>
      </c>
      <c r="AA252" s="741">
        <v>50000</v>
      </c>
      <c r="AB252" s="728">
        <v>0</v>
      </c>
      <c r="AC252" s="728"/>
      <c r="AD252" s="728">
        <v>0</v>
      </c>
      <c r="AE252" s="728"/>
      <c r="AF252" s="741">
        <v>0</v>
      </c>
      <c r="AG252" s="741">
        <v>50000</v>
      </c>
      <c r="AH252" s="728"/>
      <c r="AI252" s="728"/>
      <c r="AJ252" s="728">
        <v>0</v>
      </c>
      <c r="AK252" s="728"/>
      <c r="AL252" s="728">
        <v>0</v>
      </c>
      <c r="AM252" s="728"/>
      <c r="AN252" s="728">
        <v>0</v>
      </c>
      <c r="AO252" s="728"/>
      <c r="AP252" s="728">
        <v>0</v>
      </c>
      <c r="AQ252" s="728"/>
      <c r="AR252" s="728">
        <v>0</v>
      </c>
      <c r="AS252" s="728"/>
      <c r="AT252" s="769">
        <f t="shared" si="19"/>
        <v>150000</v>
      </c>
      <c r="AU252" s="729"/>
      <c r="AV252" s="771">
        <f t="shared" si="20"/>
        <v>150000</v>
      </c>
      <c r="AW252" s="725">
        <f t="shared" si="18"/>
        <v>0</v>
      </c>
      <c r="AY252" s="742"/>
    </row>
    <row r="253" spans="1:51" s="725" customFormat="1" hidden="1">
      <c r="A253" s="738">
        <f t="shared" si="21"/>
        <v>249</v>
      </c>
      <c r="B253" s="724"/>
      <c r="C253" s="758" t="s">
        <v>1579</v>
      </c>
      <c r="D253" s="731" t="s">
        <v>1595</v>
      </c>
      <c r="E253" s="727">
        <f t="shared" si="13"/>
        <v>300000</v>
      </c>
      <c r="F253" s="728">
        <v>50000</v>
      </c>
      <c r="G253" s="728"/>
      <c r="H253" s="728">
        <v>50000</v>
      </c>
      <c r="I253" s="728"/>
      <c r="J253" s="728">
        <v>50000</v>
      </c>
      <c r="K253" s="728"/>
      <c r="L253" s="728">
        <v>50000</v>
      </c>
      <c r="M253" s="728"/>
      <c r="N253" s="728">
        <v>0</v>
      </c>
      <c r="O253" s="728"/>
      <c r="P253" s="728">
        <v>50000</v>
      </c>
      <c r="Q253" s="728"/>
      <c r="R253" s="728">
        <v>50000</v>
      </c>
      <c r="S253" s="728"/>
      <c r="T253" s="728">
        <v>0</v>
      </c>
      <c r="U253" s="728"/>
      <c r="V253" s="728">
        <v>0</v>
      </c>
      <c r="W253" s="728"/>
      <c r="X253" s="728">
        <v>0</v>
      </c>
      <c r="Y253" s="728"/>
      <c r="Z253" s="728">
        <v>0</v>
      </c>
      <c r="AA253" s="728"/>
      <c r="AB253" s="728">
        <v>0</v>
      </c>
      <c r="AC253" s="728"/>
      <c r="AD253" s="728">
        <v>0</v>
      </c>
      <c r="AE253" s="728"/>
      <c r="AF253" s="729">
        <v>0</v>
      </c>
      <c r="AG253" s="728"/>
      <c r="AH253" s="728"/>
      <c r="AI253" s="728"/>
      <c r="AJ253" s="728">
        <v>0</v>
      </c>
      <c r="AK253" s="728"/>
      <c r="AL253" s="728">
        <v>0</v>
      </c>
      <c r="AM253" s="728"/>
      <c r="AN253" s="728">
        <v>0</v>
      </c>
      <c r="AO253" s="728"/>
      <c r="AP253" s="728">
        <v>0</v>
      </c>
      <c r="AQ253" s="728"/>
      <c r="AR253" s="728">
        <v>0</v>
      </c>
      <c r="AS253" s="728"/>
      <c r="AT253" s="769">
        <f t="shared" si="19"/>
        <v>0</v>
      </c>
      <c r="AU253" s="729"/>
      <c r="AV253" s="769">
        <f t="shared" si="20"/>
        <v>0</v>
      </c>
      <c r="AW253" s="725">
        <f t="shared" si="18"/>
        <v>0</v>
      </c>
      <c r="AY253" s="742"/>
    </row>
    <row r="254" spans="1:51" s="725" customFormat="1" hidden="1">
      <c r="A254" s="738">
        <f t="shared" si="21"/>
        <v>250</v>
      </c>
      <c r="B254" s="724"/>
      <c r="C254" s="758" t="s">
        <v>1580</v>
      </c>
      <c r="D254" s="731" t="s">
        <v>1596</v>
      </c>
      <c r="E254" s="727">
        <f t="shared" si="13"/>
        <v>350000</v>
      </c>
      <c r="F254" s="728">
        <v>50000</v>
      </c>
      <c r="G254" s="728"/>
      <c r="H254" s="728">
        <v>50000</v>
      </c>
      <c r="I254" s="728"/>
      <c r="J254" s="728">
        <v>50000</v>
      </c>
      <c r="K254" s="728"/>
      <c r="L254" s="763">
        <v>0</v>
      </c>
      <c r="M254" s="741">
        <v>50000</v>
      </c>
      <c r="N254" s="728">
        <v>0</v>
      </c>
      <c r="O254" s="728"/>
      <c r="P254" s="728">
        <v>50000</v>
      </c>
      <c r="Q254" s="728"/>
      <c r="R254" s="728">
        <v>50000</v>
      </c>
      <c r="S254" s="728"/>
      <c r="T254" s="728">
        <v>50000</v>
      </c>
      <c r="U254" s="728"/>
      <c r="V254" s="728">
        <v>0</v>
      </c>
      <c r="W254" s="728"/>
      <c r="X254" s="728">
        <v>0</v>
      </c>
      <c r="Y254" s="728"/>
      <c r="Z254" s="728">
        <v>0</v>
      </c>
      <c r="AA254" s="728"/>
      <c r="AB254" s="728">
        <v>0</v>
      </c>
      <c r="AC254" s="728"/>
      <c r="AD254" s="728">
        <v>0</v>
      </c>
      <c r="AE254" s="728"/>
      <c r="AF254" s="729">
        <v>0</v>
      </c>
      <c r="AG254" s="728"/>
      <c r="AH254" s="728"/>
      <c r="AI254" s="728"/>
      <c r="AJ254" s="728">
        <v>0</v>
      </c>
      <c r="AK254" s="728"/>
      <c r="AL254" s="728">
        <v>0</v>
      </c>
      <c r="AM254" s="728"/>
      <c r="AN254" s="728">
        <v>0</v>
      </c>
      <c r="AO254" s="728"/>
      <c r="AP254" s="728">
        <v>0</v>
      </c>
      <c r="AQ254" s="728"/>
      <c r="AR254" s="728">
        <v>0</v>
      </c>
      <c r="AS254" s="728"/>
      <c r="AT254" s="769">
        <f t="shared" si="19"/>
        <v>50000</v>
      </c>
      <c r="AU254" s="729"/>
      <c r="AV254" s="769">
        <f t="shared" si="20"/>
        <v>0</v>
      </c>
      <c r="AW254" s="725">
        <f t="shared" si="18"/>
        <v>50000</v>
      </c>
      <c r="AY254" s="742"/>
    </row>
    <row r="255" spans="1:51" s="725" customFormat="1" hidden="1">
      <c r="A255" s="738">
        <f t="shared" si="21"/>
        <v>251</v>
      </c>
      <c r="B255" s="724"/>
      <c r="C255" s="758" t="s">
        <v>1581</v>
      </c>
      <c r="D255" s="731" t="s">
        <v>1597</v>
      </c>
      <c r="E255" s="727">
        <f t="shared" si="13"/>
        <v>200000</v>
      </c>
      <c r="F255" s="728">
        <v>50000</v>
      </c>
      <c r="G255" s="728"/>
      <c r="H255" s="728">
        <v>0</v>
      </c>
      <c r="I255" s="728"/>
      <c r="J255" s="728">
        <v>0</v>
      </c>
      <c r="K255" s="728"/>
      <c r="L255" s="728">
        <v>0</v>
      </c>
      <c r="M255" s="728"/>
      <c r="N255" s="728">
        <v>0</v>
      </c>
      <c r="O255" s="728"/>
      <c r="P255" s="728">
        <v>50000</v>
      </c>
      <c r="Q255" s="728"/>
      <c r="R255" s="728">
        <v>50000</v>
      </c>
      <c r="S255" s="728"/>
      <c r="T255" s="728">
        <v>50000</v>
      </c>
      <c r="U255" s="728"/>
      <c r="V255" s="728">
        <v>0</v>
      </c>
      <c r="W255" s="728"/>
      <c r="X255" s="728">
        <v>0</v>
      </c>
      <c r="Y255" s="728"/>
      <c r="Z255" s="728">
        <v>0</v>
      </c>
      <c r="AA255" s="728"/>
      <c r="AB255" s="728">
        <v>0</v>
      </c>
      <c r="AC255" s="728"/>
      <c r="AD255" s="728">
        <v>0</v>
      </c>
      <c r="AE255" s="728"/>
      <c r="AF255" s="729">
        <v>0</v>
      </c>
      <c r="AG255" s="728"/>
      <c r="AH255" s="728"/>
      <c r="AI255" s="728"/>
      <c r="AJ255" s="728">
        <v>0</v>
      </c>
      <c r="AK255" s="728"/>
      <c r="AL255" s="728">
        <v>0</v>
      </c>
      <c r="AM255" s="728"/>
      <c r="AN255" s="728">
        <v>0</v>
      </c>
      <c r="AO255" s="728"/>
      <c r="AP255" s="728">
        <v>0</v>
      </c>
      <c r="AQ255" s="728"/>
      <c r="AR255" s="728">
        <v>0</v>
      </c>
      <c r="AS255" s="728"/>
      <c r="AT255" s="769">
        <f t="shared" si="19"/>
        <v>0</v>
      </c>
      <c r="AU255" s="729"/>
      <c r="AV255" s="769">
        <f t="shared" si="20"/>
        <v>0</v>
      </c>
      <c r="AW255" s="725">
        <f t="shared" si="18"/>
        <v>0</v>
      </c>
      <c r="AY255" s="742"/>
    </row>
    <row r="256" spans="1:51" s="725" customFormat="1">
      <c r="A256" s="738">
        <f t="shared" si="21"/>
        <v>252</v>
      </c>
      <c r="B256" s="724"/>
      <c r="C256" s="758" t="s">
        <v>1582</v>
      </c>
      <c r="D256" s="731" t="s">
        <v>1598</v>
      </c>
      <c r="E256" s="727">
        <f t="shared" si="13"/>
        <v>450000</v>
      </c>
      <c r="F256" s="728">
        <v>50000</v>
      </c>
      <c r="G256" s="728"/>
      <c r="H256" s="728">
        <v>50000</v>
      </c>
      <c r="I256" s="728"/>
      <c r="J256" s="728">
        <v>0</v>
      </c>
      <c r="K256" s="728"/>
      <c r="L256" s="728">
        <v>0</v>
      </c>
      <c r="M256" s="728"/>
      <c r="N256" s="728">
        <v>0</v>
      </c>
      <c r="O256" s="728"/>
      <c r="P256" s="728">
        <v>50000</v>
      </c>
      <c r="Q256" s="728"/>
      <c r="R256" s="728">
        <v>50000</v>
      </c>
      <c r="S256" s="728"/>
      <c r="T256" s="728">
        <v>50000</v>
      </c>
      <c r="U256" s="728"/>
      <c r="V256" s="763">
        <v>0</v>
      </c>
      <c r="W256" s="741">
        <v>50000</v>
      </c>
      <c r="X256" s="763">
        <v>0</v>
      </c>
      <c r="Y256" s="741">
        <v>50000</v>
      </c>
      <c r="Z256" s="728">
        <v>50000</v>
      </c>
      <c r="AA256" s="728"/>
      <c r="AB256" s="728">
        <v>0</v>
      </c>
      <c r="AC256" s="728"/>
      <c r="AD256" s="763">
        <v>0</v>
      </c>
      <c r="AE256" s="741">
        <v>50000</v>
      </c>
      <c r="AF256" s="729">
        <v>0</v>
      </c>
      <c r="AG256" s="728"/>
      <c r="AH256" s="728"/>
      <c r="AI256" s="728"/>
      <c r="AJ256" s="728">
        <v>0</v>
      </c>
      <c r="AK256" s="728"/>
      <c r="AL256" s="728">
        <v>0</v>
      </c>
      <c r="AM256" s="728"/>
      <c r="AN256" s="728">
        <v>0</v>
      </c>
      <c r="AO256" s="728"/>
      <c r="AP256" s="728">
        <v>0</v>
      </c>
      <c r="AQ256" s="728"/>
      <c r="AR256" s="728">
        <v>0</v>
      </c>
      <c r="AS256" s="728"/>
      <c r="AT256" s="769">
        <f t="shared" si="19"/>
        <v>150000</v>
      </c>
      <c r="AU256" s="729"/>
      <c r="AV256" s="771">
        <f t="shared" si="20"/>
        <v>150000</v>
      </c>
      <c r="AW256" s="725">
        <f t="shared" si="18"/>
        <v>0</v>
      </c>
      <c r="AY256" s="742"/>
    </row>
    <row r="257" spans="1:51" s="725" customFormat="1">
      <c r="A257" s="738">
        <f t="shared" si="21"/>
        <v>253</v>
      </c>
      <c r="B257" s="724"/>
      <c r="C257" s="758" t="s">
        <v>1583</v>
      </c>
      <c r="D257" s="731" t="s">
        <v>1599</v>
      </c>
      <c r="E257" s="727">
        <f t="shared" si="13"/>
        <v>300000</v>
      </c>
      <c r="F257" s="728">
        <v>50000</v>
      </c>
      <c r="G257" s="728"/>
      <c r="H257" s="728">
        <v>50000</v>
      </c>
      <c r="I257" s="728"/>
      <c r="J257" s="728">
        <v>0</v>
      </c>
      <c r="K257" s="728"/>
      <c r="L257" s="728">
        <v>0</v>
      </c>
      <c r="M257" s="728"/>
      <c r="N257" s="728">
        <v>0</v>
      </c>
      <c r="O257" s="728"/>
      <c r="P257" s="728">
        <v>50000</v>
      </c>
      <c r="Q257" s="728"/>
      <c r="R257" s="728">
        <v>50000</v>
      </c>
      <c r="S257" s="728"/>
      <c r="T257" s="728">
        <v>50000</v>
      </c>
      <c r="U257" s="728"/>
      <c r="V257" s="728">
        <v>0</v>
      </c>
      <c r="W257" s="728"/>
      <c r="X257" s="728">
        <v>0</v>
      </c>
      <c r="Y257" s="728"/>
      <c r="Z257" s="763">
        <v>0</v>
      </c>
      <c r="AA257" s="741">
        <v>50000</v>
      </c>
      <c r="AB257" s="728">
        <v>0</v>
      </c>
      <c r="AC257" s="728"/>
      <c r="AD257" s="728">
        <v>0</v>
      </c>
      <c r="AE257" s="728"/>
      <c r="AF257" s="729">
        <v>0</v>
      </c>
      <c r="AG257" s="728"/>
      <c r="AH257" s="728"/>
      <c r="AI257" s="728"/>
      <c r="AJ257" s="728">
        <v>0</v>
      </c>
      <c r="AK257" s="728"/>
      <c r="AL257" s="728">
        <v>0</v>
      </c>
      <c r="AM257" s="728"/>
      <c r="AN257" s="728">
        <v>0</v>
      </c>
      <c r="AO257" s="728"/>
      <c r="AP257" s="728">
        <v>0</v>
      </c>
      <c r="AQ257" s="728"/>
      <c r="AR257" s="728">
        <v>0</v>
      </c>
      <c r="AS257" s="728"/>
      <c r="AT257" s="769">
        <f t="shared" si="19"/>
        <v>50000</v>
      </c>
      <c r="AU257" s="729"/>
      <c r="AV257" s="771">
        <f t="shared" si="20"/>
        <v>50000</v>
      </c>
      <c r="AW257" s="725">
        <f t="shared" si="18"/>
        <v>0</v>
      </c>
      <c r="AY257" s="742"/>
    </row>
    <row r="258" spans="1:51" s="725" customFormat="1">
      <c r="A258" s="738">
        <f t="shared" si="21"/>
        <v>254</v>
      </c>
      <c r="B258" s="724"/>
      <c r="C258" s="758" t="s">
        <v>1584</v>
      </c>
      <c r="D258" s="731" t="s">
        <v>1600</v>
      </c>
      <c r="E258" s="727">
        <f t="shared" si="13"/>
        <v>930000</v>
      </c>
      <c r="F258" s="728">
        <v>50000</v>
      </c>
      <c r="G258" s="728"/>
      <c r="H258" s="728">
        <v>50000</v>
      </c>
      <c r="I258" s="728"/>
      <c r="J258" s="728">
        <v>50000</v>
      </c>
      <c r="K258" s="728"/>
      <c r="L258" s="728">
        <v>50000</v>
      </c>
      <c r="M258" s="728"/>
      <c r="N258" s="763">
        <v>0</v>
      </c>
      <c r="O258" s="741">
        <v>50000</v>
      </c>
      <c r="P258" s="728">
        <v>50000</v>
      </c>
      <c r="Q258" s="728"/>
      <c r="R258" s="728">
        <v>50000</v>
      </c>
      <c r="S258" s="728"/>
      <c r="T258" s="728">
        <v>50000</v>
      </c>
      <c r="U258" s="728"/>
      <c r="V258" s="728">
        <v>50000</v>
      </c>
      <c r="W258" s="728"/>
      <c r="X258" s="728">
        <v>50000</v>
      </c>
      <c r="Y258" s="728"/>
      <c r="Z258" s="728">
        <v>50000</v>
      </c>
      <c r="AA258" s="728"/>
      <c r="AB258" s="728">
        <v>50000</v>
      </c>
      <c r="AC258" s="728"/>
      <c r="AD258" s="728">
        <v>100000</v>
      </c>
      <c r="AE258" s="728"/>
      <c r="AF258" s="729">
        <v>50000</v>
      </c>
      <c r="AG258" s="728"/>
      <c r="AH258" s="741">
        <v>0</v>
      </c>
      <c r="AI258" s="741">
        <v>50000</v>
      </c>
      <c r="AJ258" s="763">
        <v>0</v>
      </c>
      <c r="AK258" s="741">
        <v>50000</v>
      </c>
      <c r="AL258" s="763">
        <v>0</v>
      </c>
      <c r="AM258" s="741">
        <v>40000</v>
      </c>
      <c r="AN258" s="728">
        <v>0</v>
      </c>
      <c r="AO258" s="728"/>
      <c r="AP258" s="763">
        <v>0</v>
      </c>
      <c r="AQ258" s="741">
        <v>40000</v>
      </c>
      <c r="AR258" s="728">
        <v>0</v>
      </c>
      <c r="AS258" s="728"/>
      <c r="AT258" s="769">
        <f t="shared" si="19"/>
        <v>230000</v>
      </c>
      <c r="AU258" s="729"/>
      <c r="AV258" s="771">
        <f t="shared" si="20"/>
        <v>50000</v>
      </c>
      <c r="AW258" s="725">
        <f t="shared" si="18"/>
        <v>180000</v>
      </c>
      <c r="AY258" s="742"/>
    </row>
    <row r="259" spans="1:51" s="725" customFormat="1">
      <c r="A259" s="738">
        <f t="shared" si="21"/>
        <v>255</v>
      </c>
      <c r="B259" s="724"/>
      <c r="C259" s="758" t="s">
        <v>1585</v>
      </c>
      <c r="D259" s="731" t="s">
        <v>1601</v>
      </c>
      <c r="E259" s="727">
        <f t="shared" si="13"/>
        <v>390000</v>
      </c>
      <c r="F259" s="728">
        <v>50000</v>
      </c>
      <c r="G259" s="728"/>
      <c r="H259" s="728">
        <v>50000</v>
      </c>
      <c r="I259" s="741">
        <v>50000</v>
      </c>
      <c r="J259" s="763">
        <v>0</v>
      </c>
      <c r="K259" s="741">
        <v>50000</v>
      </c>
      <c r="L259" s="728">
        <v>50000</v>
      </c>
      <c r="M259" s="728"/>
      <c r="N259" s="728">
        <v>0</v>
      </c>
      <c r="O259" s="728"/>
      <c r="P259" s="728">
        <v>50000</v>
      </c>
      <c r="Q259" s="728"/>
      <c r="R259" s="728">
        <v>50000</v>
      </c>
      <c r="S259" s="728"/>
      <c r="T259" s="728">
        <v>0</v>
      </c>
      <c r="U259" s="728"/>
      <c r="V259" s="728">
        <v>0</v>
      </c>
      <c r="W259" s="728"/>
      <c r="X259" s="728">
        <v>0</v>
      </c>
      <c r="Y259" s="728"/>
      <c r="Z259" s="728">
        <v>0</v>
      </c>
      <c r="AA259" s="728"/>
      <c r="AB259" s="728">
        <v>0</v>
      </c>
      <c r="AC259" s="728"/>
      <c r="AD259" s="728">
        <v>0</v>
      </c>
      <c r="AE259" s="728"/>
      <c r="AF259" s="729">
        <v>0</v>
      </c>
      <c r="AG259" s="728"/>
      <c r="AH259" s="728"/>
      <c r="AI259" s="728"/>
      <c r="AJ259" s="728">
        <v>0</v>
      </c>
      <c r="AK259" s="728"/>
      <c r="AL259" s="728">
        <v>0</v>
      </c>
      <c r="AM259" s="728"/>
      <c r="AN259" s="763">
        <v>0</v>
      </c>
      <c r="AO259" s="741">
        <v>40000</v>
      </c>
      <c r="AP259" s="728">
        <v>0</v>
      </c>
      <c r="AQ259" s="728"/>
      <c r="AR259" s="728">
        <v>0</v>
      </c>
      <c r="AS259" s="728"/>
      <c r="AT259" s="769">
        <f t="shared" si="19"/>
        <v>140000</v>
      </c>
      <c r="AU259" s="729"/>
      <c r="AV259" s="771">
        <f t="shared" si="20"/>
        <v>50000</v>
      </c>
      <c r="AW259" s="725">
        <f t="shared" si="18"/>
        <v>90000</v>
      </c>
      <c r="AY259" s="742"/>
    </row>
    <row r="260" spans="1:51" s="725" customFormat="1">
      <c r="A260" s="738">
        <f t="shared" si="21"/>
        <v>256</v>
      </c>
      <c r="B260" s="724"/>
      <c r="C260" s="758" t="s">
        <v>1586</v>
      </c>
      <c r="D260" s="731" t="s">
        <v>1602</v>
      </c>
      <c r="E260" s="727">
        <f t="shared" si="13"/>
        <v>350000</v>
      </c>
      <c r="F260" s="728">
        <v>50000</v>
      </c>
      <c r="G260" s="728"/>
      <c r="H260" s="728">
        <v>50000</v>
      </c>
      <c r="I260" s="728"/>
      <c r="J260" s="728">
        <v>0</v>
      </c>
      <c r="K260" s="728"/>
      <c r="L260" s="728">
        <v>0</v>
      </c>
      <c r="M260" s="728"/>
      <c r="N260" s="728">
        <v>0</v>
      </c>
      <c r="O260" s="728"/>
      <c r="P260" s="728">
        <v>50000</v>
      </c>
      <c r="Q260" s="728"/>
      <c r="R260" s="728">
        <v>50000</v>
      </c>
      <c r="S260" s="728"/>
      <c r="T260" s="728">
        <v>50000</v>
      </c>
      <c r="U260" s="728"/>
      <c r="V260" s="728">
        <v>0</v>
      </c>
      <c r="W260" s="728"/>
      <c r="X260" s="728">
        <v>0</v>
      </c>
      <c r="Y260" s="728"/>
      <c r="Z260" s="763">
        <v>0</v>
      </c>
      <c r="AA260" s="741">
        <v>50000</v>
      </c>
      <c r="AB260" s="728">
        <v>0</v>
      </c>
      <c r="AC260" s="728"/>
      <c r="AD260" s="728">
        <v>0</v>
      </c>
      <c r="AE260" s="728"/>
      <c r="AF260" s="741">
        <v>0</v>
      </c>
      <c r="AG260" s="741">
        <v>50000</v>
      </c>
      <c r="AH260" s="728"/>
      <c r="AI260" s="728"/>
      <c r="AJ260" s="728">
        <v>0</v>
      </c>
      <c r="AK260" s="728"/>
      <c r="AL260" s="728">
        <v>0</v>
      </c>
      <c r="AM260" s="728"/>
      <c r="AN260" s="728">
        <v>0</v>
      </c>
      <c r="AO260" s="728"/>
      <c r="AP260" s="728">
        <v>0</v>
      </c>
      <c r="AQ260" s="728"/>
      <c r="AR260" s="728">
        <v>0</v>
      </c>
      <c r="AS260" s="728"/>
      <c r="AT260" s="769">
        <f t="shared" si="19"/>
        <v>100000</v>
      </c>
      <c r="AU260" s="729"/>
      <c r="AV260" s="771">
        <f t="shared" si="20"/>
        <v>100000</v>
      </c>
      <c r="AW260" s="725">
        <f t="shared" si="18"/>
        <v>0</v>
      </c>
      <c r="AY260" s="742"/>
    </row>
    <row r="261" spans="1:51" s="725" customFormat="1">
      <c r="A261" s="738">
        <f t="shared" si="21"/>
        <v>257</v>
      </c>
      <c r="B261" s="724"/>
      <c r="C261" s="758" t="s">
        <v>1603</v>
      </c>
      <c r="D261" s="731" t="s">
        <v>1616</v>
      </c>
      <c r="E261" s="727">
        <f t="shared" si="13"/>
        <v>300000</v>
      </c>
      <c r="F261" s="763">
        <v>0</v>
      </c>
      <c r="G261" s="741">
        <v>50000</v>
      </c>
      <c r="H261" s="728">
        <v>50000</v>
      </c>
      <c r="I261" s="728"/>
      <c r="J261" s="728">
        <v>50000</v>
      </c>
      <c r="K261" s="728"/>
      <c r="L261" s="728">
        <v>0</v>
      </c>
      <c r="M261" s="728"/>
      <c r="N261" s="728">
        <v>0</v>
      </c>
      <c r="O261" s="728"/>
      <c r="P261" s="728">
        <v>50000</v>
      </c>
      <c r="Q261" s="728"/>
      <c r="R261" s="728">
        <v>50000</v>
      </c>
      <c r="S261" s="728"/>
      <c r="T261" s="728">
        <v>50000</v>
      </c>
      <c r="U261" s="728"/>
      <c r="V261" s="728">
        <v>0</v>
      </c>
      <c r="W261" s="728"/>
      <c r="X261" s="728">
        <v>0</v>
      </c>
      <c r="Y261" s="728"/>
      <c r="Z261" s="728">
        <v>0</v>
      </c>
      <c r="AA261" s="728"/>
      <c r="AB261" s="728">
        <v>0</v>
      </c>
      <c r="AC261" s="728"/>
      <c r="AD261" s="728">
        <v>0</v>
      </c>
      <c r="AE261" s="728"/>
      <c r="AF261" s="729">
        <v>0</v>
      </c>
      <c r="AG261" s="728"/>
      <c r="AH261" s="728"/>
      <c r="AI261" s="728"/>
      <c r="AJ261" s="728">
        <v>0</v>
      </c>
      <c r="AK261" s="728"/>
      <c r="AL261" s="728">
        <v>0</v>
      </c>
      <c r="AM261" s="728"/>
      <c r="AN261" s="728">
        <v>0</v>
      </c>
      <c r="AO261" s="728"/>
      <c r="AP261" s="728">
        <v>0</v>
      </c>
      <c r="AQ261" s="728"/>
      <c r="AR261" s="728">
        <v>0</v>
      </c>
      <c r="AS261" s="728"/>
      <c r="AT261" s="769">
        <f t="shared" si="19"/>
        <v>50000</v>
      </c>
      <c r="AU261" s="729"/>
      <c r="AV261" s="771">
        <f t="shared" si="20"/>
        <v>50000</v>
      </c>
      <c r="AW261" s="725">
        <f t="shared" ref="AW261:AW324" si="22">SUMIF(AX:AX,C261,AY:AY)</f>
        <v>0</v>
      </c>
      <c r="AY261" s="742"/>
    </row>
    <row r="262" spans="1:51" s="725" customFormat="1" hidden="1">
      <c r="A262" s="738">
        <f t="shared" si="21"/>
        <v>258</v>
      </c>
      <c r="B262" s="724"/>
      <c r="C262" s="758" t="s">
        <v>1604</v>
      </c>
      <c r="D262" s="731" t="s">
        <v>1617</v>
      </c>
      <c r="E262" s="727">
        <f t="shared" si="13"/>
        <v>200000</v>
      </c>
      <c r="F262" s="728">
        <v>0</v>
      </c>
      <c r="G262" s="728"/>
      <c r="H262" s="728">
        <v>50000</v>
      </c>
      <c r="I262" s="728"/>
      <c r="J262" s="728">
        <v>0</v>
      </c>
      <c r="K262" s="728"/>
      <c r="L262" s="728">
        <v>0</v>
      </c>
      <c r="M262" s="728"/>
      <c r="N262" s="728">
        <v>0</v>
      </c>
      <c r="O262" s="728"/>
      <c r="P262" s="728">
        <v>50000</v>
      </c>
      <c r="Q262" s="728"/>
      <c r="R262" s="728">
        <v>50000</v>
      </c>
      <c r="S262" s="728"/>
      <c r="T262" s="728">
        <v>50000</v>
      </c>
      <c r="U262" s="728"/>
      <c r="V262" s="728">
        <v>0</v>
      </c>
      <c r="W262" s="728"/>
      <c r="X262" s="728">
        <v>0</v>
      </c>
      <c r="Y262" s="728"/>
      <c r="Z262" s="728">
        <v>0</v>
      </c>
      <c r="AA262" s="728"/>
      <c r="AB262" s="728">
        <v>0</v>
      </c>
      <c r="AC262" s="728"/>
      <c r="AD262" s="728">
        <v>0</v>
      </c>
      <c r="AE262" s="728"/>
      <c r="AF262" s="729">
        <v>0</v>
      </c>
      <c r="AG262" s="728"/>
      <c r="AH262" s="728"/>
      <c r="AI262" s="728"/>
      <c r="AJ262" s="728">
        <v>0</v>
      </c>
      <c r="AK262" s="728"/>
      <c r="AL262" s="728">
        <v>0</v>
      </c>
      <c r="AM262" s="728"/>
      <c r="AN262" s="728">
        <v>0</v>
      </c>
      <c r="AO262" s="728"/>
      <c r="AP262" s="728">
        <v>0</v>
      </c>
      <c r="AQ262" s="728"/>
      <c r="AR262" s="728">
        <v>0</v>
      </c>
      <c r="AS262" s="728"/>
      <c r="AT262" s="769">
        <f t="shared" ref="AT262:AT325" si="23">+AS262+AQ262+AO262+AM262+AK262+AI262+AG262+AE262+AC262+AA262+Y262+W262+U262+S262+Q262+O262+M262+K262+I262+G262</f>
        <v>0</v>
      </c>
      <c r="AU262" s="729"/>
      <c r="AV262" s="769">
        <f t="shared" ref="AV262:AV325" si="24">+AT262-AW262</f>
        <v>0</v>
      </c>
      <c r="AW262" s="725">
        <f t="shared" si="22"/>
        <v>0</v>
      </c>
      <c r="AY262" s="742"/>
    </row>
    <row r="263" spans="1:51" s="725" customFormat="1" hidden="1">
      <c r="A263" s="738">
        <f t="shared" ref="A263:A326" si="25">+A262+1</f>
        <v>259</v>
      </c>
      <c r="B263" s="724"/>
      <c r="C263" s="758" t="s">
        <v>1605</v>
      </c>
      <c r="D263" s="731" t="s">
        <v>1618</v>
      </c>
      <c r="E263" s="727">
        <f t="shared" si="13"/>
        <v>150000</v>
      </c>
      <c r="F263" s="728">
        <v>0</v>
      </c>
      <c r="G263" s="728"/>
      <c r="H263" s="728">
        <v>50000</v>
      </c>
      <c r="I263" s="728"/>
      <c r="J263" s="728">
        <v>0</v>
      </c>
      <c r="K263" s="728"/>
      <c r="L263" s="728">
        <v>0</v>
      </c>
      <c r="M263" s="728"/>
      <c r="N263" s="728">
        <v>0</v>
      </c>
      <c r="O263" s="728"/>
      <c r="P263" s="728">
        <v>0</v>
      </c>
      <c r="Q263" s="728"/>
      <c r="R263" s="728">
        <v>0</v>
      </c>
      <c r="S263" s="728"/>
      <c r="T263" s="728">
        <v>0</v>
      </c>
      <c r="U263" s="728"/>
      <c r="V263" s="728">
        <v>0</v>
      </c>
      <c r="W263" s="728"/>
      <c r="X263" s="728">
        <v>0</v>
      </c>
      <c r="Y263" s="728"/>
      <c r="Z263" s="728">
        <v>100000</v>
      </c>
      <c r="AA263" s="728"/>
      <c r="AB263" s="728">
        <v>0</v>
      </c>
      <c r="AC263" s="728"/>
      <c r="AD263" s="728">
        <v>0</v>
      </c>
      <c r="AE263" s="728"/>
      <c r="AF263" s="729">
        <v>0</v>
      </c>
      <c r="AG263" s="728"/>
      <c r="AH263" s="728"/>
      <c r="AI263" s="728"/>
      <c r="AJ263" s="728">
        <v>0</v>
      </c>
      <c r="AK263" s="728"/>
      <c r="AL263" s="728">
        <v>0</v>
      </c>
      <c r="AM263" s="728"/>
      <c r="AN263" s="728">
        <v>0</v>
      </c>
      <c r="AO263" s="728"/>
      <c r="AP263" s="728">
        <v>0</v>
      </c>
      <c r="AQ263" s="728"/>
      <c r="AR263" s="728">
        <v>0</v>
      </c>
      <c r="AS263" s="728"/>
      <c r="AT263" s="769">
        <f t="shared" si="23"/>
        <v>0</v>
      </c>
      <c r="AU263" s="729"/>
      <c r="AV263" s="769">
        <f t="shared" si="24"/>
        <v>0</v>
      </c>
      <c r="AW263" s="725">
        <f t="shared" si="22"/>
        <v>0</v>
      </c>
      <c r="AY263" s="742"/>
    </row>
    <row r="264" spans="1:51" s="725" customFormat="1" hidden="1">
      <c r="A264" s="738">
        <f t="shared" si="25"/>
        <v>260</v>
      </c>
      <c r="B264" s="724"/>
      <c r="C264" s="758" t="s">
        <v>1606</v>
      </c>
      <c r="D264" s="731" t="s">
        <v>1619</v>
      </c>
      <c r="E264" s="727">
        <f t="shared" si="13"/>
        <v>250000</v>
      </c>
      <c r="F264" s="728">
        <v>0</v>
      </c>
      <c r="G264" s="728"/>
      <c r="H264" s="728">
        <v>50000</v>
      </c>
      <c r="I264" s="728"/>
      <c r="J264" s="728">
        <v>50000</v>
      </c>
      <c r="K264" s="728"/>
      <c r="L264" s="728">
        <v>0</v>
      </c>
      <c r="M264" s="728"/>
      <c r="N264" s="728">
        <v>0</v>
      </c>
      <c r="O264" s="728"/>
      <c r="P264" s="728">
        <v>50000</v>
      </c>
      <c r="Q264" s="728"/>
      <c r="R264" s="728">
        <v>50000</v>
      </c>
      <c r="S264" s="728"/>
      <c r="T264" s="728">
        <v>50000</v>
      </c>
      <c r="U264" s="728"/>
      <c r="V264" s="728">
        <v>0</v>
      </c>
      <c r="W264" s="728"/>
      <c r="X264" s="728">
        <v>0</v>
      </c>
      <c r="Y264" s="728"/>
      <c r="Z264" s="728">
        <v>0</v>
      </c>
      <c r="AA264" s="728"/>
      <c r="AB264" s="728">
        <v>0</v>
      </c>
      <c r="AC264" s="728"/>
      <c r="AD264" s="728">
        <v>0</v>
      </c>
      <c r="AE264" s="728"/>
      <c r="AF264" s="729">
        <v>0</v>
      </c>
      <c r="AG264" s="728"/>
      <c r="AH264" s="728"/>
      <c r="AI264" s="728"/>
      <c r="AJ264" s="728">
        <v>0</v>
      </c>
      <c r="AK264" s="728"/>
      <c r="AL264" s="728">
        <v>0</v>
      </c>
      <c r="AM264" s="728"/>
      <c r="AN264" s="728">
        <v>0</v>
      </c>
      <c r="AO264" s="728"/>
      <c r="AP264" s="728">
        <v>0</v>
      </c>
      <c r="AQ264" s="728"/>
      <c r="AR264" s="728">
        <v>0</v>
      </c>
      <c r="AS264" s="728"/>
      <c r="AT264" s="769">
        <f t="shared" si="23"/>
        <v>0</v>
      </c>
      <c r="AU264" s="729"/>
      <c r="AV264" s="769">
        <f t="shared" si="24"/>
        <v>0</v>
      </c>
      <c r="AW264" s="725">
        <f t="shared" si="22"/>
        <v>0</v>
      </c>
      <c r="AY264" s="742"/>
    </row>
    <row r="265" spans="1:51" s="752" customFormat="1">
      <c r="A265" s="743">
        <f t="shared" si="25"/>
        <v>261</v>
      </c>
      <c r="B265" s="764"/>
      <c r="C265" s="757" t="s">
        <v>1607</v>
      </c>
      <c r="D265" s="746" t="s">
        <v>1620</v>
      </c>
      <c r="E265" s="747">
        <f t="shared" si="13"/>
        <v>250000</v>
      </c>
      <c r="F265" s="765">
        <v>0</v>
      </c>
      <c r="G265" s="765"/>
      <c r="H265" s="765">
        <v>50000</v>
      </c>
      <c r="I265" s="765"/>
      <c r="J265" s="765">
        <v>50000</v>
      </c>
      <c r="K265" s="765"/>
      <c r="L265" s="765">
        <v>0</v>
      </c>
      <c r="M265" s="765"/>
      <c r="N265" s="766">
        <v>0</v>
      </c>
      <c r="O265" s="751">
        <v>50000</v>
      </c>
      <c r="P265" s="765">
        <v>50000</v>
      </c>
      <c r="Q265" s="765"/>
      <c r="R265" s="765">
        <v>50000</v>
      </c>
      <c r="S265" s="765"/>
      <c r="T265" s="765">
        <v>0</v>
      </c>
      <c r="U265" s="765"/>
      <c r="V265" s="765">
        <v>0</v>
      </c>
      <c r="W265" s="765"/>
      <c r="X265" s="765">
        <v>0</v>
      </c>
      <c r="Y265" s="765"/>
      <c r="Z265" s="765">
        <v>0</v>
      </c>
      <c r="AA265" s="765"/>
      <c r="AB265" s="765">
        <v>0</v>
      </c>
      <c r="AC265" s="765"/>
      <c r="AD265" s="765">
        <v>0</v>
      </c>
      <c r="AE265" s="765"/>
      <c r="AF265" s="750">
        <v>0</v>
      </c>
      <c r="AG265" s="765"/>
      <c r="AH265" s="765"/>
      <c r="AI265" s="765"/>
      <c r="AJ265" s="765">
        <v>0</v>
      </c>
      <c r="AK265" s="765"/>
      <c r="AL265" s="765">
        <v>0</v>
      </c>
      <c r="AM265" s="765"/>
      <c r="AN265" s="765">
        <v>0</v>
      </c>
      <c r="AO265" s="765"/>
      <c r="AP265" s="765">
        <v>0</v>
      </c>
      <c r="AQ265" s="765"/>
      <c r="AR265" s="765">
        <v>0</v>
      </c>
      <c r="AS265" s="765"/>
      <c r="AT265" s="769">
        <f t="shared" si="23"/>
        <v>50000</v>
      </c>
      <c r="AU265" s="750"/>
      <c r="AV265" s="771">
        <f t="shared" si="24"/>
        <v>50000</v>
      </c>
      <c r="AW265" s="752">
        <f t="shared" si="22"/>
        <v>0</v>
      </c>
      <c r="AY265" s="753"/>
    </row>
    <row r="266" spans="1:51" s="752" customFormat="1" hidden="1">
      <c r="A266" s="743">
        <f t="shared" si="25"/>
        <v>262</v>
      </c>
      <c r="B266" s="764"/>
      <c r="C266" s="757" t="s">
        <v>1608</v>
      </c>
      <c r="D266" s="746" t="s">
        <v>1621</v>
      </c>
      <c r="E266" s="747">
        <f t="shared" si="13"/>
        <v>250000</v>
      </c>
      <c r="F266" s="765">
        <v>0</v>
      </c>
      <c r="G266" s="765"/>
      <c r="H266" s="765">
        <v>50000</v>
      </c>
      <c r="I266" s="765"/>
      <c r="J266" s="765">
        <v>50000</v>
      </c>
      <c r="K266" s="765"/>
      <c r="L266" s="765">
        <v>0</v>
      </c>
      <c r="M266" s="765"/>
      <c r="N266" s="765">
        <v>0</v>
      </c>
      <c r="O266" s="765"/>
      <c r="P266" s="765">
        <v>50000</v>
      </c>
      <c r="Q266" s="765"/>
      <c r="R266" s="765">
        <v>50000</v>
      </c>
      <c r="S266" s="765"/>
      <c r="T266" s="765">
        <v>50000</v>
      </c>
      <c r="U266" s="765"/>
      <c r="V266" s="765">
        <v>0</v>
      </c>
      <c r="W266" s="765"/>
      <c r="X266" s="765">
        <v>0</v>
      </c>
      <c r="Y266" s="765"/>
      <c r="Z266" s="765">
        <v>0</v>
      </c>
      <c r="AA266" s="765"/>
      <c r="AB266" s="765">
        <v>0</v>
      </c>
      <c r="AC266" s="765"/>
      <c r="AD266" s="765">
        <v>0</v>
      </c>
      <c r="AE266" s="765"/>
      <c r="AF266" s="750">
        <v>0</v>
      </c>
      <c r="AG266" s="765"/>
      <c r="AH266" s="765"/>
      <c r="AI266" s="765"/>
      <c r="AJ266" s="765">
        <v>0</v>
      </c>
      <c r="AK266" s="765"/>
      <c r="AL266" s="765">
        <v>0</v>
      </c>
      <c r="AM266" s="765"/>
      <c r="AN266" s="765">
        <v>0</v>
      </c>
      <c r="AO266" s="765"/>
      <c r="AP266" s="765">
        <v>0</v>
      </c>
      <c r="AQ266" s="765"/>
      <c r="AR266" s="765">
        <v>0</v>
      </c>
      <c r="AS266" s="765"/>
      <c r="AT266" s="769">
        <f t="shared" si="23"/>
        <v>0</v>
      </c>
      <c r="AU266" s="750"/>
      <c r="AV266" s="769">
        <f t="shared" si="24"/>
        <v>0</v>
      </c>
      <c r="AW266" s="752">
        <f t="shared" si="22"/>
        <v>0</v>
      </c>
      <c r="AY266" s="753"/>
    </row>
    <row r="267" spans="1:51" s="752" customFormat="1" hidden="1">
      <c r="A267" s="743">
        <f t="shared" si="25"/>
        <v>263</v>
      </c>
      <c r="B267" s="764"/>
      <c r="C267" s="757" t="s">
        <v>1609</v>
      </c>
      <c r="D267" s="746" t="s">
        <v>1622</v>
      </c>
      <c r="E267" s="747">
        <f t="shared" si="13"/>
        <v>240000</v>
      </c>
      <c r="F267" s="765">
        <v>0</v>
      </c>
      <c r="G267" s="765"/>
      <c r="H267" s="765">
        <v>50000</v>
      </c>
      <c r="I267" s="765"/>
      <c r="J267" s="765">
        <v>0</v>
      </c>
      <c r="K267" s="765"/>
      <c r="L267" s="765">
        <v>0</v>
      </c>
      <c r="M267" s="765"/>
      <c r="N267" s="765">
        <v>0</v>
      </c>
      <c r="O267" s="765"/>
      <c r="P267" s="765">
        <v>50000</v>
      </c>
      <c r="Q267" s="765"/>
      <c r="R267" s="765">
        <v>50000</v>
      </c>
      <c r="S267" s="765"/>
      <c r="T267" s="765">
        <v>50000</v>
      </c>
      <c r="U267" s="765"/>
      <c r="V267" s="765">
        <v>0</v>
      </c>
      <c r="W267" s="765"/>
      <c r="X267" s="765">
        <v>0</v>
      </c>
      <c r="Y267" s="765"/>
      <c r="Z267" s="765">
        <v>0</v>
      </c>
      <c r="AA267" s="765"/>
      <c r="AB267" s="765">
        <v>0</v>
      </c>
      <c r="AC267" s="765"/>
      <c r="AD267" s="765">
        <v>0</v>
      </c>
      <c r="AE267" s="765"/>
      <c r="AF267" s="750">
        <v>0</v>
      </c>
      <c r="AG267" s="765"/>
      <c r="AH267" s="765"/>
      <c r="AI267" s="765"/>
      <c r="AJ267" s="765">
        <v>0</v>
      </c>
      <c r="AK267" s="765"/>
      <c r="AL267" s="765">
        <v>0</v>
      </c>
      <c r="AM267" s="765"/>
      <c r="AN267" s="765">
        <v>0</v>
      </c>
      <c r="AO267" s="765"/>
      <c r="AP267" s="766">
        <v>0</v>
      </c>
      <c r="AQ267" s="751">
        <v>40000</v>
      </c>
      <c r="AR267" s="765">
        <v>0</v>
      </c>
      <c r="AS267" s="765"/>
      <c r="AT267" s="769">
        <f t="shared" si="23"/>
        <v>40000</v>
      </c>
      <c r="AU267" s="750"/>
      <c r="AV267" s="769">
        <f t="shared" si="24"/>
        <v>-10000</v>
      </c>
      <c r="AW267" s="752">
        <f t="shared" si="22"/>
        <v>50000</v>
      </c>
      <c r="AY267" s="753"/>
    </row>
    <row r="268" spans="1:51" s="752" customFormat="1" hidden="1">
      <c r="A268" s="743">
        <f t="shared" si="25"/>
        <v>264</v>
      </c>
      <c r="B268" s="764"/>
      <c r="C268" s="757" t="s">
        <v>1610</v>
      </c>
      <c r="D268" s="746" t="s">
        <v>1623</v>
      </c>
      <c r="E268" s="747">
        <f t="shared" si="13"/>
        <v>250000</v>
      </c>
      <c r="F268" s="765">
        <v>0</v>
      </c>
      <c r="G268" s="765"/>
      <c r="H268" s="765">
        <v>50000</v>
      </c>
      <c r="I268" s="765"/>
      <c r="J268" s="765">
        <v>50000</v>
      </c>
      <c r="K268" s="765"/>
      <c r="L268" s="765">
        <v>0</v>
      </c>
      <c r="M268" s="765"/>
      <c r="N268" s="765">
        <v>0</v>
      </c>
      <c r="O268" s="765"/>
      <c r="P268" s="765">
        <v>50000</v>
      </c>
      <c r="Q268" s="765"/>
      <c r="R268" s="765">
        <v>50000</v>
      </c>
      <c r="S268" s="765"/>
      <c r="T268" s="765">
        <v>50000</v>
      </c>
      <c r="U268" s="765"/>
      <c r="V268" s="765">
        <v>0</v>
      </c>
      <c r="W268" s="765"/>
      <c r="X268" s="765">
        <v>0</v>
      </c>
      <c r="Y268" s="765"/>
      <c r="Z268" s="765">
        <v>0</v>
      </c>
      <c r="AA268" s="765"/>
      <c r="AB268" s="765">
        <v>0</v>
      </c>
      <c r="AC268" s="765"/>
      <c r="AD268" s="765">
        <v>0</v>
      </c>
      <c r="AE268" s="765"/>
      <c r="AF268" s="750">
        <v>0</v>
      </c>
      <c r="AG268" s="765"/>
      <c r="AH268" s="765"/>
      <c r="AI268" s="765"/>
      <c r="AJ268" s="765">
        <v>0</v>
      </c>
      <c r="AK268" s="765"/>
      <c r="AL268" s="765">
        <v>0</v>
      </c>
      <c r="AM268" s="765"/>
      <c r="AN268" s="765">
        <v>0</v>
      </c>
      <c r="AO268" s="765"/>
      <c r="AP268" s="765">
        <v>0</v>
      </c>
      <c r="AQ268" s="765"/>
      <c r="AR268" s="765">
        <v>0</v>
      </c>
      <c r="AS268" s="765"/>
      <c r="AT268" s="769">
        <f t="shared" si="23"/>
        <v>0</v>
      </c>
      <c r="AU268" s="750"/>
      <c r="AV268" s="769">
        <f t="shared" si="24"/>
        <v>0</v>
      </c>
      <c r="AW268" s="752">
        <f t="shared" si="22"/>
        <v>0</v>
      </c>
      <c r="AY268" s="753"/>
    </row>
    <row r="269" spans="1:51" s="752" customFormat="1" hidden="1">
      <c r="A269" s="743">
        <f t="shared" si="25"/>
        <v>265</v>
      </c>
      <c r="B269" s="764"/>
      <c r="C269" s="757" t="s">
        <v>1611</v>
      </c>
      <c r="D269" s="746" t="s">
        <v>1624</v>
      </c>
      <c r="E269" s="747">
        <f t="shared" si="13"/>
        <v>250000</v>
      </c>
      <c r="F269" s="765">
        <v>0</v>
      </c>
      <c r="G269" s="765"/>
      <c r="H269" s="765">
        <v>50000</v>
      </c>
      <c r="I269" s="765"/>
      <c r="J269" s="765">
        <v>50000</v>
      </c>
      <c r="K269" s="765"/>
      <c r="L269" s="765">
        <v>0</v>
      </c>
      <c r="M269" s="765"/>
      <c r="N269" s="765">
        <v>0</v>
      </c>
      <c r="O269" s="765"/>
      <c r="P269" s="765">
        <v>50000</v>
      </c>
      <c r="Q269" s="765"/>
      <c r="R269" s="765">
        <v>50000</v>
      </c>
      <c r="S269" s="765"/>
      <c r="T269" s="765">
        <v>50000</v>
      </c>
      <c r="U269" s="765"/>
      <c r="V269" s="765">
        <v>0</v>
      </c>
      <c r="W269" s="765"/>
      <c r="X269" s="765">
        <v>0</v>
      </c>
      <c r="Y269" s="765"/>
      <c r="Z269" s="765">
        <v>0</v>
      </c>
      <c r="AA269" s="765"/>
      <c r="AB269" s="765">
        <v>0</v>
      </c>
      <c r="AC269" s="765"/>
      <c r="AD269" s="765">
        <v>0</v>
      </c>
      <c r="AE269" s="765"/>
      <c r="AF269" s="750">
        <v>0</v>
      </c>
      <c r="AG269" s="765"/>
      <c r="AH269" s="765"/>
      <c r="AI269" s="765"/>
      <c r="AJ269" s="765">
        <v>0</v>
      </c>
      <c r="AK269" s="765"/>
      <c r="AL269" s="765">
        <v>0</v>
      </c>
      <c r="AM269" s="765"/>
      <c r="AN269" s="765">
        <v>0</v>
      </c>
      <c r="AO269" s="765"/>
      <c r="AP269" s="765">
        <v>0</v>
      </c>
      <c r="AQ269" s="765"/>
      <c r="AR269" s="765">
        <v>0</v>
      </c>
      <c r="AS269" s="765"/>
      <c r="AT269" s="769">
        <f t="shared" si="23"/>
        <v>0</v>
      </c>
      <c r="AU269" s="750"/>
      <c r="AV269" s="769">
        <f t="shared" si="24"/>
        <v>0</v>
      </c>
      <c r="AW269" s="752">
        <f t="shared" si="22"/>
        <v>0</v>
      </c>
      <c r="AY269" s="753"/>
    </row>
    <row r="270" spans="1:51" s="752" customFormat="1" hidden="1">
      <c r="A270" s="743">
        <f t="shared" si="25"/>
        <v>266</v>
      </c>
      <c r="B270" s="764"/>
      <c r="C270" s="757" t="s">
        <v>1612</v>
      </c>
      <c r="D270" s="746" t="s">
        <v>1625</v>
      </c>
      <c r="E270" s="747">
        <f t="shared" si="13"/>
        <v>200000</v>
      </c>
      <c r="F270" s="765">
        <v>0</v>
      </c>
      <c r="G270" s="765"/>
      <c r="H270" s="765">
        <v>50000</v>
      </c>
      <c r="I270" s="765"/>
      <c r="J270" s="765">
        <v>0</v>
      </c>
      <c r="K270" s="765"/>
      <c r="L270" s="765">
        <v>0</v>
      </c>
      <c r="M270" s="765"/>
      <c r="N270" s="765">
        <v>0</v>
      </c>
      <c r="O270" s="765"/>
      <c r="P270" s="765">
        <v>50000</v>
      </c>
      <c r="Q270" s="765"/>
      <c r="R270" s="765">
        <v>50000</v>
      </c>
      <c r="S270" s="765"/>
      <c r="T270" s="765">
        <v>50000</v>
      </c>
      <c r="U270" s="765"/>
      <c r="V270" s="765">
        <v>0</v>
      </c>
      <c r="W270" s="765"/>
      <c r="X270" s="765">
        <v>0</v>
      </c>
      <c r="Y270" s="765"/>
      <c r="Z270" s="765">
        <v>0</v>
      </c>
      <c r="AA270" s="765"/>
      <c r="AB270" s="765">
        <v>0</v>
      </c>
      <c r="AC270" s="765"/>
      <c r="AD270" s="765">
        <v>0</v>
      </c>
      <c r="AE270" s="765"/>
      <c r="AF270" s="750">
        <v>0</v>
      </c>
      <c r="AG270" s="765"/>
      <c r="AH270" s="765"/>
      <c r="AI270" s="765"/>
      <c r="AJ270" s="765">
        <v>0</v>
      </c>
      <c r="AK270" s="765"/>
      <c r="AL270" s="765">
        <v>0</v>
      </c>
      <c r="AM270" s="765"/>
      <c r="AN270" s="765">
        <v>0</v>
      </c>
      <c r="AO270" s="765"/>
      <c r="AP270" s="765">
        <v>0</v>
      </c>
      <c r="AQ270" s="765"/>
      <c r="AR270" s="765">
        <v>0</v>
      </c>
      <c r="AS270" s="765"/>
      <c r="AT270" s="769">
        <f t="shared" si="23"/>
        <v>0</v>
      </c>
      <c r="AU270" s="750"/>
      <c r="AV270" s="769">
        <f t="shared" si="24"/>
        <v>0</v>
      </c>
      <c r="AW270" s="752">
        <f t="shared" si="22"/>
        <v>0</v>
      </c>
      <c r="AY270" s="753"/>
    </row>
    <row r="271" spans="1:51" s="752" customFormat="1" hidden="1">
      <c r="A271" s="743">
        <f t="shared" si="25"/>
        <v>267</v>
      </c>
      <c r="B271" s="764"/>
      <c r="C271" s="757" t="s">
        <v>1613</v>
      </c>
      <c r="D271" s="746" t="s">
        <v>1626</v>
      </c>
      <c r="E271" s="747">
        <f t="shared" si="13"/>
        <v>150000</v>
      </c>
      <c r="F271" s="765">
        <v>0</v>
      </c>
      <c r="G271" s="765"/>
      <c r="H271" s="765">
        <v>50000</v>
      </c>
      <c r="I271" s="765"/>
      <c r="J271" s="765">
        <v>0</v>
      </c>
      <c r="K271" s="765"/>
      <c r="L271" s="765">
        <v>0</v>
      </c>
      <c r="M271" s="765"/>
      <c r="N271" s="765">
        <v>0</v>
      </c>
      <c r="O271" s="765"/>
      <c r="P271" s="765">
        <v>50000</v>
      </c>
      <c r="Q271" s="765"/>
      <c r="R271" s="765">
        <v>50000</v>
      </c>
      <c r="S271" s="765"/>
      <c r="T271" s="765">
        <v>0</v>
      </c>
      <c r="U271" s="765"/>
      <c r="V271" s="765">
        <v>0</v>
      </c>
      <c r="W271" s="765"/>
      <c r="X271" s="765">
        <v>0</v>
      </c>
      <c r="Y271" s="765"/>
      <c r="Z271" s="765">
        <v>0</v>
      </c>
      <c r="AA271" s="765"/>
      <c r="AB271" s="765">
        <v>0</v>
      </c>
      <c r="AC271" s="765"/>
      <c r="AD271" s="765">
        <v>0</v>
      </c>
      <c r="AE271" s="765"/>
      <c r="AF271" s="750">
        <v>0</v>
      </c>
      <c r="AG271" s="765"/>
      <c r="AH271" s="765"/>
      <c r="AI271" s="765"/>
      <c r="AJ271" s="765">
        <v>0</v>
      </c>
      <c r="AK271" s="765"/>
      <c r="AL271" s="765">
        <v>0</v>
      </c>
      <c r="AM271" s="765"/>
      <c r="AN271" s="765">
        <v>0</v>
      </c>
      <c r="AO271" s="765"/>
      <c r="AP271" s="765">
        <v>0</v>
      </c>
      <c r="AQ271" s="765"/>
      <c r="AR271" s="765">
        <v>0</v>
      </c>
      <c r="AS271" s="765"/>
      <c r="AT271" s="769">
        <f t="shared" si="23"/>
        <v>0</v>
      </c>
      <c r="AU271" s="750"/>
      <c r="AV271" s="769">
        <f t="shared" si="24"/>
        <v>0</v>
      </c>
      <c r="AW271" s="752">
        <f t="shared" si="22"/>
        <v>0</v>
      </c>
      <c r="AY271" s="753"/>
    </row>
    <row r="272" spans="1:51" s="752" customFormat="1" hidden="1">
      <c r="A272" s="743">
        <f t="shared" si="25"/>
        <v>268</v>
      </c>
      <c r="B272" s="764"/>
      <c r="C272" s="757" t="s">
        <v>1614</v>
      </c>
      <c r="D272" s="746" t="s">
        <v>1627</v>
      </c>
      <c r="E272" s="747">
        <f t="shared" si="13"/>
        <v>150000</v>
      </c>
      <c r="F272" s="765">
        <v>0</v>
      </c>
      <c r="G272" s="765"/>
      <c r="H272" s="765">
        <v>50000</v>
      </c>
      <c r="I272" s="765"/>
      <c r="J272" s="765">
        <v>0</v>
      </c>
      <c r="K272" s="765"/>
      <c r="L272" s="765">
        <v>0</v>
      </c>
      <c r="M272" s="765"/>
      <c r="N272" s="765">
        <v>0</v>
      </c>
      <c r="O272" s="765"/>
      <c r="P272" s="765">
        <v>50000</v>
      </c>
      <c r="Q272" s="765"/>
      <c r="R272" s="765">
        <v>50000</v>
      </c>
      <c r="S272" s="765"/>
      <c r="T272" s="765">
        <v>0</v>
      </c>
      <c r="U272" s="765"/>
      <c r="V272" s="765">
        <v>0</v>
      </c>
      <c r="W272" s="765"/>
      <c r="X272" s="765">
        <v>0</v>
      </c>
      <c r="Y272" s="765"/>
      <c r="Z272" s="765">
        <v>0</v>
      </c>
      <c r="AA272" s="765"/>
      <c r="AB272" s="765">
        <v>0</v>
      </c>
      <c r="AC272" s="765"/>
      <c r="AD272" s="765">
        <v>0</v>
      </c>
      <c r="AE272" s="765"/>
      <c r="AF272" s="750">
        <v>0</v>
      </c>
      <c r="AG272" s="765"/>
      <c r="AH272" s="765"/>
      <c r="AI272" s="765"/>
      <c r="AJ272" s="765">
        <v>0</v>
      </c>
      <c r="AK272" s="765"/>
      <c r="AL272" s="765">
        <v>0</v>
      </c>
      <c r="AM272" s="765"/>
      <c r="AN272" s="765">
        <v>0</v>
      </c>
      <c r="AO272" s="765"/>
      <c r="AP272" s="765">
        <v>0</v>
      </c>
      <c r="AQ272" s="765"/>
      <c r="AR272" s="765">
        <v>0</v>
      </c>
      <c r="AS272" s="765"/>
      <c r="AT272" s="769">
        <f t="shared" si="23"/>
        <v>0</v>
      </c>
      <c r="AU272" s="750"/>
      <c r="AV272" s="769">
        <f t="shared" si="24"/>
        <v>0</v>
      </c>
      <c r="AW272" s="752">
        <f t="shared" si="22"/>
        <v>0</v>
      </c>
      <c r="AY272" s="753"/>
    </row>
    <row r="273" spans="1:51" s="752" customFormat="1" hidden="1">
      <c r="A273" s="743">
        <f t="shared" si="25"/>
        <v>269</v>
      </c>
      <c r="B273" s="764"/>
      <c r="C273" s="767" t="s">
        <v>1615</v>
      </c>
      <c r="D273" s="767" t="s">
        <v>1628</v>
      </c>
      <c r="E273" s="747">
        <f t="shared" si="13"/>
        <v>250000</v>
      </c>
      <c r="F273" s="765">
        <v>0</v>
      </c>
      <c r="G273" s="765"/>
      <c r="H273" s="765">
        <v>50000</v>
      </c>
      <c r="I273" s="765"/>
      <c r="J273" s="765">
        <v>50000</v>
      </c>
      <c r="K273" s="765"/>
      <c r="L273" s="765">
        <v>0</v>
      </c>
      <c r="M273" s="765"/>
      <c r="N273" s="765">
        <v>0</v>
      </c>
      <c r="O273" s="765"/>
      <c r="P273" s="765">
        <v>50000</v>
      </c>
      <c r="Q273" s="765"/>
      <c r="R273" s="765">
        <v>50000</v>
      </c>
      <c r="S273" s="765"/>
      <c r="T273" s="765">
        <v>50000</v>
      </c>
      <c r="U273" s="765"/>
      <c r="V273" s="765">
        <v>0</v>
      </c>
      <c r="W273" s="765"/>
      <c r="X273" s="765">
        <v>0</v>
      </c>
      <c r="Y273" s="765"/>
      <c r="Z273" s="765">
        <v>0</v>
      </c>
      <c r="AA273" s="765"/>
      <c r="AB273" s="765">
        <v>0</v>
      </c>
      <c r="AC273" s="765"/>
      <c r="AD273" s="765">
        <v>0</v>
      </c>
      <c r="AE273" s="765"/>
      <c r="AF273" s="750">
        <v>0</v>
      </c>
      <c r="AG273" s="765"/>
      <c r="AH273" s="765"/>
      <c r="AI273" s="765"/>
      <c r="AJ273" s="765">
        <v>0</v>
      </c>
      <c r="AK273" s="765"/>
      <c r="AL273" s="765">
        <v>0</v>
      </c>
      <c r="AM273" s="765"/>
      <c r="AN273" s="765">
        <v>0</v>
      </c>
      <c r="AO273" s="765"/>
      <c r="AP273" s="765">
        <v>0</v>
      </c>
      <c r="AQ273" s="765"/>
      <c r="AR273" s="765">
        <v>0</v>
      </c>
      <c r="AS273" s="765"/>
      <c r="AT273" s="769">
        <f t="shared" si="23"/>
        <v>0</v>
      </c>
      <c r="AU273" s="750"/>
      <c r="AV273" s="769">
        <f t="shared" si="24"/>
        <v>0</v>
      </c>
      <c r="AW273" s="752">
        <f t="shared" si="22"/>
        <v>0</v>
      </c>
      <c r="AY273" s="753"/>
    </row>
    <row r="274" spans="1:51" s="752" customFormat="1">
      <c r="A274" s="743">
        <f t="shared" si="25"/>
        <v>270</v>
      </c>
      <c r="B274" s="764"/>
      <c r="C274" s="757" t="s">
        <v>1629</v>
      </c>
      <c r="D274" s="746" t="s">
        <v>1631</v>
      </c>
      <c r="E274" s="747">
        <f t="shared" si="13"/>
        <v>250000</v>
      </c>
      <c r="F274" s="765">
        <v>0</v>
      </c>
      <c r="G274" s="765"/>
      <c r="H274" s="766">
        <v>0</v>
      </c>
      <c r="I274" s="751">
        <v>50000</v>
      </c>
      <c r="J274" s="765">
        <v>50000</v>
      </c>
      <c r="K274" s="765"/>
      <c r="L274" s="765">
        <v>0</v>
      </c>
      <c r="M274" s="765"/>
      <c r="N274" s="765">
        <v>0</v>
      </c>
      <c r="O274" s="765"/>
      <c r="P274" s="765">
        <v>50000</v>
      </c>
      <c r="Q274" s="765"/>
      <c r="R274" s="765">
        <v>50000</v>
      </c>
      <c r="S274" s="765"/>
      <c r="T274" s="765">
        <v>50000</v>
      </c>
      <c r="U274" s="765"/>
      <c r="V274" s="765">
        <v>0</v>
      </c>
      <c r="W274" s="765"/>
      <c r="X274" s="765">
        <v>0</v>
      </c>
      <c r="Y274" s="765"/>
      <c r="Z274" s="765">
        <v>0</v>
      </c>
      <c r="AA274" s="765"/>
      <c r="AB274" s="765">
        <v>0</v>
      </c>
      <c r="AC274" s="765"/>
      <c r="AD274" s="765">
        <v>0</v>
      </c>
      <c r="AE274" s="765"/>
      <c r="AF274" s="750">
        <v>0</v>
      </c>
      <c r="AG274" s="765"/>
      <c r="AH274" s="765"/>
      <c r="AI274" s="765"/>
      <c r="AJ274" s="765">
        <v>0</v>
      </c>
      <c r="AK274" s="765"/>
      <c r="AL274" s="765">
        <v>0</v>
      </c>
      <c r="AM274" s="765"/>
      <c r="AN274" s="765">
        <v>0</v>
      </c>
      <c r="AO274" s="765"/>
      <c r="AP274" s="765">
        <v>0</v>
      </c>
      <c r="AQ274" s="765"/>
      <c r="AR274" s="765">
        <v>0</v>
      </c>
      <c r="AS274" s="765"/>
      <c r="AT274" s="769">
        <f t="shared" si="23"/>
        <v>50000</v>
      </c>
      <c r="AU274" s="750"/>
      <c r="AV274" s="771">
        <f t="shared" si="24"/>
        <v>50000</v>
      </c>
      <c r="AW274" s="752">
        <f t="shared" si="22"/>
        <v>0</v>
      </c>
      <c r="AY274" s="753"/>
    </row>
    <row r="275" spans="1:51" s="752" customFormat="1" hidden="1">
      <c r="A275" s="743">
        <f t="shared" si="25"/>
        <v>271</v>
      </c>
      <c r="B275" s="764"/>
      <c r="C275" s="757" t="s">
        <v>1630</v>
      </c>
      <c r="D275" s="746" t="s">
        <v>1632</v>
      </c>
      <c r="E275" s="747">
        <f t="shared" si="13"/>
        <v>150000</v>
      </c>
      <c r="F275" s="765">
        <v>0</v>
      </c>
      <c r="G275" s="765"/>
      <c r="H275" s="765">
        <v>0</v>
      </c>
      <c r="I275" s="765"/>
      <c r="J275" s="765">
        <v>50000</v>
      </c>
      <c r="K275" s="765"/>
      <c r="L275" s="765">
        <v>0</v>
      </c>
      <c r="M275" s="765"/>
      <c r="N275" s="765">
        <v>0</v>
      </c>
      <c r="O275" s="765"/>
      <c r="P275" s="765">
        <v>50000</v>
      </c>
      <c r="Q275" s="765"/>
      <c r="R275" s="765">
        <v>50000</v>
      </c>
      <c r="S275" s="765"/>
      <c r="T275" s="765">
        <v>0</v>
      </c>
      <c r="U275" s="765"/>
      <c r="V275" s="765">
        <v>0</v>
      </c>
      <c r="W275" s="765"/>
      <c r="X275" s="765">
        <v>0</v>
      </c>
      <c r="Y275" s="765"/>
      <c r="Z275" s="765">
        <v>0</v>
      </c>
      <c r="AA275" s="765"/>
      <c r="AB275" s="765">
        <v>0</v>
      </c>
      <c r="AC275" s="765"/>
      <c r="AD275" s="765">
        <v>0</v>
      </c>
      <c r="AE275" s="765"/>
      <c r="AF275" s="750">
        <v>0</v>
      </c>
      <c r="AG275" s="765"/>
      <c r="AH275" s="765"/>
      <c r="AI275" s="765"/>
      <c r="AJ275" s="765">
        <v>0</v>
      </c>
      <c r="AK275" s="765"/>
      <c r="AL275" s="765">
        <v>0</v>
      </c>
      <c r="AM275" s="765"/>
      <c r="AN275" s="765">
        <v>0</v>
      </c>
      <c r="AO275" s="765"/>
      <c r="AP275" s="765">
        <v>0</v>
      </c>
      <c r="AQ275" s="765"/>
      <c r="AR275" s="765">
        <v>0</v>
      </c>
      <c r="AS275" s="765"/>
      <c r="AT275" s="769">
        <f t="shared" si="23"/>
        <v>0</v>
      </c>
      <c r="AU275" s="750"/>
      <c r="AV275" s="769">
        <f t="shared" si="24"/>
        <v>0</v>
      </c>
      <c r="AW275" s="752">
        <f t="shared" si="22"/>
        <v>0</v>
      </c>
      <c r="AY275" s="753"/>
    </row>
    <row r="276" spans="1:51" s="752" customFormat="1">
      <c r="A276" s="743">
        <f t="shared" si="25"/>
        <v>272</v>
      </c>
      <c r="B276" s="764"/>
      <c r="C276" s="757" t="s">
        <v>1633</v>
      </c>
      <c r="D276" s="746" t="s">
        <v>1638</v>
      </c>
      <c r="E276" s="747">
        <f t="shared" si="13"/>
        <v>300000</v>
      </c>
      <c r="F276" s="765">
        <v>0</v>
      </c>
      <c r="G276" s="765"/>
      <c r="H276" s="765">
        <v>0</v>
      </c>
      <c r="I276" s="751">
        <v>50000</v>
      </c>
      <c r="J276" s="766">
        <v>0</v>
      </c>
      <c r="K276" s="751">
        <v>50000</v>
      </c>
      <c r="L276" s="765">
        <v>50000</v>
      </c>
      <c r="M276" s="765"/>
      <c r="N276" s="765">
        <v>0</v>
      </c>
      <c r="O276" s="765"/>
      <c r="P276" s="765">
        <v>50000</v>
      </c>
      <c r="Q276" s="765"/>
      <c r="R276" s="765">
        <v>50000</v>
      </c>
      <c r="S276" s="765"/>
      <c r="T276" s="765">
        <v>50000</v>
      </c>
      <c r="U276" s="765"/>
      <c r="V276" s="765">
        <v>0</v>
      </c>
      <c r="W276" s="765"/>
      <c r="X276" s="765">
        <v>0</v>
      </c>
      <c r="Y276" s="765"/>
      <c r="Z276" s="765">
        <v>0</v>
      </c>
      <c r="AA276" s="765"/>
      <c r="AB276" s="765">
        <v>0</v>
      </c>
      <c r="AC276" s="765"/>
      <c r="AD276" s="765">
        <v>0</v>
      </c>
      <c r="AE276" s="765"/>
      <c r="AF276" s="750">
        <v>0</v>
      </c>
      <c r="AG276" s="765"/>
      <c r="AH276" s="765"/>
      <c r="AI276" s="765"/>
      <c r="AJ276" s="765">
        <v>0</v>
      </c>
      <c r="AK276" s="765"/>
      <c r="AL276" s="765">
        <v>0</v>
      </c>
      <c r="AM276" s="765"/>
      <c r="AN276" s="765">
        <v>0</v>
      </c>
      <c r="AO276" s="765"/>
      <c r="AP276" s="765">
        <v>0</v>
      </c>
      <c r="AQ276" s="765"/>
      <c r="AR276" s="765">
        <v>0</v>
      </c>
      <c r="AS276" s="765"/>
      <c r="AT276" s="769">
        <f t="shared" si="23"/>
        <v>100000</v>
      </c>
      <c r="AU276" s="750"/>
      <c r="AV276" s="771">
        <f t="shared" si="24"/>
        <v>100000</v>
      </c>
      <c r="AW276" s="752">
        <f t="shared" si="22"/>
        <v>0</v>
      </c>
      <c r="AY276" s="753"/>
    </row>
    <row r="277" spans="1:51" s="752" customFormat="1" hidden="1">
      <c r="A277" s="743">
        <f t="shared" si="25"/>
        <v>273</v>
      </c>
      <c r="B277" s="764"/>
      <c r="C277" s="757" t="s">
        <v>1634</v>
      </c>
      <c r="D277" s="746" t="s">
        <v>1636</v>
      </c>
      <c r="E277" s="747">
        <f t="shared" si="13"/>
        <v>760000</v>
      </c>
      <c r="F277" s="765">
        <v>0</v>
      </c>
      <c r="G277" s="765"/>
      <c r="H277" s="765">
        <v>0</v>
      </c>
      <c r="I277" s="765"/>
      <c r="J277" s="766">
        <v>0</v>
      </c>
      <c r="K277" s="751">
        <v>50000</v>
      </c>
      <c r="L277" s="765">
        <v>50000</v>
      </c>
      <c r="M277" s="765"/>
      <c r="N277" s="765">
        <v>0</v>
      </c>
      <c r="O277" s="765"/>
      <c r="P277" s="765">
        <v>50000</v>
      </c>
      <c r="Q277" s="765"/>
      <c r="R277" s="765">
        <v>50000</v>
      </c>
      <c r="S277" s="765"/>
      <c r="T277" s="765">
        <v>50000</v>
      </c>
      <c r="U277" s="765"/>
      <c r="V277" s="765">
        <v>50000</v>
      </c>
      <c r="W277" s="765"/>
      <c r="X277" s="765">
        <v>0</v>
      </c>
      <c r="Y277" s="765"/>
      <c r="Z277" s="766">
        <v>0</v>
      </c>
      <c r="AA277" s="751">
        <v>50000</v>
      </c>
      <c r="AB277" s="765">
        <v>50000</v>
      </c>
      <c r="AC277" s="765"/>
      <c r="AD277" s="765">
        <v>100000</v>
      </c>
      <c r="AE277" s="765"/>
      <c r="AF277" s="751">
        <v>0</v>
      </c>
      <c r="AG277" s="765"/>
      <c r="AH277" s="751">
        <v>0</v>
      </c>
      <c r="AI277" s="751">
        <v>50000</v>
      </c>
      <c r="AJ277" s="766">
        <v>0</v>
      </c>
      <c r="AK277" s="751">
        <v>50000</v>
      </c>
      <c r="AL277" s="765">
        <v>40000</v>
      </c>
      <c r="AM277" s="765"/>
      <c r="AN277" s="765">
        <v>40000</v>
      </c>
      <c r="AO277" s="765"/>
      <c r="AP277" s="765">
        <v>40000</v>
      </c>
      <c r="AQ277" s="765"/>
      <c r="AR277" s="765">
        <v>40000</v>
      </c>
      <c r="AS277" s="765"/>
      <c r="AT277" s="769">
        <f t="shared" si="23"/>
        <v>200000</v>
      </c>
      <c r="AU277" s="750"/>
      <c r="AV277" s="769">
        <f t="shared" si="24"/>
        <v>0</v>
      </c>
      <c r="AW277" s="752">
        <f t="shared" si="22"/>
        <v>200000</v>
      </c>
      <c r="AY277" s="753"/>
    </row>
    <row r="278" spans="1:51" s="752" customFormat="1">
      <c r="A278" s="743">
        <f t="shared" si="25"/>
        <v>274</v>
      </c>
      <c r="B278" s="764"/>
      <c r="C278" s="757" t="s">
        <v>1635</v>
      </c>
      <c r="D278" s="746" t="s">
        <v>1637</v>
      </c>
      <c r="E278" s="747">
        <f t="shared" si="13"/>
        <v>300000</v>
      </c>
      <c r="F278" s="765">
        <v>0</v>
      </c>
      <c r="G278" s="765"/>
      <c r="H278" s="765">
        <v>0</v>
      </c>
      <c r="I278" s="751">
        <v>50000</v>
      </c>
      <c r="J278" s="766">
        <v>0</v>
      </c>
      <c r="K278" s="751">
        <v>50000</v>
      </c>
      <c r="L278" s="765">
        <v>50000</v>
      </c>
      <c r="M278" s="765"/>
      <c r="N278" s="765">
        <v>0</v>
      </c>
      <c r="O278" s="765"/>
      <c r="P278" s="765">
        <v>50000</v>
      </c>
      <c r="Q278" s="765"/>
      <c r="R278" s="765">
        <v>50000</v>
      </c>
      <c r="S278" s="765"/>
      <c r="T278" s="765">
        <v>50000</v>
      </c>
      <c r="U278" s="765"/>
      <c r="V278" s="765">
        <v>0</v>
      </c>
      <c r="W278" s="765"/>
      <c r="X278" s="765">
        <v>0</v>
      </c>
      <c r="Y278" s="765"/>
      <c r="Z278" s="765">
        <v>0</v>
      </c>
      <c r="AA278" s="765"/>
      <c r="AB278" s="765">
        <v>0</v>
      </c>
      <c r="AC278" s="765"/>
      <c r="AD278" s="765">
        <v>0</v>
      </c>
      <c r="AE278" s="765"/>
      <c r="AF278" s="750">
        <v>0</v>
      </c>
      <c r="AG278" s="765"/>
      <c r="AH278" s="765"/>
      <c r="AI278" s="765"/>
      <c r="AJ278" s="765">
        <v>0</v>
      </c>
      <c r="AK278" s="765"/>
      <c r="AL278" s="765">
        <v>0</v>
      </c>
      <c r="AM278" s="765"/>
      <c r="AN278" s="765">
        <v>0</v>
      </c>
      <c r="AO278" s="765"/>
      <c r="AP278" s="765">
        <v>0</v>
      </c>
      <c r="AQ278" s="765"/>
      <c r="AR278" s="765">
        <v>0</v>
      </c>
      <c r="AS278" s="765"/>
      <c r="AT278" s="769">
        <f t="shared" si="23"/>
        <v>100000</v>
      </c>
      <c r="AU278" s="750"/>
      <c r="AV278" s="771">
        <f t="shared" si="24"/>
        <v>50000</v>
      </c>
      <c r="AW278" s="752">
        <f t="shared" si="22"/>
        <v>50000</v>
      </c>
      <c r="AY278" s="753"/>
    </row>
    <row r="279" spans="1:51" s="752" customFormat="1" hidden="1">
      <c r="A279" s="743">
        <f t="shared" si="25"/>
        <v>275</v>
      </c>
      <c r="B279" s="764"/>
      <c r="C279" s="757" t="s">
        <v>1639</v>
      </c>
      <c r="D279" s="746" t="s">
        <v>1703</v>
      </c>
      <c r="E279" s="747">
        <f t="shared" si="13"/>
        <v>150000</v>
      </c>
      <c r="F279" s="765">
        <v>0</v>
      </c>
      <c r="G279" s="765"/>
      <c r="H279" s="765">
        <v>0</v>
      </c>
      <c r="I279" s="765"/>
      <c r="J279" s="765">
        <v>0</v>
      </c>
      <c r="K279" s="765"/>
      <c r="L279" s="765">
        <v>0</v>
      </c>
      <c r="M279" s="765"/>
      <c r="N279" s="765">
        <v>0</v>
      </c>
      <c r="O279" s="765"/>
      <c r="P279" s="765">
        <v>50000</v>
      </c>
      <c r="Q279" s="765"/>
      <c r="R279" s="765">
        <v>50000</v>
      </c>
      <c r="S279" s="765"/>
      <c r="T279" s="765">
        <v>50000</v>
      </c>
      <c r="U279" s="765"/>
      <c r="V279" s="765">
        <v>0</v>
      </c>
      <c r="W279" s="765"/>
      <c r="X279" s="765">
        <v>0</v>
      </c>
      <c r="Y279" s="765"/>
      <c r="Z279" s="765">
        <v>0</v>
      </c>
      <c r="AA279" s="765"/>
      <c r="AB279" s="765">
        <v>0</v>
      </c>
      <c r="AC279" s="765"/>
      <c r="AD279" s="765">
        <v>0</v>
      </c>
      <c r="AE279" s="765"/>
      <c r="AF279" s="750">
        <v>0</v>
      </c>
      <c r="AG279" s="765"/>
      <c r="AH279" s="765"/>
      <c r="AI279" s="765"/>
      <c r="AJ279" s="765">
        <v>0</v>
      </c>
      <c r="AK279" s="765"/>
      <c r="AL279" s="765">
        <v>0</v>
      </c>
      <c r="AM279" s="765"/>
      <c r="AN279" s="765">
        <v>0</v>
      </c>
      <c r="AO279" s="765"/>
      <c r="AP279" s="765">
        <v>0</v>
      </c>
      <c r="AQ279" s="765"/>
      <c r="AR279" s="765">
        <v>0</v>
      </c>
      <c r="AS279" s="765"/>
      <c r="AT279" s="769">
        <f t="shared" si="23"/>
        <v>0</v>
      </c>
      <c r="AU279" s="750"/>
      <c r="AV279" s="769">
        <f t="shared" si="24"/>
        <v>0</v>
      </c>
      <c r="AW279" s="752">
        <f t="shared" si="22"/>
        <v>0</v>
      </c>
      <c r="AY279" s="753"/>
    </row>
    <row r="280" spans="1:51" s="752" customFormat="1" hidden="1">
      <c r="A280" s="743">
        <f t="shared" si="25"/>
        <v>276</v>
      </c>
      <c r="B280" s="764"/>
      <c r="C280" s="757" t="s">
        <v>1640</v>
      </c>
      <c r="D280" s="746" t="s">
        <v>1704</v>
      </c>
      <c r="E280" s="747">
        <f t="shared" si="13"/>
        <v>150000</v>
      </c>
      <c r="F280" s="765">
        <v>0</v>
      </c>
      <c r="G280" s="765"/>
      <c r="H280" s="765">
        <v>0</v>
      </c>
      <c r="I280" s="765"/>
      <c r="J280" s="765">
        <v>0</v>
      </c>
      <c r="K280" s="765"/>
      <c r="L280" s="765">
        <v>0</v>
      </c>
      <c r="M280" s="765"/>
      <c r="N280" s="765">
        <v>0</v>
      </c>
      <c r="O280" s="765"/>
      <c r="P280" s="765">
        <v>50000</v>
      </c>
      <c r="Q280" s="765"/>
      <c r="R280" s="765">
        <v>50000</v>
      </c>
      <c r="S280" s="765"/>
      <c r="T280" s="765">
        <v>50000</v>
      </c>
      <c r="U280" s="765"/>
      <c r="V280" s="765">
        <v>0</v>
      </c>
      <c r="W280" s="765"/>
      <c r="X280" s="765">
        <v>0</v>
      </c>
      <c r="Y280" s="765"/>
      <c r="Z280" s="765">
        <v>0</v>
      </c>
      <c r="AA280" s="765"/>
      <c r="AB280" s="765">
        <v>0</v>
      </c>
      <c r="AC280" s="765"/>
      <c r="AD280" s="765">
        <v>0</v>
      </c>
      <c r="AE280" s="765"/>
      <c r="AF280" s="750">
        <v>0</v>
      </c>
      <c r="AG280" s="765"/>
      <c r="AH280" s="765"/>
      <c r="AI280" s="765"/>
      <c r="AJ280" s="765">
        <v>0</v>
      </c>
      <c r="AK280" s="765"/>
      <c r="AL280" s="765">
        <v>0</v>
      </c>
      <c r="AM280" s="765"/>
      <c r="AN280" s="765">
        <v>0</v>
      </c>
      <c r="AO280" s="765"/>
      <c r="AP280" s="765">
        <v>0</v>
      </c>
      <c r="AQ280" s="765"/>
      <c r="AR280" s="765">
        <v>0</v>
      </c>
      <c r="AS280" s="765"/>
      <c r="AT280" s="769">
        <f t="shared" si="23"/>
        <v>0</v>
      </c>
      <c r="AU280" s="750"/>
      <c r="AV280" s="769">
        <f t="shared" si="24"/>
        <v>0</v>
      </c>
      <c r="AW280" s="752">
        <f t="shared" si="22"/>
        <v>0</v>
      </c>
      <c r="AY280" s="753"/>
    </row>
    <row r="281" spans="1:51" s="752" customFormat="1" hidden="1">
      <c r="A281" s="743">
        <f t="shared" si="25"/>
        <v>277</v>
      </c>
      <c r="B281" s="764"/>
      <c r="C281" s="757" t="s">
        <v>1641</v>
      </c>
      <c r="D281" s="746" t="s">
        <v>1705</v>
      </c>
      <c r="E281" s="747">
        <f t="shared" si="13"/>
        <v>150000</v>
      </c>
      <c r="F281" s="765">
        <v>0</v>
      </c>
      <c r="G281" s="765"/>
      <c r="H281" s="765">
        <v>0</v>
      </c>
      <c r="I281" s="765"/>
      <c r="J281" s="765">
        <v>0</v>
      </c>
      <c r="K281" s="765"/>
      <c r="L281" s="765">
        <v>0</v>
      </c>
      <c r="M281" s="765"/>
      <c r="N281" s="765">
        <v>0</v>
      </c>
      <c r="O281" s="765"/>
      <c r="P281" s="765">
        <v>50000</v>
      </c>
      <c r="Q281" s="765"/>
      <c r="R281" s="765">
        <v>50000</v>
      </c>
      <c r="S281" s="765"/>
      <c r="T281" s="765">
        <v>50000</v>
      </c>
      <c r="U281" s="765"/>
      <c r="V281" s="765">
        <v>0</v>
      </c>
      <c r="W281" s="765"/>
      <c r="X281" s="765">
        <v>0</v>
      </c>
      <c r="Y281" s="765"/>
      <c r="Z281" s="765">
        <v>0</v>
      </c>
      <c r="AA281" s="765"/>
      <c r="AB281" s="765">
        <v>0</v>
      </c>
      <c r="AC281" s="765"/>
      <c r="AD281" s="765">
        <v>0</v>
      </c>
      <c r="AE281" s="765"/>
      <c r="AF281" s="750">
        <v>0</v>
      </c>
      <c r="AG281" s="765"/>
      <c r="AH281" s="765"/>
      <c r="AI281" s="765"/>
      <c r="AJ281" s="765">
        <v>0</v>
      </c>
      <c r="AK281" s="765"/>
      <c r="AL281" s="765">
        <v>0</v>
      </c>
      <c r="AM281" s="765"/>
      <c r="AN281" s="765">
        <v>0</v>
      </c>
      <c r="AO281" s="765"/>
      <c r="AP281" s="765">
        <v>0</v>
      </c>
      <c r="AQ281" s="765"/>
      <c r="AR281" s="765">
        <v>0</v>
      </c>
      <c r="AS281" s="765"/>
      <c r="AT281" s="769">
        <f t="shared" si="23"/>
        <v>0</v>
      </c>
      <c r="AU281" s="750"/>
      <c r="AV281" s="769">
        <f t="shared" si="24"/>
        <v>0</v>
      </c>
      <c r="AW281" s="752">
        <f t="shared" si="22"/>
        <v>0</v>
      </c>
      <c r="AY281" s="753"/>
    </row>
    <row r="282" spans="1:51" s="752" customFormat="1" hidden="1">
      <c r="A282" s="743">
        <f t="shared" si="25"/>
        <v>278</v>
      </c>
      <c r="B282" s="764"/>
      <c r="C282" s="757" t="s">
        <v>1642</v>
      </c>
      <c r="D282" s="746" t="s">
        <v>1706</v>
      </c>
      <c r="E282" s="747">
        <f t="shared" si="13"/>
        <v>150000</v>
      </c>
      <c r="F282" s="765">
        <v>0</v>
      </c>
      <c r="G282" s="765"/>
      <c r="H282" s="765">
        <v>0</v>
      </c>
      <c r="I282" s="765"/>
      <c r="J282" s="765">
        <v>0</v>
      </c>
      <c r="K282" s="765"/>
      <c r="L282" s="765">
        <v>0</v>
      </c>
      <c r="M282" s="765"/>
      <c r="N282" s="765">
        <v>0</v>
      </c>
      <c r="O282" s="765"/>
      <c r="P282" s="765">
        <v>50000</v>
      </c>
      <c r="Q282" s="765"/>
      <c r="R282" s="765">
        <v>50000</v>
      </c>
      <c r="S282" s="765"/>
      <c r="T282" s="765">
        <v>50000</v>
      </c>
      <c r="U282" s="765"/>
      <c r="V282" s="765">
        <v>0</v>
      </c>
      <c r="W282" s="765"/>
      <c r="X282" s="765">
        <v>0</v>
      </c>
      <c r="Y282" s="765"/>
      <c r="Z282" s="765">
        <v>0</v>
      </c>
      <c r="AA282" s="765"/>
      <c r="AB282" s="765">
        <v>0</v>
      </c>
      <c r="AC282" s="765"/>
      <c r="AD282" s="765">
        <v>0</v>
      </c>
      <c r="AE282" s="765"/>
      <c r="AF282" s="750">
        <v>0</v>
      </c>
      <c r="AG282" s="765"/>
      <c r="AH282" s="765"/>
      <c r="AI282" s="765"/>
      <c r="AJ282" s="765">
        <v>0</v>
      </c>
      <c r="AK282" s="765"/>
      <c r="AL282" s="765">
        <v>0</v>
      </c>
      <c r="AM282" s="765"/>
      <c r="AN282" s="765">
        <v>0</v>
      </c>
      <c r="AO282" s="765"/>
      <c r="AP282" s="765">
        <v>0</v>
      </c>
      <c r="AQ282" s="765"/>
      <c r="AR282" s="765">
        <v>0</v>
      </c>
      <c r="AS282" s="765"/>
      <c r="AT282" s="769">
        <f t="shared" si="23"/>
        <v>0</v>
      </c>
      <c r="AU282" s="750"/>
      <c r="AV282" s="769">
        <f t="shared" si="24"/>
        <v>0</v>
      </c>
      <c r="AW282" s="752">
        <f t="shared" si="22"/>
        <v>0</v>
      </c>
      <c r="AY282" s="753"/>
    </row>
    <row r="283" spans="1:51" s="752" customFormat="1">
      <c r="A283" s="743">
        <f t="shared" si="25"/>
        <v>279</v>
      </c>
      <c r="B283" s="764"/>
      <c r="C283" s="757" t="s">
        <v>1643</v>
      </c>
      <c r="D283" s="746" t="s">
        <v>1707</v>
      </c>
      <c r="E283" s="747">
        <f t="shared" si="13"/>
        <v>860000</v>
      </c>
      <c r="F283" s="765">
        <v>0</v>
      </c>
      <c r="G283" s="765"/>
      <c r="H283" s="765">
        <v>0</v>
      </c>
      <c r="I283" s="765"/>
      <c r="J283" s="765">
        <v>0</v>
      </c>
      <c r="K283" s="765"/>
      <c r="L283" s="765">
        <v>0</v>
      </c>
      <c r="M283" s="765"/>
      <c r="N283" s="766">
        <v>0</v>
      </c>
      <c r="O283" s="751">
        <v>50000</v>
      </c>
      <c r="P283" s="765">
        <v>50000</v>
      </c>
      <c r="Q283" s="765"/>
      <c r="R283" s="765">
        <v>50000</v>
      </c>
      <c r="S283" s="765"/>
      <c r="T283" s="765">
        <v>50000</v>
      </c>
      <c r="U283" s="765"/>
      <c r="V283" s="765">
        <v>50000</v>
      </c>
      <c r="W283" s="765"/>
      <c r="X283" s="765">
        <v>50000</v>
      </c>
      <c r="Y283" s="765"/>
      <c r="Z283" s="765">
        <v>50000</v>
      </c>
      <c r="AA283" s="765"/>
      <c r="AB283" s="765">
        <v>50000</v>
      </c>
      <c r="AC283" s="765"/>
      <c r="AD283" s="765">
        <v>150000</v>
      </c>
      <c r="AE283" s="765"/>
      <c r="AF283" s="750">
        <v>50000</v>
      </c>
      <c r="AG283" s="765"/>
      <c r="AH283" s="751">
        <v>0</v>
      </c>
      <c r="AI283" s="751">
        <v>50000</v>
      </c>
      <c r="AJ283" s="765">
        <v>50000</v>
      </c>
      <c r="AK283" s="765"/>
      <c r="AL283" s="765">
        <v>40000</v>
      </c>
      <c r="AM283" s="765"/>
      <c r="AN283" s="765">
        <v>40000</v>
      </c>
      <c r="AO283" s="765"/>
      <c r="AP283" s="765">
        <v>40000</v>
      </c>
      <c r="AQ283" s="765"/>
      <c r="AR283" s="765">
        <v>40000</v>
      </c>
      <c r="AS283" s="765"/>
      <c r="AT283" s="769">
        <f t="shared" si="23"/>
        <v>100000</v>
      </c>
      <c r="AU283" s="750"/>
      <c r="AV283" s="771">
        <f t="shared" si="24"/>
        <v>100000</v>
      </c>
      <c r="AW283" s="752">
        <f t="shared" si="22"/>
        <v>0</v>
      </c>
      <c r="AY283" s="753"/>
    </row>
    <row r="284" spans="1:51" s="752" customFormat="1">
      <c r="A284" s="743">
        <f t="shared" si="25"/>
        <v>280</v>
      </c>
      <c r="B284" s="764"/>
      <c r="C284" s="757" t="s">
        <v>1644</v>
      </c>
      <c r="D284" s="746" t="s">
        <v>1708</v>
      </c>
      <c r="E284" s="747">
        <f t="shared" si="13"/>
        <v>720000</v>
      </c>
      <c r="F284" s="765">
        <v>0</v>
      </c>
      <c r="G284" s="765"/>
      <c r="H284" s="765">
        <v>0</v>
      </c>
      <c r="I284" s="765"/>
      <c r="J284" s="765">
        <v>0</v>
      </c>
      <c r="K284" s="765"/>
      <c r="L284" s="765">
        <v>0</v>
      </c>
      <c r="M284" s="765"/>
      <c r="N284" s="766">
        <v>0</v>
      </c>
      <c r="O284" s="751">
        <v>50000</v>
      </c>
      <c r="P284" s="765">
        <v>50000</v>
      </c>
      <c r="Q284" s="765"/>
      <c r="R284" s="765">
        <v>50000</v>
      </c>
      <c r="S284" s="765"/>
      <c r="T284" s="765">
        <v>50000</v>
      </c>
      <c r="U284" s="765"/>
      <c r="V284" s="765">
        <v>50000</v>
      </c>
      <c r="W284" s="765"/>
      <c r="X284" s="765">
        <v>50000</v>
      </c>
      <c r="Y284" s="765"/>
      <c r="Z284" s="765">
        <v>50000</v>
      </c>
      <c r="AA284" s="765"/>
      <c r="AB284" s="766">
        <v>0</v>
      </c>
      <c r="AC284" s="751">
        <v>50000</v>
      </c>
      <c r="AD284" s="766">
        <v>0</v>
      </c>
      <c r="AE284" s="751">
        <v>50000</v>
      </c>
      <c r="AF284" s="751">
        <v>0</v>
      </c>
      <c r="AG284" s="751">
        <v>50000</v>
      </c>
      <c r="AH284" s="751">
        <v>0</v>
      </c>
      <c r="AI284" s="751">
        <v>50000</v>
      </c>
      <c r="AJ284" s="766">
        <v>0</v>
      </c>
      <c r="AK284" s="751">
        <v>50000</v>
      </c>
      <c r="AL284" s="766">
        <v>0</v>
      </c>
      <c r="AM284" s="751">
        <v>40000</v>
      </c>
      <c r="AN284" s="766">
        <v>0</v>
      </c>
      <c r="AO284" s="751">
        <v>40000</v>
      </c>
      <c r="AP284" s="766">
        <v>0</v>
      </c>
      <c r="AQ284" s="751">
        <v>40000</v>
      </c>
      <c r="AR284" s="766">
        <v>0</v>
      </c>
      <c r="AS284" s="751">
        <v>40000</v>
      </c>
      <c r="AT284" s="769">
        <f t="shared" si="23"/>
        <v>460000</v>
      </c>
      <c r="AU284" s="750"/>
      <c r="AV284" s="771">
        <f t="shared" si="24"/>
        <v>460000</v>
      </c>
      <c r="AW284" s="752">
        <f t="shared" si="22"/>
        <v>0</v>
      </c>
      <c r="AY284" s="753"/>
    </row>
    <row r="285" spans="1:51" s="725" customFormat="1" hidden="1">
      <c r="A285" s="738">
        <f t="shared" si="25"/>
        <v>281</v>
      </c>
      <c r="B285" s="724"/>
      <c r="C285" s="758" t="s">
        <v>1645</v>
      </c>
      <c r="D285" s="731" t="s">
        <v>2019</v>
      </c>
      <c r="E285" s="727">
        <f t="shared" si="13"/>
        <v>100000</v>
      </c>
      <c r="F285" s="728">
        <v>0</v>
      </c>
      <c r="G285" s="728"/>
      <c r="H285" s="728">
        <v>0</v>
      </c>
      <c r="I285" s="728"/>
      <c r="J285" s="728">
        <v>0</v>
      </c>
      <c r="K285" s="728"/>
      <c r="L285" s="728">
        <v>0</v>
      </c>
      <c r="M285" s="728"/>
      <c r="N285" s="728">
        <v>0</v>
      </c>
      <c r="O285" s="728"/>
      <c r="P285" s="728">
        <v>50000</v>
      </c>
      <c r="Q285" s="728"/>
      <c r="R285" s="728">
        <v>50000</v>
      </c>
      <c r="S285" s="728"/>
      <c r="T285" s="728">
        <v>0</v>
      </c>
      <c r="U285" s="728"/>
      <c r="V285" s="728">
        <v>0</v>
      </c>
      <c r="W285" s="728"/>
      <c r="X285" s="728">
        <v>0</v>
      </c>
      <c r="Y285" s="728"/>
      <c r="Z285" s="728">
        <v>0</v>
      </c>
      <c r="AA285" s="728"/>
      <c r="AB285" s="728">
        <v>0</v>
      </c>
      <c r="AC285" s="728"/>
      <c r="AD285" s="728">
        <v>0</v>
      </c>
      <c r="AE285" s="728"/>
      <c r="AF285" s="729">
        <v>0</v>
      </c>
      <c r="AG285" s="728"/>
      <c r="AH285" s="728"/>
      <c r="AI285" s="728"/>
      <c r="AJ285" s="728">
        <v>0</v>
      </c>
      <c r="AK285" s="728"/>
      <c r="AL285" s="728">
        <v>0</v>
      </c>
      <c r="AM285" s="728"/>
      <c r="AN285" s="728">
        <v>0</v>
      </c>
      <c r="AO285" s="728"/>
      <c r="AP285" s="728">
        <v>0</v>
      </c>
      <c r="AQ285" s="728"/>
      <c r="AR285" s="728">
        <v>0</v>
      </c>
      <c r="AS285" s="728"/>
      <c r="AT285" s="769">
        <f t="shared" si="23"/>
        <v>0</v>
      </c>
      <c r="AU285" s="729"/>
      <c r="AV285" s="769">
        <f t="shared" si="24"/>
        <v>0</v>
      </c>
      <c r="AW285" s="725">
        <f t="shared" si="22"/>
        <v>0</v>
      </c>
      <c r="AY285" s="742"/>
    </row>
    <row r="286" spans="1:51" s="725" customFormat="1">
      <c r="A286" s="738">
        <f t="shared" si="25"/>
        <v>282</v>
      </c>
      <c r="B286" s="724"/>
      <c r="C286" s="758" t="s">
        <v>1646</v>
      </c>
      <c r="D286" s="731" t="s">
        <v>2020</v>
      </c>
      <c r="E286" s="727">
        <f t="shared" si="13"/>
        <v>150000</v>
      </c>
      <c r="F286" s="728">
        <v>0</v>
      </c>
      <c r="G286" s="728"/>
      <c r="H286" s="728">
        <v>0</v>
      </c>
      <c r="I286" s="728"/>
      <c r="J286" s="728">
        <v>0</v>
      </c>
      <c r="K286" s="728"/>
      <c r="L286" s="728">
        <v>0</v>
      </c>
      <c r="M286" s="728"/>
      <c r="N286" s="763">
        <v>0</v>
      </c>
      <c r="O286" s="741">
        <v>50000</v>
      </c>
      <c r="P286" s="728">
        <v>50000</v>
      </c>
      <c r="Q286" s="728"/>
      <c r="R286" s="728">
        <v>50000</v>
      </c>
      <c r="S286" s="728"/>
      <c r="T286" s="728">
        <v>0</v>
      </c>
      <c r="U286" s="728"/>
      <c r="V286" s="728">
        <v>0</v>
      </c>
      <c r="W286" s="728"/>
      <c r="X286" s="728">
        <v>0</v>
      </c>
      <c r="Y286" s="728"/>
      <c r="Z286" s="728">
        <v>0</v>
      </c>
      <c r="AA286" s="728"/>
      <c r="AB286" s="728">
        <v>0</v>
      </c>
      <c r="AC286" s="728"/>
      <c r="AD286" s="728">
        <v>0</v>
      </c>
      <c r="AE286" s="728"/>
      <c r="AF286" s="729">
        <v>0</v>
      </c>
      <c r="AG286" s="728"/>
      <c r="AH286" s="728"/>
      <c r="AI286" s="728"/>
      <c r="AJ286" s="728">
        <v>0</v>
      </c>
      <c r="AK286" s="728"/>
      <c r="AL286" s="728">
        <v>0</v>
      </c>
      <c r="AM286" s="728"/>
      <c r="AN286" s="728">
        <v>0</v>
      </c>
      <c r="AO286" s="728"/>
      <c r="AP286" s="728">
        <v>0</v>
      </c>
      <c r="AQ286" s="728"/>
      <c r="AR286" s="728">
        <v>0</v>
      </c>
      <c r="AS286" s="728"/>
      <c r="AT286" s="769">
        <f t="shared" si="23"/>
        <v>50000</v>
      </c>
      <c r="AU286" s="729"/>
      <c r="AV286" s="771">
        <f t="shared" si="24"/>
        <v>50000</v>
      </c>
      <c r="AW286" s="725">
        <f t="shared" si="22"/>
        <v>0</v>
      </c>
      <c r="AY286" s="742"/>
    </row>
    <row r="287" spans="1:51" s="725" customFormat="1">
      <c r="A287" s="738">
        <f t="shared" si="25"/>
        <v>283</v>
      </c>
      <c r="B287" s="724"/>
      <c r="C287" s="758" t="s">
        <v>1647</v>
      </c>
      <c r="D287" s="731" t="s">
        <v>2021</v>
      </c>
      <c r="E287" s="727">
        <f t="shared" si="13"/>
        <v>150000</v>
      </c>
      <c r="F287" s="728">
        <v>0</v>
      </c>
      <c r="G287" s="728"/>
      <c r="H287" s="728">
        <v>0</v>
      </c>
      <c r="I287" s="728"/>
      <c r="J287" s="728">
        <v>0</v>
      </c>
      <c r="K287" s="728"/>
      <c r="L287" s="728">
        <v>0</v>
      </c>
      <c r="M287" s="728"/>
      <c r="N287" s="728">
        <v>0</v>
      </c>
      <c r="O287" s="728"/>
      <c r="P287" s="728">
        <v>50000</v>
      </c>
      <c r="Q287" s="728"/>
      <c r="R287" s="728">
        <v>50000</v>
      </c>
      <c r="S287" s="728"/>
      <c r="T287" s="728">
        <v>50000</v>
      </c>
      <c r="U287" s="728"/>
      <c r="V287" s="728">
        <v>0</v>
      </c>
      <c r="W287" s="728"/>
      <c r="X287" s="728">
        <v>0</v>
      </c>
      <c r="Y287" s="728"/>
      <c r="Z287" s="728">
        <v>0</v>
      </c>
      <c r="AA287" s="728"/>
      <c r="AB287" s="728">
        <v>0</v>
      </c>
      <c r="AC287" s="728"/>
      <c r="AD287" s="728">
        <v>0</v>
      </c>
      <c r="AE287" s="728"/>
      <c r="AF287" s="729">
        <v>0</v>
      </c>
      <c r="AG287" s="728"/>
      <c r="AH287" s="728"/>
      <c r="AI287" s="728"/>
      <c r="AJ287" s="728">
        <v>0</v>
      </c>
      <c r="AK287" s="728"/>
      <c r="AL287" s="728">
        <v>0</v>
      </c>
      <c r="AM287" s="728"/>
      <c r="AN287" s="728">
        <v>0</v>
      </c>
      <c r="AO287" s="728"/>
      <c r="AP287" s="728">
        <v>0</v>
      </c>
      <c r="AQ287" s="728"/>
      <c r="AR287" s="763">
        <v>0</v>
      </c>
      <c r="AS287" s="741">
        <v>40000</v>
      </c>
      <c r="AT287" s="769">
        <f t="shared" si="23"/>
        <v>40000</v>
      </c>
      <c r="AU287" s="729"/>
      <c r="AV287" s="771">
        <f t="shared" si="24"/>
        <v>40000</v>
      </c>
      <c r="AW287" s="725">
        <f t="shared" si="22"/>
        <v>0</v>
      </c>
      <c r="AY287" s="742"/>
    </row>
    <row r="288" spans="1:51" s="725" customFormat="1" hidden="1">
      <c r="A288" s="738">
        <f t="shared" si="25"/>
        <v>284</v>
      </c>
      <c r="B288" s="724"/>
      <c r="C288" s="758" t="s">
        <v>1648</v>
      </c>
      <c r="D288" s="731" t="s">
        <v>1709</v>
      </c>
      <c r="E288" s="727">
        <f t="shared" si="13"/>
        <v>100000</v>
      </c>
      <c r="F288" s="728">
        <v>0</v>
      </c>
      <c r="G288" s="728"/>
      <c r="H288" s="728">
        <v>0</v>
      </c>
      <c r="I288" s="728"/>
      <c r="J288" s="728">
        <v>0</v>
      </c>
      <c r="K288" s="728"/>
      <c r="L288" s="728">
        <v>0</v>
      </c>
      <c r="M288" s="728"/>
      <c r="N288" s="728">
        <v>0</v>
      </c>
      <c r="O288" s="728"/>
      <c r="P288" s="728">
        <v>50000</v>
      </c>
      <c r="Q288" s="728"/>
      <c r="R288" s="728">
        <v>50000</v>
      </c>
      <c r="S288" s="728"/>
      <c r="T288" s="728">
        <v>0</v>
      </c>
      <c r="U288" s="728"/>
      <c r="V288" s="728">
        <v>0</v>
      </c>
      <c r="W288" s="728"/>
      <c r="X288" s="728">
        <v>0</v>
      </c>
      <c r="Y288" s="728"/>
      <c r="Z288" s="728">
        <v>0</v>
      </c>
      <c r="AA288" s="728"/>
      <c r="AB288" s="728">
        <v>0</v>
      </c>
      <c r="AC288" s="728"/>
      <c r="AD288" s="728">
        <v>0</v>
      </c>
      <c r="AE288" s="728"/>
      <c r="AF288" s="729">
        <v>0</v>
      </c>
      <c r="AG288" s="728"/>
      <c r="AH288" s="728"/>
      <c r="AI288" s="728"/>
      <c r="AJ288" s="728">
        <v>0</v>
      </c>
      <c r="AK288" s="728"/>
      <c r="AL288" s="728">
        <v>0</v>
      </c>
      <c r="AM288" s="728"/>
      <c r="AN288" s="728">
        <v>0</v>
      </c>
      <c r="AO288" s="728"/>
      <c r="AP288" s="728">
        <v>0</v>
      </c>
      <c r="AQ288" s="728"/>
      <c r="AR288" s="728">
        <v>0</v>
      </c>
      <c r="AS288" s="728"/>
      <c r="AT288" s="769">
        <f t="shared" si="23"/>
        <v>0</v>
      </c>
      <c r="AU288" s="729"/>
      <c r="AV288" s="769">
        <f t="shared" si="24"/>
        <v>0</v>
      </c>
      <c r="AW288" s="725">
        <f t="shared" si="22"/>
        <v>0</v>
      </c>
      <c r="AY288" s="742"/>
    </row>
    <row r="289" spans="1:51" s="725" customFormat="1">
      <c r="A289" s="738">
        <f t="shared" si="25"/>
        <v>285</v>
      </c>
      <c r="B289" s="724"/>
      <c r="C289" s="758" t="s">
        <v>1649</v>
      </c>
      <c r="D289" s="731" t="s">
        <v>1710</v>
      </c>
      <c r="E289" s="727">
        <f t="shared" si="13"/>
        <v>140000</v>
      </c>
      <c r="F289" s="728">
        <v>0</v>
      </c>
      <c r="G289" s="728"/>
      <c r="H289" s="728">
        <v>0</v>
      </c>
      <c r="I289" s="728"/>
      <c r="J289" s="728">
        <v>0</v>
      </c>
      <c r="K289" s="728"/>
      <c r="L289" s="728">
        <v>0</v>
      </c>
      <c r="M289" s="728"/>
      <c r="N289" s="728">
        <v>0</v>
      </c>
      <c r="O289" s="728"/>
      <c r="P289" s="728">
        <v>50000</v>
      </c>
      <c r="Q289" s="728"/>
      <c r="R289" s="728">
        <v>50000</v>
      </c>
      <c r="S289" s="728"/>
      <c r="T289" s="728">
        <v>0</v>
      </c>
      <c r="U289" s="728"/>
      <c r="V289" s="728">
        <v>0</v>
      </c>
      <c r="W289" s="728"/>
      <c r="X289" s="728">
        <v>0</v>
      </c>
      <c r="Y289" s="728"/>
      <c r="Z289" s="728">
        <v>0</v>
      </c>
      <c r="AA289" s="728"/>
      <c r="AB289" s="728">
        <v>0</v>
      </c>
      <c r="AC289" s="728"/>
      <c r="AD289" s="728">
        <v>0</v>
      </c>
      <c r="AE289" s="728"/>
      <c r="AF289" s="729">
        <v>0</v>
      </c>
      <c r="AG289" s="728"/>
      <c r="AH289" s="728"/>
      <c r="AI289" s="728"/>
      <c r="AJ289" s="728">
        <v>0</v>
      </c>
      <c r="AK289" s="728"/>
      <c r="AL289" s="728">
        <v>0</v>
      </c>
      <c r="AM289" s="728"/>
      <c r="AN289" s="763">
        <v>0</v>
      </c>
      <c r="AO289" s="741">
        <v>40000</v>
      </c>
      <c r="AP289" s="728">
        <v>0</v>
      </c>
      <c r="AQ289" s="728"/>
      <c r="AR289" s="728">
        <v>0</v>
      </c>
      <c r="AS289" s="728"/>
      <c r="AT289" s="769">
        <f t="shared" si="23"/>
        <v>40000</v>
      </c>
      <c r="AU289" s="729"/>
      <c r="AV289" s="771">
        <f t="shared" si="24"/>
        <v>40000</v>
      </c>
      <c r="AW289" s="725">
        <f t="shared" si="22"/>
        <v>0</v>
      </c>
      <c r="AY289" s="742"/>
    </row>
    <row r="290" spans="1:51" s="725" customFormat="1" hidden="1">
      <c r="A290" s="738">
        <f t="shared" si="25"/>
        <v>286</v>
      </c>
      <c r="B290" s="724"/>
      <c r="C290" s="758" t="s">
        <v>1650</v>
      </c>
      <c r="D290" s="731" t="s">
        <v>1711</v>
      </c>
      <c r="E290" s="727">
        <f t="shared" si="13"/>
        <v>150000</v>
      </c>
      <c r="F290" s="728">
        <v>0</v>
      </c>
      <c r="G290" s="728"/>
      <c r="H290" s="728">
        <v>0</v>
      </c>
      <c r="I290" s="728"/>
      <c r="J290" s="728">
        <v>0</v>
      </c>
      <c r="K290" s="728"/>
      <c r="L290" s="728">
        <v>0</v>
      </c>
      <c r="M290" s="728"/>
      <c r="N290" s="728">
        <v>0</v>
      </c>
      <c r="O290" s="728"/>
      <c r="P290" s="728">
        <v>50000</v>
      </c>
      <c r="Q290" s="728"/>
      <c r="R290" s="728">
        <v>50000</v>
      </c>
      <c r="S290" s="728"/>
      <c r="T290" s="728">
        <v>50000</v>
      </c>
      <c r="U290" s="728"/>
      <c r="V290" s="728">
        <v>0</v>
      </c>
      <c r="W290" s="728"/>
      <c r="X290" s="728">
        <v>0</v>
      </c>
      <c r="Y290" s="728"/>
      <c r="Z290" s="728">
        <v>0</v>
      </c>
      <c r="AA290" s="728"/>
      <c r="AB290" s="728">
        <v>0</v>
      </c>
      <c r="AC290" s="728"/>
      <c r="AD290" s="728">
        <v>0</v>
      </c>
      <c r="AE290" s="728"/>
      <c r="AF290" s="729">
        <v>0</v>
      </c>
      <c r="AG290" s="728"/>
      <c r="AH290" s="728"/>
      <c r="AI290" s="728"/>
      <c r="AJ290" s="728">
        <v>0</v>
      </c>
      <c r="AK290" s="728"/>
      <c r="AL290" s="728">
        <v>0</v>
      </c>
      <c r="AM290" s="728"/>
      <c r="AN290" s="728">
        <v>0</v>
      </c>
      <c r="AO290" s="728"/>
      <c r="AP290" s="728">
        <v>0</v>
      </c>
      <c r="AQ290" s="728"/>
      <c r="AR290" s="728">
        <v>0</v>
      </c>
      <c r="AS290" s="728"/>
      <c r="AT290" s="769">
        <f t="shared" si="23"/>
        <v>0</v>
      </c>
      <c r="AU290" s="729"/>
      <c r="AV290" s="769">
        <f t="shared" si="24"/>
        <v>0</v>
      </c>
      <c r="AW290" s="725">
        <f t="shared" si="22"/>
        <v>0</v>
      </c>
      <c r="AY290" s="742"/>
    </row>
    <row r="291" spans="1:51" s="725" customFormat="1" hidden="1">
      <c r="A291" s="738">
        <f t="shared" si="25"/>
        <v>287</v>
      </c>
      <c r="B291" s="724"/>
      <c r="C291" s="758" t="s">
        <v>1651</v>
      </c>
      <c r="D291" s="731" t="s">
        <v>1712</v>
      </c>
      <c r="E291" s="727">
        <f t="shared" si="13"/>
        <v>100000</v>
      </c>
      <c r="F291" s="728">
        <v>0</v>
      </c>
      <c r="G291" s="728"/>
      <c r="H291" s="728">
        <v>0</v>
      </c>
      <c r="I291" s="728"/>
      <c r="J291" s="728">
        <v>0</v>
      </c>
      <c r="K291" s="728"/>
      <c r="L291" s="728">
        <v>0</v>
      </c>
      <c r="M291" s="728"/>
      <c r="N291" s="728">
        <v>0</v>
      </c>
      <c r="O291" s="728"/>
      <c r="P291" s="728">
        <v>50000</v>
      </c>
      <c r="Q291" s="728"/>
      <c r="R291" s="728">
        <v>50000</v>
      </c>
      <c r="S291" s="728"/>
      <c r="T291" s="728">
        <v>0</v>
      </c>
      <c r="U291" s="728"/>
      <c r="V291" s="728">
        <v>0</v>
      </c>
      <c r="W291" s="728"/>
      <c r="X291" s="728">
        <v>0</v>
      </c>
      <c r="Y291" s="728"/>
      <c r="Z291" s="728">
        <v>0</v>
      </c>
      <c r="AA291" s="728"/>
      <c r="AB291" s="728">
        <v>0</v>
      </c>
      <c r="AC291" s="728"/>
      <c r="AD291" s="728">
        <v>0</v>
      </c>
      <c r="AE291" s="728"/>
      <c r="AF291" s="729">
        <v>0</v>
      </c>
      <c r="AG291" s="728"/>
      <c r="AH291" s="728"/>
      <c r="AI291" s="728"/>
      <c r="AJ291" s="728">
        <v>0</v>
      </c>
      <c r="AK291" s="728"/>
      <c r="AL291" s="728">
        <v>0</v>
      </c>
      <c r="AM291" s="728"/>
      <c r="AN291" s="728">
        <v>0</v>
      </c>
      <c r="AO291" s="728"/>
      <c r="AP291" s="728">
        <v>0</v>
      </c>
      <c r="AQ291" s="728"/>
      <c r="AR291" s="728">
        <v>0</v>
      </c>
      <c r="AS291" s="728"/>
      <c r="AT291" s="769">
        <f t="shared" si="23"/>
        <v>0</v>
      </c>
      <c r="AU291" s="729"/>
      <c r="AV291" s="769">
        <f t="shared" si="24"/>
        <v>0</v>
      </c>
      <c r="AW291" s="725">
        <f t="shared" si="22"/>
        <v>0</v>
      </c>
      <c r="AY291" s="742"/>
    </row>
    <row r="292" spans="1:51" s="725" customFormat="1">
      <c r="A292" s="738">
        <f t="shared" si="25"/>
        <v>288</v>
      </c>
      <c r="B292" s="724"/>
      <c r="C292" s="758" t="s">
        <v>1652</v>
      </c>
      <c r="D292" s="731" t="s">
        <v>1713</v>
      </c>
      <c r="E292" s="727">
        <f t="shared" si="13"/>
        <v>190000</v>
      </c>
      <c r="F292" s="728">
        <v>0</v>
      </c>
      <c r="G292" s="728"/>
      <c r="H292" s="728">
        <v>0</v>
      </c>
      <c r="I292" s="728"/>
      <c r="J292" s="728">
        <v>0</v>
      </c>
      <c r="K292" s="728"/>
      <c r="L292" s="728">
        <v>0</v>
      </c>
      <c r="M292" s="728"/>
      <c r="N292" s="728">
        <v>0</v>
      </c>
      <c r="O292" s="728"/>
      <c r="P292" s="728">
        <v>50000</v>
      </c>
      <c r="Q292" s="728"/>
      <c r="R292" s="728">
        <v>50000</v>
      </c>
      <c r="S292" s="728"/>
      <c r="T292" s="728">
        <v>50000</v>
      </c>
      <c r="U292" s="728"/>
      <c r="V292" s="728">
        <v>0</v>
      </c>
      <c r="W292" s="728"/>
      <c r="X292" s="728">
        <v>0</v>
      </c>
      <c r="Y292" s="728"/>
      <c r="Z292" s="728">
        <v>0</v>
      </c>
      <c r="AA292" s="728"/>
      <c r="AB292" s="728">
        <v>0</v>
      </c>
      <c r="AC292" s="728"/>
      <c r="AD292" s="728">
        <v>0</v>
      </c>
      <c r="AE292" s="728"/>
      <c r="AF292" s="729">
        <v>0</v>
      </c>
      <c r="AG292" s="728"/>
      <c r="AH292" s="728"/>
      <c r="AI292" s="728"/>
      <c r="AJ292" s="728">
        <v>0</v>
      </c>
      <c r="AK292" s="728"/>
      <c r="AL292" s="728">
        <v>0</v>
      </c>
      <c r="AM292" s="728"/>
      <c r="AN292" s="763">
        <v>0</v>
      </c>
      <c r="AO292" s="741">
        <v>40000</v>
      </c>
      <c r="AP292" s="728">
        <v>0</v>
      </c>
      <c r="AQ292" s="728"/>
      <c r="AR292" s="728">
        <v>0</v>
      </c>
      <c r="AS292" s="728"/>
      <c r="AT292" s="769">
        <f t="shared" si="23"/>
        <v>40000</v>
      </c>
      <c r="AU292" s="729"/>
      <c r="AV292" s="771">
        <f t="shared" si="24"/>
        <v>40000</v>
      </c>
      <c r="AW292" s="725">
        <f t="shared" si="22"/>
        <v>0</v>
      </c>
      <c r="AY292" s="742"/>
    </row>
    <row r="293" spans="1:51" s="725" customFormat="1">
      <c r="A293" s="738">
        <f t="shared" si="25"/>
        <v>289</v>
      </c>
      <c r="B293" s="724"/>
      <c r="C293" s="758" t="s">
        <v>1653</v>
      </c>
      <c r="D293" s="731" t="s">
        <v>1714</v>
      </c>
      <c r="E293" s="727">
        <f t="shared" si="13"/>
        <v>190000</v>
      </c>
      <c r="F293" s="728">
        <v>0</v>
      </c>
      <c r="G293" s="728"/>
      <c r="H293" s="728">
        <v>0</v>
      </c>
      <c r="I293" s="728"/>
      <c r="J293" s="728">
        <v>0</v>
      </c>
      <c r="K293" s="728"/>
      <c r="L293" s="728">
        <v>0</v>
      </c>
      <c r="M293" s="728"/>
      <c r="N293" s="728">
        <v>0</v>
      </c>
      <c r="O293" s="728"/>
      <c r="P293" s="728">
        <v>50000</v>
      </c>
      <c r="Q293" s="728"/>
      <c r="R293" s="728">
        <v>50000</v>
      </c>
      <c r="S293" s="728"/>
      <c r="T293" s="728">
        <v>50000</v>
      </c>
      <c r="U293" s="728"/>
      <c r="V293" s="728">
        <v>0</v>
      </c>
      <c r="W293" s="728"/>
      <c r="X293" s="728">
        <v>0</v>
      </c>
      <c r="Y293" s="728"/>
      <c r="Z293" s="728">
        <v>0</v>
      </c>
      <c r="AA293" s="728"/>
      <c r="AB293" s="728">
        <v>0</v>
      </c>
      <c r="AC293" s="728"/>
      <c r="AD293" s="728">
        <v>0</v>
      </c>
      <c r="AE293" s="728"/>
      <c r="AF293" s="729">
        <v>0</v>
      </c>
      <c r="AG293" s="728"/>
      <c r="AH293" s="728"/>
      <c r="AI293" s="728"/>
      <c r="AJ293" s="728">
        <v>0</v>
      </c>
      <c r="AK293" s="728"/>
      <c r="AL293" s="728">
        <v>0</v>
      </c>
      <c r="AM293" s="728"/>
      <c r="AN293" s="763">
        <v>0</v>
      </c>
      <c r="AO293" s="741">
        <v>40000</v>
      </c>
      <c r="AP293" s="728">
        <v>0</v>
      </c>
      <c r="AQ293" s="728"/>
      <c r="AR293" s="728">
        <v>0</v>
      </c>
      <c r="AS293" s="728"/>
      <c r="AT293" s="769">
        <f t="shared" si="23"/>
        <v>40000</v>
      </c>
      <c r="AU293" s="729"/>
      <c r="AV293" s="771">
        <f t="shared" si="24"/>
        <v>40000</v>
      </c>
      <c r="AW293" s="725">
        <f t="shared" si="22"/>
        <v>0</v>
      </c>
      <c r="AY293" s="742"/>
    </row>
    <row r="294" spans="1:51" s="725" customFormat="1">
      <c r="A294" s="738">
        <f t="shared" si="25"/>
        <v>290</v>
      </c>
      <c r="B294" s="724"/>
      <c r="C294" s="758" t="s">
        <v>1654</v>
      </c>
      <c r="D294" s="731" t="s">
        <v>1715</v>
      </c>
      <c r="E294" s="727">
        <f t="shared" si="13"/>
        <v>770000</v>
      </c>
      <c r="F294" s="728">
        <v>0</v>
      </c>
      <c r="G294" s="728"/>
      <c r="H294" s="728">
        <v>0</v>
      </c>
      <c r="I294" s="728"/>
      <c r="J294" s="728">
        <v>0</v>
      </c>
      <c r="K294" s="728"/>
      <c r="L294" s="728">
        <v>0</v>
      </c>
      <c r="M294" s="728"/>
      <c r="N294" s="763">
        <v>0</v>
      </c>
      <c r="O294" s="741">
        <v>50000</v>
      </c>
      <c r="P294" s="728">
        <v>50000</v>
      </c>
      <c r="Q294" s="728"/>
      <c r="R294" s="728">
        <v>50000</v>
      </c>
      <c r="S294" s="728"/>
      <c r="T294" s="728">
        <v>50000</v>
      </c>
      <c r="U294" s="728"/>
      <c r="V294" s="728">
        <v>50000</v>
      </c>
      <c r="W294" s="728"/>
      <c r="X294" s="728">
        <v>50000</v>
      </c>
      <c r="Y294" s="728"/>
      <c r="Z294" s="728">
        <v>50000</v>
      </c>
      <c r="AA294" s="728"/>
      <c r="AB294" s="728">
        <v>50000</v>
      </c>
      <c r="AC294" s="728"/>
      <c r="AD294" s="728">
        <v>100000</v>
      </c>
      <c r="AE294" s="728"/>
      <c r="AF294" s="729">
        <v>50000</v>
      </c>
      <c r="AG294" s="728"/>
      <c r="AH294" s="741">
        <v>0</v>
      </c>
      <c r="AI294" s="741">
        <v>50000</v>
      </c>
      <c r="AJ294" s="728">
        <v>50000</v>
      </c>
      <c r="AK294" s="728"/>
      <c r="AL294" s="728">
        <v>40000</v>
      </c>
      <c r="AM294" s="728"/>
      <c r="AN294" s="728">
        <v>40000</v>
      </c>
      <c r="AO294" s="728"/>
      <c r="AP294" s="763">
        <v>0</v>
      </c>
      <c r="AQ294" s="741">
        <v>40000</v>
      </c>
      <c r="AR294" s="728">
        <v>0</v>
      </c>
      <c r="AS294" s="728"/>
      <c r="AT294" s="769">
        <f t="shared" si="23"/>
        <v>140000</v>
      </c>
      <c r="AU294" s="729"/>
      <c r="AV294" s="771">
        <f t="shared" si="24"/>
        <v>50000</v>
      </c>
      <c r="AW294" s="725">
        <f t="shared" si="22"/>
        <v>90000</v>
      </c>
      <c r="AY294" s="742"/>
    </row>
    <row r="295" spans="1:51" s="725" customFormat="1">
      <c r="A295" s="738">
        <f t="shared" si="25"/>
        <v>291</v>
      </c>
      <c r="B295" s="724"/>
      <c r="C295" s="758" t="s">
        <v>1655</v>
      </c>
      <c r="D295" s="731" t="s">
        <v>1716</v>
      </c>
      <c r="E295" s="727">
        <f t="shared" si="13"/>
        <v>450000</v>
      </c>
      <c r="F295" s="728">
        <v>0</v>
      </c>
      <c r="G295" s="728"/>
      <c r="H295" s="728">
        <v>0</v>
      </c>
      <c r="I295" s="728"/>
      <c r="J295" s="728">
        <v>0</v>
      </c>
      <c r="K295" s="728"/>
      <c r="L295" s="728">
        <v>0</v>
      </c>
      <c r="M295" s="728"/>
      <c r="N295" s="763">
        <v>0</v>
      </c>
      <c r="O295" s="741">
        <v>50000</v>
      </c>
      <c r="P295" s="728">
        <v>50000</v>
      </c>
      <c r="Q295" s="728"/>
      <c r="R295" s="728">
        <v>50000</v>
      </c>
      <c r="S295" s="728"/>
      <c r="T295" s="728">
        <v>50000</v>
      </c>
      <c r="U295" s="728"/>
      <c r="V295" s="763">
        <v>0</v>
      </c>
      <c r="W295" s="741">
        <v>50000</v>
      </c>
      <c r="X295" s="763">
        <v>0</v>
      </c>
      <c r="Y295" s="741">
        <v>50000</v>
      </c>
      <c r="Z295" s="728">
        <v>50000</v>
      </c>
      <c r="AA295" s="728"/>
      <c r="AB295" s="728">
        <v>50000</v>
      </c>
      <c r="AC295" s="728"/>
      <c r="AD295" s="763">
        <v>0</v>
      </c>
      <c r="AE295" s="741">
        <v>50000</v>
      </c>
      <c r="AF295" s="729">
        <v>0</v>
      </c>
      <c r="AG295" s="728"/>
      <c r="AH295" s="728"/>
      <c r="AI295" s="728"/>
      <c r="AJ295" s="728">
        <v>0</v>
      </c>
      <c r="AK295" s="728"/>
      <c r="AL295" s="728">
        <v>0</v>
      </c>
      <c r="AM295" s="728"/>
      <c r="AN295" s="728">
        <v>0</v>
      </c>
      <c r="AO295" s="728"/>
      <c r="AP295" s="728">
        <v>0</v>
      </c>
      <c r="AQ295" s="728"/>
      <c r="AR295" s="728">
        <v>0</v>
      </c>
      <c r="AS295" s="728"/>
      <c r="AT295" s="769">
        <f t="shared" si="23"/>
        <v>200000</v>
      </c>
      <c r="AU295" s="729"/>
      <c r="AV295" s="771">
        <f t="shared" si="24"/>
        <v>200000</v>
      </c>
      <c r="AW295" s="725">
        <f t="shared" si="22"/>
        <v>0</v>
      </c>
      <c r="AY295" s="742"/>
    </row>
    <row r="296" spans="1:51" s="725" customFormat="1">
      <c r="A296" s="738">
        <f t="shared" si="25"/>
        <v>292</v>
      </c>
      <c r="B296" s="724"/>
      <c r="C296" s="758" t="s">
        <v>1656</v>
      </c>
      <c r="D296" s="731" t="s">
        <v>1717</v>
      </c>
      <c r="E296" s="727">
        <f t="shared" si="13"/>
        <v>200000</v>
      </c>
      <c r="F296" s="728">
        <v>0</v>
      </c>
      <c r="G296" s="728"/>
      <c r="H296" s="728">
        <v>0</v>
      </c>
      <c r="I296" s="728"/>
      <c r="J296" s="728">
        <v>0</v>
      </c>
      <c r="K296" s="728"/>
      <c r="L296" s="728">
        <v>0</v>
      </c>
      <c r="M296" s="728"/>
      <c r="N296" s="728">
        <v>0</v>
      </c>
      <c r="O296" s="728"/>
      <c r="P296" s="728">
        <v>50000</v>
      </c>
      <c r="Q296" s="728"/>
      <c r="R296" s="728">
        <v>50000</v>
      </c>
      <c r="S296" s="728"/>
      <c r="T296" s="728">
        <v>50000</v>
      </c>
      <c r="U296" s="728"/>
      <c r="V296" s="728">
        <v>0</v>
      </c>
      <c r="W296" s="728"/>
      <c r="X296" s="728">
        <v>0</v>
      </c>
      <c r="Y296" s="728"/>
      <c r="Z296" s="728">
        <v>0</v>
      </c>
      <c r="AA296" s="728"/>
      <c r="AB296" s="763">
        <v>0</v>
      </c>
      <c r="AC296" s="741">
        <v>50000</v>
      </c>
      <c r="AD296" s="728">
        <v>0</v>
      </c>
      <c r="AE296" s="728"/>
      <c r="AF296" s="729">
        <v>0</v>
      </c>
      <c r="AG296" s="728"/>
      <c r="AH296" s="728"/>
      <c r="AI296" s="728"/>
      <c r="AJ296" s="728">
        <v>0</v>
      </c>
      <c r="AK296" s="728"/>
      <c r="AL296" s="728">
        <v>0</v>
      </c>
      <c r="AM296" s="728"/>
      <c r="AN296" s="728">
        <v>0</v>
      </c>
      <c r="AO296" s="728"/>
      <c r="AP296" s="728">
        <v>0</v>
      </c>
      <c r="AQ296" s="728"/>
      <c r="AR296" s="763">
        <v>0</v>
      </c>
      <c r="AS296" s="741">
        <v>40000</v>
      </c>
      <c r="AT296" s="769">
        <f t="shared" si="23"/>
        <v>90000</v>
      </c>
      <c r="AU296" s="729"/>
      <c r="AV296" s="771">
        <f t="shared" si="24"/>
        <v>90000</v>
      </c>
      <c r="AW296" s="725">
        <f t="shared" si="22"/>
        <v>0</v>
      </c>
      <c r="AY296" s="742"/>
    </row>
    <row r="297" spans="1:51" s="725" customFormat="1" hidden="1">
      <c r="A297" s="738">
        <f t="shared" si="25"/>
        <v>293</v>
      </c>
      <c r="B297" s="724"/>
      <c r="C297" s="758" t="s">
        <v>1657</v>
      </c>
      <c r="D297" s="731" t="s">
        <v>1718</v>
      </c>
      <c r="E297" s="727">
        <f t="shared" si="13"/>
        <v>150000</v>
      </c>
      <c r="F297" s="728">
        <v>0</v>
      </c>
      <c r="G297" s="728"/>
      <c r="H297" s="728">
        <v>0</v>
      </c>
      <c r="I297" s="728"/>
      <c r="J297" s="728">
        <v>0</v>
      </c>
      <c r="K297" s="728"/>
      <c r="L297" s="728">
        <v>0</v>
      </c>
      <c r="M297" s="728"/>
      <c r="N297" s="728">
        <v>0</v>
      </c>
      <c r="O297" s="728"/>
      <c r="P297" s="728">
        <v>50000</v>
      </c>
      <c r="Q297" s="728"/>
      <c r="R297" s="728">
        <v>50000</v>
      </c>
      <c r="S297" s="728"/>
      <c r="T297" s="728">
        <v>50000</v>
      </c>
      <c r="U297" s="728"/>
      <c r="V297" s="728">
        <v>0</v>
      </c>
      <c r="W297" s="728"/>
      <c r="X297" s="728">
        <v>0</v>
      </c>
      <c r="Y297" s="728"/>
      <c r="Z297" s="728">
        <v>0</v>
      </c>
      <c r="AA297" s="728"/>
      <c r="AB297" s="728">
        <v>0</v>
      </c>
      <c r="AC297" s="728"/>
      <c r="AD297" s="728">
        <v>0</v>
      </c>
      <c r="AE297" s="728"/>
      <c r="AF297" s="729">
        <v>0</v>
      </c>
      <c r="AG297" s="728"/>
      <c r="AH297" s="728"/>
      <c r="AI297" s="728"/>
      <c r="AJ297" s="728">
        <v>0</v>
      </c>
      <c r="AK297" s="728"/>
      <c r="AL297" s="728">
        <v>0</v>
      </c>
      <c r="AM297" s="728"/>
      <c r="AN297" s="728">
        <v>0</v>
      </c>
      <c r="AO297" s="728"/>
      <c r="AP297" s="728">
        <v>0</v>
      </c>
      <c r="AQ297" s="728"/>
      <c r="AR297" s="728">
        <v>0</v>
      </c>
      <c r="AS297" s="728"/>
      <c r="AT297" s="769">
        <f t="shared" si="23"/>
        <v>0</v>
      </c>
      <c r="AU297" s="729"/>
      <c r="AV297" s="769">
        <f t="shared" si="24"/>
        <v>0</v>
      </c>
      <c r="AW297" s="725">
        <f t="shared" si="22"/>
        <v>0</v>
      </c>
      <c r="AY297" s="742"/>
    </row>
    <row r="298" spans="1:51" s="725" customFormat="1" hidden="1">
      <c r="A298" s="738">
        <f t="shared" si="25"/>
        <v>294</v>
      </c>
      <c r="B298" s="724"/>
      <c r="C298" s="758" t="s">
        <v>1658</v>
      </c>
      <c r="D298" s="731" t="s">
        <v>1719</v>
      </c>
      <c r="E298" s="727">
        <f t="shared" si="13"/>
        <v>150000</v>
      </c>
      <c r="F298" s="728">
        <v>0</v>
      </c>
      <c r="G298" s="728"/>
      <c r="H298" s="728">
        <v>0</v>
      </c>
      <c r="I298" s="728"/>
      <c r="J298" s="728">
        <v>0</v>
      </c>
      <c r="K298" s="728"/>
      <c r="L298" s="728">
        <v>0</v>
      </c>
      <c r="M298" s="728"/>
      <c r="N298" s="728">
        <v>0</v>
      </c>
      <c r="O298" s="728"/>
      <c r="P298" s="728">
        <v>50000</v>
      </c>
      <c r="Q298" s="728"/>
      <c r="R298" s="728">
        <v>50000</v>
      </c>
      <c r="S298" s="728"/>
      <c r="T298" s="728">
        <v>50000</v>
      </c>
      <c r="U298" s="728"/>
      <c r="V298" s="728">
        <v>0</v>
      </c>
      <c r="W298" s="728"/>
      <c r="X298" s="728">
        <v>0</v>
      </c>
      <c r="Y298" s="728"/>
      <c r="Z298" s="728">
        <v>0</v>
      </c>
      <c r="AA298" s="728"/>
      <c r="AB298" s="728">
        <v>0</v>
      </c>
      <c r="AC298" s="728"/>
      <c r="AD298" s="728">
        <v>0</v>
      </c>
      <c r="AE298" s="728"/>
      <c r="AF298" s="729">
        <v>0</v>
      </c>
      <c r="AG298" s="728"/>
      <c r="AH298" s="728"/>
      <c r="AI298" s="728"/>
      <c r="AJ298" s="728">
        <v>0</v>
      </c>
      <c r="AK298" s="728"/>
      <c r="AL298" s="728">
        <v>0</v>
      </c>
      <c r="AM298" s="728"/>
      <c r="AN298" s="728">
        <v>0</v>
      </c>
      <c r="AO298" s="728"/>
      <c r="AP298" s="728">
        <v>0</v>
      </c>
      <c r="AQ298" s="728"/>
      <c r="AR298" s="728">
        <v>0</v>
      </c>
      <c r="AS298" s="728"/>
      <c r="AT298" s="769">
        <f t="shared" si="23"/>
        <v>0</v>
      </c>
      <c r="AU298" s="729"/>
      <c r="AV298" s="769">
        <f t="shared" si="24"/>
        <v>0</v>
      </c>
      <c r="AW298" s="725">
        <f t="shared" si="22"/>
        <v>0</v>
      </c>
      <c r="AY298" s="742"/>
    </row>
    <row r="299" spans="1:51" s="725" customFormat="1" hidden="1">
      <c r="A299" s="738">
        <f t="shared" si="25"/>
        <v>295</v>
      </c>
      <c r="B299" s="724"/>
      <c r="C299" s="758" t="s">
        <v>1659</v>
      </c>
      <c r="D299" s="731" t="s">
        <v>1720</v>
      </c>
      <c r="E299" s="727">
        <f t="shared" si="13"/>
        <v>150000</v>
      </c>
      <c r="F299" s="728">
        <v>0</v>
      </c>
      <c r="G299" s="728"/>
      <c r="H299" s="728">
        <v>0</v>
      </c>
      <c r="I299" s="728"/>
      <c r="J299" s="728">
        <v>0</v>
      </c>
      <c r="K299" s="728"/>
      <c r="L299" s="728">
        <v>0</v>
      </c>
      <c r="M299" s="728"/>
      <c r="N299" s="728">
        <v>0</v>
      </c>
      <c r="O299" s="728"/>
      <c r="P299" s="728">
        <v>50000</v>
      </c>
      <c r="Q299" s="728"/>
      <c r="R299" s="728">
        <v>50000</v>
      </c>
      <c r="S299" s="728"/>
      <c r="T299" s="728">
        <v>50000</v>
      </c>
      <c r="U299" s="728"/>
      <c r="V299" s="728">
        <v>0</v>
      </c>
      <c r="W299" s="728"/>
      <c r="X299" s="728">
        <v>0</v>
      </c>
      <c r="Y299" s="728"/>
      <c r="Z299" s="728">
        <v>0</v>
      </c>
      <c r="AA299" s="728"/>
      <c r="AB299" s="728">
        <v>0</v>
      </c>
      <c r="AC299" s="728"/>
      <c r="AD299" s="728">
        <v>0</v>
      </c>
      <c r="AE299" s="728"/>
      <c r="AF299" s="729">
        <v>0</v>
      </c>
      <c r="AG299" s="728"/>
      <c r="AH299" s="728"/>
      <c r="AI299" s="728"/>
      <c r="AJ299" s="728">
        <v>0</v>
      </c>
      <c r="AK299" s="728"/>
      <c r="AL299" s="728">
        <v>0</v>
      </c>
      <c r="AM299" s="728"/>
      <c r="AN299" s="728">
        <v>0</v>
      </c>
      <c r="AO299" s="728"/>
      <c r="AP299" s="728">
        <v>0</v>
      </c>
      <c r="AQ299" s="728"/>
      <c r="AR299" s="728">
        <v>0</v>
      </c>
      <c r="AS299" s="728"/>
      <c r="AT299" s="769">
        <f t="shared" si="23"/>
        <v>0</v>
      </c>
      <c r="AU299" s="729"/>
      <c r="AV299" s="769">
        <f t="shared" si="24"/>
        <v>0</v>
      </c>
      <c r="AW299" s="725">
        <f t="shared" si="22"/>
        <v>0</v>
      </c>
      <c r="AY299" s="742"/>
    </row>
    <row r="300" spans="1:51" s="725" customFormat="1" hidden="1">
      <c r="A300" s="738">
        <f t="shared" si="25"/>
        <v>296</v>
      </c>
      <c r="B300" s="724"/>
      <c r="C300" s="758" t="s">
        <v>1660</v>
      </c>
      <c r="D300" s="731" t="s">
        <v>1721</v>
      </c>
      <c r="E300" s="727">
        <f t="shared" si="13"/>
        <v>100000</v>
      </c>
      <c r="F300" s="728">
        <v>0</v>
      </c>
      <c r="G300" s="728"/>
      <c r="H300" s="728">
        <v>0</v>
      </c>
      <c r="I300" s="728"/>
      <c r="J300" s="728">
        <v>0</v>
      </c>
      <c r="K300" s="728"/>
      <c r="L300" s="728">
        <v>0</v>
      </c>
      <c r="M300" s="728"/>
      <c r="N300" s="728">
        <v>0</v>
      </c>
      <c r="O300" s="728"/>
      <c r="P300" s="728">
        <v>50000</v>
      </c>
      <c r="Q300" s="728"/>
      <c r="R300" s="728">
        <v>50000</v>
      </c>
      <c r="S300" s="728"/>
      <c r="T300" s="728">
        <v>0</v>
      </c>
      <c r="U300" s="728"/>
      <c r="V300" s="728">
        <v>0</v>
      </c>
      <c r="W300" s="728"/>
      <c r="X300" s="728">
        <v>0</v>
      </c>
      <c r="Y300" s="728"/>
      <c r="Z300" s="728">
        <v>0</v>
      </c>
      <c r="AA300" s="728"/>
      <c r="AB300" s="728">
        <v>0</v>
      </c>
      <c r="AC300" s="728"/>
      <c r="AD300" s="728">
        <v>0</v>
      </c>
      <c r="AE300" s="728"/>
      <c r="AF300" s="729">
        <v>0</v>
      </c>
      <c r="AG300" s="728"/>
      <c r="AH300" s="728"/>
      <c r="AI300" s="728"/>
      <c r="AJ300" s="728">
        <v>0</v>
      </c>
      <c r="AK300" s="728"/>
      <c r="AL300" s="728">
        <v>0</v>
      </c>
      <c r="AM300" s="728"/>
      <c r="AN300" s="728">
        <v>0</v>
      </c>
      <c r="AO300" s="728"/>
      <c r="AP300" s="728">
        <v>0</v>
      </c>
      <c r="AQ300" s="728"/>
      <c r="AR300" s="728">
        <v>0</v>
      </c>
      <c r="AS300" s="728"/>
      <c r="AT300" s="769">
        <f t="shared" si="23"/>
        <v>0</v>
      </c>
      <c r="AU300" s="729"/>
      <c r="AV300" s="769">
        <f t="shared" si="24"/>
        <v>0</v>
      </c>
      <c r="AW300" s="725">
        <f t="shared" si="22"/>
        <v>0</v>
      </c>
      <c r="AY300" s="742"/>
    </row>
    <row r="301" spans="1:51" s="725" customFormat="1" hidden="1">
      <c r="A301" s="738">
        <f t="shared" si="25"/>
        <v>297</v>
      </c>
      <c r="B301" s="724"/>
      <c r="C301" s="758" t="s">
        <v>1661</v>
      </c>
      <c r="D301" s="731" t="s">
        <v>1722</v>
      </c>
      <c r="E301" s="727">
        <f t="shared" si="13"/>
        <v>100000</v>
      </c>
      <c r="F301" s="728">
        <v>0</v>
      </c>
      <c r="G301" s="728"/>
      <c r="H301" s="728">
        <v>0</v>
      </c>
      <c r="I301" s="728"/>
      <c r="J301" s="728">
        <v>0</v>
      </c>
      <c r="K301" s="728"/>
      <c r="L301" s="728">
        <v>0</v>
      </c>
      <c r="M301" s="728"/>
      <c r="N301" s="728">
        <v>0</v>
      </c>
      <c r="O301" s="728"/>
      <c r="P301" s="728">
        <v>50000</v>
      </c>
      <c r="Q301" s="728"/>
      <c r="R301" s="728">
        <v>50000</v>
      </c>
      <c r="S301" s="728"/>
      <c r="T301" s="728">
        <v>0</v>
      </c>
      <c r="U301" s="728"/>
      <c r="V301" s="728">
        <v>0</v>
      </c>
      <c r="W301" s="728"/>
      <c r="X301" s="728">
        <v>0</v>
      </c>
      <c r="Y301" s="728"/>
      <c r="Z301" s="728">
        <v>0</v>
      </c>
      <c r="AA301" s="728"/>
      <c r="AB301" s="728">
        <v>0</v>
      </c>
      <c r="AC301" s="728"/>
      <c r="AD301" s="728">
        <v>0</v>
      </c>
      <c r="AE301" s="728"/>
      <c r="AF301" s="729">
        <v>0</v>
      </c>
      <c r="AG301" s="728"/>
      <c r="AH301" s="728"/>
      <c r="AI301" s="728"/>
      <c r="AJ301" s="728">
        <v>0</v>
      </c>
      <c r="AK301" s="728"/>
      <c r="AL301" s="728">
        <v>0</v>
      </c>
      <c r="AM301" s="728"/>
      <c r="AN301" s="728">
        <v>0</v>
      </c>
      <c r="AO301" s="728"/>
      <c r="AP301" s="728">
        <v>0</v>
      </c>
      <c r="AQ301" s="728"/>
      <c r="AR301" s="728">
        <v>0</v>
      </c>
      <c r="AS301" s="728"/>
      <c r="AT301" s="769">
        <f t="shared" si="23"/>
        <v>0</v>
      </c>
      <c r="AU301" s="729"/>
      <c r="AV301" s="769">
        <f t="shared" si="24"/>
        <v>0</v>
      </c>
      <c r="AW301" s="725">
        <f t="shared" si="22"/>
        <v>0</v>
      </c>
      <c r="AY301" s="742"/>
    </row>
    <row r="302" spans="1:51" s="725" customFormat="1">
      <c r="A302" s="738">
        <f t="shared" si="25"/>
        <v>298</v>
      </c>
      <c r="B302" s="724"/>
      <c r="C302" s="758" t="s">
        <v>1662</v>
      </c>
      <c r="D302" s="731" t="s">
        <v>1723</v>
      </c>
      <c r="E302" s="727">
        <f t="shared" si="13"/>
        <v>550000</v>
      </c>
      <c r="F302" s="728">
        <v>0</v>
      </c>
      <c r="G302" s="728"/>
      <c r="H302" s="728">
        <v>0</v>
      </c>
      <c r="I302" s="728"/>
      <c r="J302" s="728">
        <v>0</v>
      </c>
      <c r="K302" s="728"/>
      <c r="L302" s="728">
        <v>0</v>
      </c>
      <c r="M302" s="728"/>
      <c r="N302" s="763">
        <v>0</v>
      </c>
      <c r="O302" s="741">
        <v>50000</v>
      </c>
      <c r="P302" s="728">
        <v>50000</v>
      </c>
      <c r="Q302" s="728"/>
      <c r="R302" s="728">
        <v>50000</v>
      </c>
      <c r="S302" s="728"/>
      <c r="T302" s="728">
        <v>50000</v>
      </c>
      <c r="U302" s="728"/>
      <c r="V302" s="728">
        <v>50000</v>
      </c>
      <c r="W302" s="728"/>
      <c r="X302" s="728">
        <v>50000</v>
      </c>
      <c r="Y302" s="728"/>
      <c r="Z302" s="728">
        <v>50000</v>
      </c>
      <c r="AA302" s="728"/>
      <c r="AB302" s="728">
        <v>50000</v>
      </c>
      <c r="AC302" s="728"/>
      <c r="AD302" s="763">
        <v>0</v>
      </c>
      <c r="AE302" s="741">
        <v>50000</v>
      </c>
      <c r="AF302" s="741">
        <v>0</v>
      </c>
      <c r="AG302" s="741">
        <v>50000</v>
      </c>
      <c r="AH302" s="741">
        <v>0</v>
      </c>
      <c r="AI302" s="741">
        <v>50000</v>
      </c>
      <c r="AJ302" s="728">
        <v>0</v>
      </c>
      <c r="AK302" s="728"/>
      <c r="AL302" s="728">
        <v>0</v>
      </c>
      <c r="AM302" s="728"/>
      <c r="AN302" s="728">
        <v>0</v>
      </c>
      <c r="AO302" s="728"/>
      <c r="AP302" s="728">
        <v>0</v>
      </c>
      <c r="AQ302" s="728"/>
      <c r="AR302" s="728">
        <v>0</v>
      </c>
      <c r="AS302" s="728"/>
      <c r="AT302" s="769">
        <f t="shared" si="23"/>
        <v>200000</v>
      </c>
      <c r="AU302" s="729"/>
      <c r="AV302" s="771">
        <f t="shared" si="24"/>
        <v>200000</v>
      </c>
      <c r="AW302" s="725">
        <f t="shared" si="22"/>
        <v>0</v>
      </c>
      <c r="AY302" s="742"/>
    </row>
    <row r="303" spans="1:51" s="725" customFormat="1" hidden="1">
      <c r="A303" s="738">
        <f t="shared" si="25"/>
        <v>299</v>
      </c>
      <c r="B303" s="724"/>
      <c r="C303" s="758" t="s">
        <v>1663</v>
      </c>
      <c r="D303" s="731" t="s">
        <v>1724</v>
      </c>
      <c r="E303" s="727">
        <f t="shared" si="13"/>
        <v>100000</v>
      </c>
      <c r="F303" s="728">
        <v>0</v>
      </c>
      <c r="G303" s="728"/>
      <c r="H303" s="728">
        <v>0</v>
      </c>
      <c r="I303" s="728"/>
      <c r="J303" s="728">
        <v>0</v>
      </c>
      <c r="K303" s="728"/>
      <c r="L303" s="728">
        <v>0</v>
      </c>
      <c r="M303" s="728"/>
      <c r="N303" s="728">
        <v>0</v>
      </c>
      <c r="O303" s="728"/>
      <c r="P303" s="728">
        <v>50000</v>
      </c>
      <c r="Q303" s="728"/>
      <c r="R303" s="728">
        <v>50000</v>
      </c>
      <c r="S303" s="728"/>
      <c r="T303" s="728">
        <v>0</v>
      </c>
      <c r="U303" s="728"/>
      <c r="V303" s="728">
        <v>0</v>
      </c>
      <c r="W303" s="728"/>
      <c r="X303" s="728">
        <v>0</v>
      </c>
      <c r="Y303" s="728"/>
      <c r="Z303" s="728">
        <v>0</v>
      </c>
      <c r="AA303" s="728"/>
      <c r="AB303" s="728">
        <v>0</v>
      </c>
      <c r="AC303" s="728"/>
      <c r="AD303" s="728">
        <v>0</v>
      </c>
      <c r="AE303" s="728"/>
      <c r="AF303" s="729">
        <v>0</v>
      </c>
      <c r="AG303" s="728"/>
      <c r="AH303" s="728"/>
      <c r="AI303" s="728"/>
      <c r="AJ303" s="728">
        <v>0</v>
      </c>
      <c r="AK303" s="728"/>
      <c r="AL303" s="728">
        <v>0</v>
      </c>
      <c r="AM303" s="728"/>
      <c r="AN303" s="728">
        <v>0</v>
      </c>
      <c r="AO303" s="728"/>
      <c r="AP303" s="728">
        <v>0</v>
      </c>
      <c r="AQ303" s="728"/>
      <c r="AR303" s="728">
        <v>0</v>
      </c>
      <c r="AS303" s="728"/>
      <c r="AT303" s="769">
        <f t="shared" si="23"/>
        <v>0</v>
      </c>
      <c r="AU303" s="729"/>
      <c r="AV303" s="769">
        <f t="shared" si="24"/>
        <v>0</v>
      </c>
      <c r="AW303" s="725">
        <f t="shared" si="22"/>
        <v>0</v>
      </c>
      <c r="AY303" s="742"/>
    </row>
    <row r="304" spans="1:51" s="725" customFormat="1" hidden="1">
      <c r="A304" s="738">
        <f t="shared" si="25"/>
        <v>300</v>
      </c>
      <c r="B304" s="724"/>
      <c r="C304" s="758" t="s">
        <v>1664</v>
      </c>
      <c r="D304" s="731" t="s">
        <v>1725</v>
      </c>
      <c r="E304" s="727">
        <f t="shared" si="13"/>
        <v>100000</v>
      </c>
      <c r="F304" s="728">
        <v>0</v>
      </c>
      <c r="G304" s="728"/>
      <c r="H304" s="728">
        <v>0</v>
      </c>
      <c r="I304" s="728"/>
      <c r="J304" s="728">
        <v>0</v>
      </c>
      <c r="K304" s="728"/>
      <c r="L304" s="728">
        <v>0</v>
      </c>
      <c r="M304" s="728"/>
      <c r="N304" s="728">
        <v>0</v>
      </c>
      <c r="O304" s="728"/>
      <c r="P304" s="728">
        <v>50000</v>
      </c>
      <c r="Q304" s="728"/>
      <c r="R304" s="728">
        <v>50000</v>
      </c>
      <c r="S304" s="728"/>
      <c r="T304" s="728">
        <v>0</v>
      </c>
      <c r="U304" s="728"/>
      <c r="V304" s="728">
        <v>0</v>
      </c>
      <c r="W304" s="728"/>
      <c r="X304" s="728">
        <v>0</v>
      </c>
      <c r="Y304" s="728"/>
      <c r="Z304" s="728">
        <v>0</v>
      </c>
      <c r="AA304" s="728"/>
      <c r="AB304" s="728">
        <v>0</v>
      </c>
      <c r="AC304" s="728"/>
      <c r="AD304" s="728">
        <v>0</v>
      </c>
      <c r="AE304" s="728"/>
      <c r="AF304" s="729">
        <v>0</v>
      </c>
      <c r="AG304" s="728"/>
      <c r="AH304" s="728"/>
      <c r="AI304" s="728"/>
      <c r="AJ304" s="728">
        <v>0</v>
      </c>
      <c r="AK304" s="728"/>
      <c r="AL304" s="728">
        <v>0</v>
      </c>
      <c r="AM304" s="728"/>
      <c r="AN304" s="728">
        <v>0</v>
      </c>
      <c r="AO304" s="728"/>
      <c r="AP304" s="728">
        <v>0</v>
      </c>
      <c r="AQ304" s="728"/>
      <c r="AR304" s="728">
        <v>0</v>
      </c>
      <c r="AS304" s="728"/>
      <c r="AT304" s="769">
        <f t="shared" si="23"/>
        <v>0</v>
      </c>
      <c r="AU304" s="729"/>
      <c r="AV304" s="769">
        <f t="shared" si="24"/>
        <v>0</v>
      </c>
      <c r="AW304" s="725">
        <f t="shared" si="22"/>
        <v>0</v>
      </c>
      <c r="AY304" s="742"/>
    </row>
    <row r="305" spans="1:51" s="752" customFormat="1" hidden="1">
      <c r="A305" s="743">
        <f t="shared" si="25"/>
        <v>301</v>
      </c>
      <c r="B305" s="764"/>
      <c r="C305" s="757" t="s">
        <v>1665</v>
      </c>
      <c r="D305" s="746" t="s">
        <v>1726</v>
      </c>
      <c r="E305" s="747">
        <f t="shared" si="13"/>
        <v>150000</v>
      </c>
      <c r="F305" s="765">
        <v>0</v>
      </c>
      <c r="G305" s="765"/>
      <c r="H305" s="765">
        <v>0</v>
      </c>
      <c r="I305" s="765"/>
      <c r="J305" s="765">
        <v>0</v>
      </c>
      <c r="K305" s="765"/>
      <c r="L305" s="765">
        <v>0</v>
      </c>
      <c r="M305" s="765"/>
      <c r="N305" s="765">
        <v>0</v>
      </c>
      <c r="O305" s="765"/>
      <c r="P305" s="765">
        <v>50000</v>
      </c>
      <c r="Q305" s="765"/>
      <c r="R305" s="765">
        <v>50000</v>
      </c>
      <c r="S305" s="765"/>
      <c r="T305" s="765">
        <v>50000</v>
      </c>
      <c r="U305" s="765"/>
      <c r="V305" s="765">
        <v>0</v>
      </c>
      <c r="W305" s="765"/>
      <c r="X305" s="765">
        <v>0</v>
      </c>
      <c r="Y305" s="765"/>
      <c r="Z305" s="765">
        <v>0</v>
      </c>
      <c r="AA305" s="765"/>
      <c r="AB305" s="765">
        <v>0</v>
      </c>
      <c r="AC305" s="765"/>
      <c r="AD305" s="765">
        <v>0</v>
      </c>
      <c r="AE305" s="765"/>
      <c r="AF305" s="750">
        <v>0</v>
      </c>
      <c r="AG305" s="765"/>
      <c r="AH305" s="765"/>
      <c r="AI305" s="765"/>
      <c r="AJ305" s="765">
        <v>0</v>
      </c>
      <c r="AK305" s="765"/>
      <c r="AL305" s="765">
        <v>0</v>
      </c>
      <c r="AM305" s="765"/>
      <c r="AN305" s="765">
        <v>0</v>
      </c>
      <c r="AO305" s="765"/>
      <c r="AP305" s="765">
        <v>0</v>
      </c>
      <c r="AQ305" s="765"/>
      <c r="AR305" s="765">
        <v>0</v>
      </c>
      <c r="AS305" s="765"/>
      <c r="AT305" s="769">
        <f t="shared" si="23"/>
        <v>0</v>
      </c>
      <c r="AU305" s="750"/>
      <c r="AV305" s="769">
        <f t="shared" si="24"/>
        <v>0</v>
      </c>
      <c r="AW305" s="752">
        <f t="shared" si="22"/>
        <v>0</v>
      </c>
      <c r="AY305" s="753"/>
    </row>
    <row r="306" spans="1:51" s="752" customFormat="1">
      <c r="A306" s="743">
        <f t="shared" si="25"/>
        <v>302</v>
      </c>
      <c r="B306" s="764"/>
      <c r="C306" s="757" t="s">
        <v>1666</v>
      </c>
      <c r="D306" s="746" t="s">
        <v>1727</v>
      </c>
      <c r="E306" s="747">
        <f t="shared" si="13"/>
        <v>140000</v>
      </c>
      <c r="F306" s="765">
        <v>0</v>
      </c>
      <c r="G306" s="765"/>
      <c r="H306" s="765">
        <v>0</v>
      </c>
      <c r="I306" s="765"/>
      <c r="J306" s="765">
        <v>0</v>
      </c>
      <c r="K306" s="765"/>
      <c r="L306" s="765">
        <v>0</v>
      </c>
      <c r="M306" s="765"/>
      <c r="N306" s="765">
        <v>0</v>
      </c>
      <c r="O306" s="765"/>
      <c r="P306" s="765">
        <v>50000</v>
      </c>
      <c r="Q306" s="765"/>
      <c r="R306" s="765">
        <v>50000</v>
      </c>
      <c r="S306" s="765"/>
      <c r="T306" s="765">
        <v>0</v>
      </c>
      <c r="U306" s="765"/>
      <c r="V306" s="765">
        <v>0</v>
      </c>
      <c r="W306" s="765"/>
      <c r="X306" s="765">
        <v>0</v>
      </c>
      <c r="Y306" s="765"/>
      <c r="Z306" s="765">
        <v>0</v>
      </c>
      <c r="AA306" s="765"/>
      <c r="AB306" s="765">
        <v>0</v>
      </c>
      <c r="AC306" s="765"/>
      <c r="AD306" s="765">
        <v>0</v>
      </c>
      <c r="AE306" s="765"/>
      <c r="AF306" s="750">
        <v>0</v>
      </c>
      <c r="AG306" s="765"/>
      <c r="AH306" s="765"/>
      <c r="AI306" s="765"/>
      <c r="AJ306" s="765">
        <v>0</v>
      </c>
      <c r="AK306" s="765"/>
      <c r="AL306" s="765">
        <v>0</v>
      </c>
      <c r="AM306" s="765"/>
      <c r="AN306" s="766">
        <v>0</v>
      </c>
      <c r="AO306" s="751">
        <v>40000</v>
      </c>
      <c r="AP306" s="765">
        <v>0</v>
      </c>
      <c r="AQ306" s="765"/>
      <c r="AR306" s="765">
        <v>0</v>
      </c>
      <c r="AS306" s="765"/>
      <c r="AT306" s="769">
        <f t="shared" si="23"/>
        <v>40000</v>
      </c>
      <c r="AU306" s="750"/>
      <c r="AV306" s="771">
        <f t="shared" si="24"/>
        <v>40000</v>
      </c>
      <c r="AW306" s="752">
        <f t="shared" si="22"/>
        <v>0</v>
      </c>
      <c r="AY306" s="753"/>
    </row>
    <row r="307" spans="1:51" s="752" customFormat="1">
      <c r="A307" s="743">
        <f t="shared" si="25"/>
        <v>303</v>
      </c>
      <c r="B307" s="764"/>
      <c r="C307" s="757" t="s">
        <v>1667</v>
      </c>
      <c r="D307" s="746" t="s">
        <v>1728</v>
      </c>
      <c r="E307" s="747">
        <f t="shared" si="13"/>
        <v>230000</v>
      </c>
      <c r="F307" s="765">
        <v>0</v>
      </c>
      <c r="G307" s="765"/>
      <c r="H307" s="765">
        <v>0</v>
      </c>
      <c r="I307" s="765"/>
      <c r="J307" s="765">
        <v>0</v>
      </c>
      <c r="K307" s="765"/>
      <c r="L307" s="765">
        <v>0</v>
      </c>
      <c r="M307" s="765"/>
      <c r="N307" s="765">
        <v>0</v>
      </c>
      <c r="O307" s="765"/>
      <c r="P307" s="765">
        <v>50000</v>
      </c>
      <c r="Q307" s="765"/>
      <c r="R307" s="765">
        <v>50000</v>
      </c>
      <c r="S307" s="765"/>
      <c r="T307" s="765">
        <v>50000</v>
      </c>
      <c r="U307" s="765"/>
      <c r="V307" s="765">
        <v>0</v>
      </c>
      <c r="W307" s="765"/>
      <c r="X307" s="765">
        <v>0</v>
      </c>
      <c r="Y307" s="765"/>
      <c r="Z307" s="765">
        <v>0</v>
      </c>
      <c r="AA307" s="765"/>
      <c r="AB307" s="765">
        <v>0</v>
      </c>
      <c r="AC307" s="765"/>
      <c r="AD307" s="765">
        <v>0</v>
      </c>
      <c r="AE307" s="765"/>
      <c r="AF307" s="750">
        <v>0</v>
      </c>
      <c r="AG307" s="765"/>
      <c r="AH307" s="765"/>
      <c r="AI307" s="765"/>
      <c r="AJ307" s="765">
        <v>0</v>
      </c>
      <c r="AK307" s="765"/>
      <c r="AL307" s="765">
        <v>0</v>
      </c>
      <c r="AM307" s="765"/>
      <c r="AN307" s="766">
        <v>0</v>
      </c>
      <c r="AO307" s="751">
        <v>40000</v>
      </c>
      <c r="AP307" s="766">
        <v>0</v>
      </c>
      <c r="AQ307" s="751">
        <v>40000</v>
      </c>
      <c r="AR307" s="765">
        <v>0</v>
      </c>
      <c r="AS307" s="765"/>
      <c r="AT307" s="769">
        <f t="shared" si="23"/>
        <v>80000</v>
      </c>
      <c r="AU307" s="750"/>
      <c r="AV307" s="771">
        <f t="shared" si="24"/>
        <v>80000</v>
      </c>
      <c r="AW307" s="752">
        <f t="shared" si="22"/>
        <v>0</v>
      </c>
      <c r="AY307" s="753"/>
    </row>
    <row r="308" spans="1:51" s="752" customFormat="1" hidden="1">
      <c r="A308" s="743">
        <f t="shared" si="25"/>
        <v>304</v>
      </c>
      <c r="B308" s="764"/>
      <c r="C308" s="757" t="s">
        <v>1668</v>
      </c>
      <c r="D308" s="746" t="s">
        <v>1729</v>
      </c>
      <c r="E308" s="747">
        <f t="shared" si="13"/>
        <v>150000</v>
      </c>
      <c r="F308" s="765">
        <v>0</v>
      </c>
      <c r="G308" s="765"/>
      <c r="H308" s="765">
        <v>0</v>
      </c>
      <c r="I308" s="765"/>
      <c r="J308" s="765">
        <v>0</v>
      </c>
      <c r="K308" s="765"/>
      <c r="L308" s="765">
        <v>0</v>
      </c>
      <c r="M308" s="765"/>
      <c r="N308" s="765">
        <v>0</v>
      </c>
      <c r="O308" s="765"/>
      <c r="P308" s="765">
        <v>50000</v>
      </c>
      <c r="Q308" s="765"/>
      <c r="R308" s="765">
        <v>50000</v>
      </c>
      <c r="S308" s="765"/>
      <c r="T308" s="765">
        <v>50000</v>
      </c>
      <c r="U308" s="765"/>
      <c r="V308" s="765">
        <v>0</v>
      </c>
      <c r="W308" s="765"/>
      <c r="X308" s="765">
        <v>0</v>
      </c>
      <c r="Y308" s="765"/>
      <c r="Z308" s="765">
        <v>0</v>
      </c>
      <c r="AA308" s="765"/>
      <c r="AB308" s="765">
        <v>0</v>
      </c>
      <c r="AC308" s="765"/>
      <c r="AD308" s="765">
        <v>0</v>
      </c>
      <c r="AE308" s="765"/>
      <c r="AF308" s="750">
        <v>0</v>
      </c>
      <c r="AG308" s="765"/>
      <c r="AH308" s="765"/>
      <c r="AI308" s="765"/>
      <c r="AJ308" s="765">
        <v>0</v>
      </c>
      <c r="AK308" s="765"/>
      <c r="AL308" s="765">
        <v>0</v>
      </c>
      <c r="AM308" s="765"/>
      <c r="AN308" s="765">
        <v>0</v>
      </c>
      <c r="AO308" s="765"/>
      <c r="AP308" s="765">
        <v>0</v>
      </c>
      <c r="AQ308" s="765"/>
      <c r="AR308" s="765">
        <v>0</v>
      </c>
      <c r="AS308" s="765"/>
      <c r="AT308" s="769">
        <f t="shared" si="23"/>
        <v>0</v>
      </c>
      <c r="AU308" s="750"/>
      <c r="AV308" s="769">
        <f t="shared" si="24"/>
        <v>0</v>
      </c>
      <c r="AW308" s="752">
        <f t="shared" si="22"/>
        <v>0</v>
      </c>
      <c r="AY308" s="753"/>
    </row>
    <row r="309" spans="1:51" s="752" customFormat="1" hidden="1">
      <c r="A309" s="743">
        <f t="shared" si="25"/>
        <v>305</v>
      </c>
      <c r="B309" s="764"/>
      <c r="C309" s="757" t="s">
        <v>1669</v>
      </c>
      <c r="D309" s="746" t="s">
        <v>1730</v>
      </c>
      <c r="E309" s="747">
        <f t="shared" si="13"/>
        <v>150000</v>
      </c>
      <c r="F309" s="765">
        <v>0</v>
      </c>
      <c r="G309" s="765"/>
      <c r="H309" s="765">
        <v>0</v>
      </c>
      <c r="I309" s="765"/>
      <c r="J309" s="765">
        <v>0</v>
      </c>
      <c r="K309" s="765"/>
      <c r="L309" s="765">
        <v>0</v>
      </c>
      <c r="M309" s="765"/>
      <c r="N309" s="765">
        <v>0</v>
      </c>
      <c r="O309" s="765"/>
      <c r="P309" s="765">
        <v>50000</v>
      </c>
      <c r="Q309" s="765"/>
      <c r="R309" s="765">
        <v>50000</v>
      </c>
      <c r="S309" s="765"/>
      <c r="T309" s="765">
        <v>50000</v>
      </c>
      <c r="U309" s="765"/>
      <c r="V309" s="765">
        <v>0</v>
      </c>
      <c r="W309" s="765"/>
      <c r="X309" s="765">
        <v>0</v>
      </c>
      <c r="Y309" s="765"/>
      <c r="Z309" s="765">
        <v>0</v>
      </c>
      <c r="AA309" s="765"/>
      <c r="AB309" s="765">
        <v>0</v>
      </c>
      <c r="AC309" s="765"/>
      <c r="AD309" s="765">
        <v>0</v>
      </c>
      <c r="AE309" s="765"/>
      <c r="AF309" s="750">
        <v>0</v>
      </c>
      <c r="AG309" s="765"/>
      <c r="AH309" s="765"/>
      <c r="AI309" s="765"/>
      <c r="AJ309" s="765">
        <v>0</v>
      </c>
      <c r="AK309" s="765"/>
      <c r="AL309" s="765">
        <v>0</v>
      </c>
      <c r="AM309" s="765"/>
      <c r="AN309" s="765">
        <v>0</v>
      </c>
      <c r="AO309" s="765"/>
      <c r="AP309" s="765">
        <v>0</v>
      </c>
      <c r="AQ309" s="765"/>
      <c r="AR309" s="765">
        <v>0</v>
      </c>
      <c r="AS309" s="765"/>
      <c r="AT309" s="769">
        <f t="shared" si="23"/>
        <v>0</v>
      </c>
      <c r="AU309" s="750"/>
      <c r="AV309" s="769">
        <f t="shared" si="24"/>
        <v>0</v>
      </c>
      <c r="AW309" s="752">
        <f t="shared" si="22"/>
        <v>0</v>
      </c>
      <c r="AY309" s="753"/>
    </row>
    <row r="310" spans="1:51" s="752" customFormat="1">
      <c r="A310" s="743">
        <f t="shared" si="25"/>
        <v>306</v>
      </c>
      <c r="B310" s="764"/>
      <c r="C310" s="757" t="s">
        <v>1670</v>
      </c>
      <c r="D310" s="746" t="s">
        <v>1731</v>
      </c>
      <c r="E310" s="747">
        <f t="shared" si="13"/>
        <v>190000</v>
      </c>
      <c r="F310" s="765">
        <v>0</v>
      </c>
      <c r="G310" s="765"/>
      <c r="H310" s="765">
        <v>0</v>
      </c>
      <c r="I310" s="765"/>
      <c r="J310" s="765">
        <v>0</v>
      </c>
      <c r="K310" s="765"/>
      <c r="L310" s="765">
        <v>0</v>
      </c>
      <c r="M310" s="765"/>
      <c r="N310" s="765">
        <v>0</v>
      </c>
      <c r="O310" s="765"/>
      <c r="P310" s="765">
        <v>50000</v>
      </c>
      <c r="Q310" s="765"/>
      <c r="R310" s="765">
        <v>50000</v>
      </c>
      <c r="S310" s="765"/>
      <c r="T310" s="765">
        <v>50000</v>
      </c>
      <c r="U310" s="765"/>
      <c r="V310" s="765">
        <v>0</v>
      </c>
      <c r="W310" s="765"/>
      <c r="X310" s="765">
        <v>0</v>
      </c>
      <c r="Y310" s="765"/>
      <c r="Z310" s="765">
        <v>0</v>
      </c>
      <c r="AA310" s="765"/>
      <c r="AB310" s="765">
        <v>0</v>
      </c>
      <c r="AC310" s="765"/>
      <c r="AD310" s="765">
        <v>0</v>
      </c>
      <c r="AE310" s="765"/>
      <c r="AF310" s="750">
        <v>0</v>
      </c>
      <c r="AG310" s="765"/>
      <c r="AH310" s="765"/>
      <c r="AI310" s="765"/>
      <c r="AJ310" s="765">
        <v>0</v>
      </c>
      <c r="AK310" s="765"/>
      <c r="AL310" s="765">
        <v>0</v>
      </c>
      <c r="AM310" s="765"/>
      <c r="AN310" s="766">
        <v>0</v>
      </c>
      <c r="AO310" s="751">
        <v>40000</v>
      </c>
      <c r="AP310" s="765">
        <v>0</v>
      </c>
      <c r="AQ310" s="765"/>
      <c r="AR310" s="765">
        <v>0</v>
      </c>
      <c r="AS310" s="765"/>
      <c r="AT310" s="769">
        <f t="shared" si="23"/>
        <v>40000</v>
      </c>
      <c r="AU310" s="750"/>
      <c r="AV310" s="771">
        <f t="shared" si="24"/>
        <v>40000</v>
      </c>
      <c r="AW310" s="752">
        <f t="shared" si="22"/>
        <v>0</v>
      </c>
      <c r="AY310" s="753"/>
    </row>
    <row r="311" spans="1:51" s="752" customFormat="1">
      <c r="A311" s="743">
        <f t="shared" si="25"/>
        <v>307</v>
      </c>
      <c r="B311" s="764"/>
      <c r="C311" s="757" t="s">
        <v>1671</v>
      </c>
      <c r="D311" s="746" t="s">
        <v>1732</v>
      </c>
      <c r="E311" s="747">
        <f t="shared" si="13"/>
        <v>810000</v>
      </c>
      <c r="F311" s="765">
        <v>0</v>
      </c>
      <c r="G311" s="765"/>
      <c r="H311" s="765">
        <v>0</v>
      </c>
      <c r="I311" s="765"/>
      <c r="J311" s="765">
        <v>0</v>
      </c>
      <c r="K311" s="765"/>
      <c r="L311" s="765">
        <v>0</v>
      </c>
      <c r="M311" s="765"/>
      <c r="N311" s="765">
        <v>0</v>
      </c>
      <c r="O311" s="765"/>
      <c r="P311" s="765">
        <v>50000</v>
      </c>
      <c r="Q311" s="765"/>
      <c r="R311" s="765">
        <v>50000</v>
      </c>
      <c r="S311" s="765"/>
      <c r="T311" s="765">
        <v>50000</v>
      </c>
      <c r="U311" s="765"/>
      <c r="V311" s="766">
        <v>0</v>
      </c>
      <c r="W311" s="751">
        <v>50000</v>
      </c>
      <c r="X311" s="766">
        <v>0</v>
      </c>
      <c r="Y311" s="751">
        <v>50000</v>
      </c>
      <c r="Z311" s="765">
        <v>50000</v>
      </c>
      <c r="AA311" s="765"/>
      <c r="AB311" s="765">
        <v>50000</v>
      </c>
      <c r="AC311" s="765"/>
      <c r="AD311" s="765">
        <v>150000</v>
      </c>
      <c r="AE311" s="765"/>
      <c r="AF311" s="750">
        <v>50000</v>
      </c>
      <c r="AG311" s="765"/>
      <c r="AH311" s="751">
        <v>0</v>
      </c>
      <c r="AI311" s="751">
        <v>50000</v>
      </c>
      <c r="AJ311" s="766">
        <v>0</v>
      </c>
      <c r="AK311" s="751">
        <v>50000</v>
      </c>
      <c r="AL311" s="765">
        <v>40000</v>
      </c>
      <c r="AM311" s="765"/>
      <c r="AN311" s="765">
        <v>40000</v>
      </c>
      <c r="AO311" s="765"/>
      <c r="AP311" s="765">
        <v>40000</v>
      </c>
      <c r="AQ311" s="765"/>
      <c r="AR311" s="765">
        <v>40000</v>
      </c>
      <c r="AS311" s="765"/>
      <c r="AT311" s="769">
        <f t="shared" si="23"/>
        <v>200000</v>
      </c>
      <c r="AU311" s="750"/>
      <c r="AV311" s="771">
        <f t="shared" si="24"/>
        <v>200000</v>
      </c>
      <c r="AW311" s="752">
        <f t="shared" si="22"/>
        <v>0</v>
      </c>
      <c r="AY311" s="753"/>
    </row>
    <row r="312" spans="1:51" s="752" customFormat="1" hidden="1">
      <c r="A312" s="743">
        <f t="shared" si="25"/>
        <v>308</v>
      </c>
      <c r="B312" s="764"/>
      <c r="C312" s="757" t="s">
        <v>1672</v>
      </c>
      <c r="D312" s="746" t="s">
        <v>1733</v>
      </c>
      <c r="E312" s="747">
        <f t="shared" si="13"/>
        <v>660000</v>
      </c>
      <c r="F312" s="765">
        <v>0</v>
      </c>
      <c r="G312" s="765"/>
      <c r="H312" s="765">
        <v>0</v>
      </c>
      <c r="I312" s="765"/>
      <c r="J312" s="765">
        <v>0</v>
      </c>
      <c r="K312" s="765"/>
      <c r="L312" s="765">
        <v>0</v>
      </c>
      <c r="M312" s="765"/>
      <c r="N312" s="765">
        <v>0</v>
      </c>
      <c r="O312" s="765"/>
      <c r="P312" s="765">
        <v>50000</v>
      </c>
      <c r="Q312" s="765"/>
      <c r="R312" s="765">
        <v>0</v>
      </c>
      <c r="S312" s="765"/>
      <c r="T312" s="765">
        <v>0</v>
      </c>
      <c r="U312" s="765"/>
      <c r="V312" s="766">
        <v>0</v>
      </c>
      <c r="W312" s="751">
        <v>50000</v>
      </c>
      <c r="X312" s="765">
        <v>50000</v>
      </c>
      <c r="Y312" s="765"/>
      <c r="Z312" s="765">
        <v>100000</v>
      </c>
      <c r="AA312" s="765"/>
      <c r="AB312" s="765">
        <v>50000</v>
      </c>
      <c r="AC312" s="765"/>
      <c r="AD312" s="765">
        <v>50000</v>
      </c>
      <c r="AE312" s="765"/>
      <c r="AF312" s="751">
        <v>0</v>
      </c>
      <c r="AG312" s="751">
        <v>50000</v>
      </c>
      <c r="AH312" s="751">
        <v>0</v>
      </c>
      <c r="AI312" s="751">
        <v>50000</v>
      </c>
      <c r="AJ312" s="766">
        <v>0</v>
      </c>
      <c r="AK312" s="751">
        <v>50000</v>
      </c>
      <c r="AL312" s="766">
        <v>0</v>
      </c>
      <c r="AM312" s="751">
        <v>40000</v>
      </c>
      <c r="AN312" s="766">
        <v>0</v>
      </c>
      <c r="AO312" s="751">
        <v>40000</v>
      </c>
      <c r="AP312" s="765">
        <v>40000</v>
      </c>
      <c r="AQ312" s="765"/>
      <c r="AR312" s="765">
        <v>40000</v>
      </c>
      <c r="AS312" s="765"/>
      <c r="AT312" s="769">
        <f t="shared" si="23"/>
        <v>280000</v>
      </c>
      <c r="AU312" s="750"/>
      <c r="AV312" s="769">
        <f t="shared" si="24"/>
        <v>0</v>
      </c>
      <c r="AW312" s="752">
        <f t="shared" si="22"/>
        <v>280000</v>
      </c>
      <c r="AY312" s="753"/>
    </row>
    <row r="313" spans="1:51" s="752" customFormat="1" hidden="1">
      <c r="A313" s="743">
        <f t="shared" si="25"/>
        <v>309</v>
      </c>
      <c r="B313" s="764"/>
      <c r="C313" s="757" t="s">
        <v>1673</v>
      </c>
      <c r="D313" s="746" t="s">
        <v>1734</v>
      </c>
      <c r="E313" s="747">
        <f t="shared" si="13"/>
        <v>250000</v>
      </c>
      <c r="F313" s="765">
        <v>0</v>
      </c>
      <c r="G313" s="765"/>
      <c r="H313" s="765">
        <v>0</v>
      </c>
      <c r="I313" s="765"/>
      <c r="J313" s="765">
        <v>0</v>
      </c>
      <c r="K313" s="765"/>
      <c r="L313" s="765">
        <v>0</v>
      </c>
      <c r="M313" s="765"/>
      <c r="N313" s="765">
        <v>0</v>
      </c>
      <c r="O313" s="765"/>
      <c r="P313" s="765">
        <v>100000</v>
      </c>
      <c r="Q313" s="765"/>
      <c r="R313" s="765">
        <v>100000</v>
      </c>
      <c r="S313" s="765"/>
      <c r="T313" s="765">
        <v>50000</v>
      </c>
      <c r="U313" s="765"/>
      <c r="V313" s="765">
        <v>0</v>
      </c>
      <c r="W313" s="765"/>
      <c r="X313" s="765">
        <v>0</v>
      </c>
      <c r="Y313" s="765"/>
      <c r="Z313" s="765">
        <v>0</v>
      </c>
      <c r="AA313" s="765"/>
      <c r="AB313" s="765">
        <v>0</v>
      </c>
      <c r="AC313" s="765"/>
      <c r="AD313" s="765">
        <v>0</v>
      </c>
      <c r="AE313" s="765"/>
      <c r="AF313" s="750">
        <v>0</v>
      </c>
      <c r="AG313" s="765"/>
      <c r="AH313" s="765"/>
      <c r="AI313" s="765"/>
      <c r="AJ313" s="765">
        <v>0</v>
      </c>
      <c r="AK313" s="765"/>
      <c r="AL313" s="765">
        <v>0</v>
      </c>
      <c r="AM313" s="765"/>
      <c r="AN313" s="765">
        <v>0</v>
      </c>
      <c r="AO313" s="765"/>
      <c r="AP313" s="765">
        <v>0</v>
      </c>
      <c r="AQ313" s="765"/>
      <c r="AR313" s="765">
        <v>0</v>
      </c>
      <c r="AS313" s="765"/>
      <c r="AT313" s="769">
        <f t="shared" si="23"/>
        <v>0</v>
      </c>
      <c r="AU313" s="750"/>
      <c r="AV313" s="769">
        <f t="shared" si="24"/>
        <v>0</v>
      </c>
      <c r="AW313" s="752">
        <f t="shared" si="22"/>
        <v>0</v>
      </c>
      <c r="AY313" s="753"/>
    </row>
    <row r="314" spans="1:51" s="752" customFormat="1">
      <c r="A314" s="743">
        <f t="shared" si="25"/>
        <v>310</v>
      </c>
      <c r="B314" s="764"/>
      <c r="C314" s="757" t="s">
        <v>1674</v>
      </c>
      <c r="D314" s="746" t="s">
        <v>1735</v>
      </c>
      <c r="E314" s="747">
        <f t="shared" si="13"/>
        <v>300000</v>
      </c>
      <c r="F314" s="765">
        <v>0</v>
      </c>
      <c r="G314" s="765"/>
      <c r="H314" s="765">
        <v>0</v>
      </c>
      <c r="I314" s="765"/>
      <c r="J314" s="765">
        <v>0</v>
      </c>
      <c r="K314" s="765"/>
      <c r="L314" s="765">
        <v>0</v>
      </c>
      <c r="M314" s="765"/>
      <c r="N314" s="766">
        <v>0</v>
      </c>
      <c r="O314" s="751">
        <v>50000</v>
      </c>
      <c r="P314" s="765">
        <v>50000</v>
      </c>
      <c r="Q314" s="765"/>
      <c r="R314" s="765">
        <v>50000</v>
      </c>
      <c r="S314" s="765"/>
      <c r="T314" s="765">
        <v>50000</v>
      </c>
      <c r="U314" s="765"/>
      <c r="V314" s="765">
        <v>0</v>
      </c>
      <c r="W314" s="765"/>
      <c r="X314" s="765">
        <v>0</v>
      </c>
      <c r="Y314" s="765"/>
      <c r="Z314" s="766">
        <v>0</v>
      </c>
      <c r="AA314" s="751">
        <v>50000</v>
      </c>
      <c r="AB314" s="766">
        <v>0</v>
      </c>
      <c r="AC314" s="751">
        <v>50000</v>
      </c>
      <c r="AD314" s="765">
        <v>0</v>
      </c>
      <c r="AE314" s="765"/>
      <c r="AF314" s="750">
        <v>0</v>
      </c>
      <c r="AG314" s="765"/>
      <c r="AH314" s="765"/>
      <c r="AI314" s="765"/>
      <c r="AJ314" s="765">
        <v>0</v>
      </c>
      <c r="AK314" s="765"/>
      <c r="AL314" s="765">
        <v>0</v>
      </c>
      <c r="AM314" s="765"/>
      <c r="AN314" s="765">
        <v>0</v>
      </c>
      <c r="AO314" s="765"/>
      <c r="AP314" s="765">
        <v>0</v>
      </c>
      <c r="AQ314" s="765"/>
      <c r="AR314" s="765">
        <v>0</v>
      </c>
      <c r="AS314" s="765"/>
      <c r="AT314" s="769">
        <f t="shared" si="23"/>
        <v>150000</v>
      </c>
      <c r="AU314" s="750"/>
      <c r="AV314" s="771">
        <f t="shared" si="24"/>
        <v>150000</v>
      </c>
      <c r="AW314" s="752">
        <f t="shared" si="22"/>
        <v>0</v>
      </c>
      <c r="AY314" s="753"/>
    </row>
    <row r="315" spans="1:51" s="752" customFormat="1">
      <c r="A315" s="743">
        <f t="shared" si="25"/>
        <v>311</v>
      </c>
      <c r="B315" s="764"/>
      <c r="C315" s="757" t="s">
        <v>1675</v>
      </c>
      <c r="D315" s="746" t="s">
        <v>1736</v>
      </c>
      <c r="E315" s="747">
        <f t="shared" si="13"/>
        <v>200000</v>
      </c>
      <c r="F315" s="765">
        <v>0</v>
      </c>
      <c r="G315" s="765"/>
      <c r="H315" s="765">
        <v>0</v>
      </c>
      <c r="I315" s="765"/>
      <c r="J315" s="765">
        <v>0</v>
      </c>
      <c r="K315" s="765"/>
      <c r="L315" s="765">
        <v>0</v>
      </c>
      <c r="M315" s="765"/>
      <c r="N315" s="766">
        <v>0</v>
      </c>
      <c r="O315" s="751">
        <v>50000</v>
      </c>
      <c r="P315" s="765">
        <v>50000</v>
      </c>
      <c r="Q315" s="765"/>
      <c r="R315" s="765">
        <v>50000</v>
      </c>
      <c r="S315" s="765"/>
      <c r="T315" s="765">
        <v>50000</v>
      </c>
      <c r="U315" s="765"/>
      <c r="V315" s="765">
        <v>0</v>
      </c>
      <c r="W315" s="765"/>
      <c r="X315" s="765">
        <v>0</v>
      </c>
      <c r="Y315" s="765"/>
      <c r="Z315" s="765">
        <v>0</v>
      </c>
      <c r="AA315" s="765"/>
      <c r="AB315" s="765">
        <v>0</v>
      </c>
      <c r="AC315" s="765"/>
      <c r="AD315" s="765">
        <v>0</v>
      </c>
      <c r="AE315" s="765"/>
      <c r="AF315" s="750">
        <v>0</v>
      </c>
      <c r="AG315" s="765"/>
      <c r="AH315" s="765"/>
      <c r="AI315" s="765"/>
      <c r="AJ315" s="765">
        <v>0</v>
      </c>
      <c r="AK315" s="765"/>
      <c r="AL315" s="765">
        <v>0</v>
      </c>
      <c r="AM315" s="765"/>
      <c r="AN315" s="765">
        <v>0</v>
      </c>
      <c r="AO315" s="765"/>
      <c r="AP315" s="765">
        <v>0</v>
      </c>
      <c r="AQ315" s="765"/>
      <c r="AR315" s="765">
        <v>0</v>
      </c>
      <c r="AS315" s="765"/>
      <c r="AT315" s="769">
        <f t="shared" si="23"/>
        <v>50000</v>
      </c>
      <c r="AU315" s="750"/>
      <c r="AV315" s="771">
        <f t="shared" si="24"/>
        <v>50000</v>
      </c>
      <c r="AW315" s="752">
        <f t="shared" si="22"/>
        <v>0</v>
      </c>
      <c r="AY315" s="753"/>
    </row>
    <row r="316" spans="1:51" s="752" customFormat="1">
      <c r="A316" s="743">
        <f t="shared" si="25"/>
        <v>312</v>
      </c>
      <c r="B316" s="764"/>
      <c r="C316" s="757" t="s">
        <v>1676</v>
      </c>
      <c r="D316" s="746" t="s">
        <v>1737</v>
      </c>
      <c r="E316" s="747">
        <f t="shared" si="13"/>
        <v>200000</v>
      </c>
      <c r="F316" s="765">
        <v>0</v>
      </c>
      <c r="G316" s="765"/>
      <c r="H316" s="765">
        <v>0</v>
      </c>
      <c r="I316" s="765"/>
      <c r="J316" s="765">
        <v>0</v>
      </c>
      <c r="K316" s="765"/>
      <c r="L316" s="765">
        <v>0</v>
      </c>
      <c r="M316" s="765"/>
      <c r="N316" s="766">
        <v>0</v>
      </c>
      <c r="O316" s="751">
        <v>50000</v>
      </c>
      <c r="P316" s="765">
        <v>50000</v>
      </c>
      <c r="Q316" s="765"/>
      <c r="R316" s="765">
        <v>50000</v>
      </c>
      <c r="S316" s="765"/>
      <c r="T316" s="765">
        <v>50000</v>
      </c>
      <c r="U316" s="765"/>
      <c r="V316" s="765">
        <v>0</v>
      </c>
      <c r="W316" s="765"/>
      <c r="X316" s="765">
        <v>0</v>
      </c>
      <c r="Y316" s="765"/>
      <c r="Z316" s="765">
        <v>0</v>
      </c>
      <c r="AA316" s="765"/>
      <c r="AB316" s="765">
        <v>0</v>
      </c>
      <c r="AC316" s="765"/>
      <c r="AD316" s="765">
        <v>0</v>
      </c>
      <c r="AE316" s="765"/>
      <c r="AF316" s="750">
        <v>0</v>
      </c>
      <c r="AG316" s="765"/>
      <c r="AH316" s="765"/>
      <c r="AI316" s="765"/>
      <c r="AJ316" s="765">
        <v>0</v>
      </c>
      <c r="AK316" s="765"/>
      <c r="AL316" s="765">
        <v>0</v>
      </c>
      <c r="AM316" s="765"/>
      <c r="AN316" s="765">
        <v>0</v>
      </c>
      <c r="AO316" s="765"/>
      <c r="AP316" s="765">
        <v>0</v>
      </c>
      <c r="AQ316" s="765"/>
      <c r="AR316" s="765">
        <v>0</v>
      </c>
      <c r="AS316" s="765"/>
      <c r="AT316" s="769">
        <f t="shared" si="23"/>
        <v>50000</v>
      </c>
      <c r="AU316" s="750"/>
      <c r="AV316" s="771">
        <f t="shared" si="24"/>
        <v>50000</v>
      </c>
      <c r="AW316" s="752">
        <f t="shared" si="22"/>
        <v>0</v>
      </c>
      <c r="AY316" s="753"/>
    </row>
    <row r="317" spans="1:51" s="752" customFormat="1" hidden="1">
      <c r="A317" s="743">
        <f t="shared" si="25"/>
        <v>313</v>
      </c>
      <c r="B317" s="764"/>
      <c r="C317" s="757" t="s">
        <v>1677</v>
      </c>
      <c r="D317" s="746" t="s">
        <v>1738</v>
      </c>
      <c r="E317" s="747">
        <f t="shared" si="13"/>
        <v>150000</v>
      </c>
      <c r="F317" s="765">
        <v>0</v>
      </c>
      <c r="G317" s="765"/>
      <c r="H317" s="765">
        <v>0</v>
      </c>
      <c r="I317" s="765"/>
      <c r="J317" s="765">
        <v>0</v>
      </c>
      <c r="K317" s="765"/>
      <c r="L317" s="765">
        <v>0</v>
      </c>
      <c r="M317" s="765"/>
      <c r="N317" s="765">
        <v>0</v>
      </c>
      <c r="O317" s="765"/>
      <c r="P317" s="765">
        <v>50000</v>
      </c>
      <c r="Q317" s="765"/>
      <c r="R317" s="765">
        <v>50000</v>
      </c>
      <c r="S317" s="765"/>
      <c r="T317" s="765">
        <v>50000</v>
      </c>
      <c r="U317" s="765"/>
      <c r="V317" s="765">
        <v>0</v>
      </c>
      <c r="W317" s="765"/>
      <c r="X317" s="765">
        <v>0</v>
      </c>
      <c r="Y317" s="765"/>
      <c r="Z317" s="765">
        <v>0</v>
      </c>
      <c r="AA317" s="765"/>
      <c r="AB317" s="765">
        <v>0</v>
      </c>
      <c r="AC317" s="765"/>
      <c r="AD317" s="765">
        <v>0</v>
      </c>
      <c r="AE317" s="765"/>
      <c r="AF317" s="750">
        <v>0</v>
      </c>
      <c r="AG317" s="765"/>
      <c r="AH317" s="765"/>
      <c r="AI317" s="765"/>
      <c r="AJ317" s="765">
        <v>0</v>
      </c>
      <c r="AK317" s="765"/>
      <c r="AL317" s="765">
        <v>0</v>
      </c>
      <c r="AM317" s="765"/>
      <c r="AN317" s="765">
        <v>0</v>
      </c>
      <c r="AO317" s="765"/>
      <c r="AP317" s="765">
        <v>0</v>
      </c>
      <c r="AQ317" s="765"/>
      <c r="AR317" s="765">
        <v>0</v>
      </c>
      <c r="AS317" s="765"/>
      <c r="AT317" s="769">
        <f t="shared" si="23"/>
        <v>0</v>
      </c>
      <c r="AU317" s="750"/>
      <c r="AV317" s="769">
        <f t="shared" si="24"/>
        <v>0</v>
      </c>
      <c r="AW317" s="752">
        <f t="shared" si="22"/>
        <v>0</v>
      </c>
      <c r="AY317" s="753"/>
    </row>
    <row r="318" spans="1:51" s="752" customFormat="1" hidden="1">
      <c r="A318" s="743">
        <f t="shared" si="25"/>
        <v>314</v>
      </c>
      <c r="B318" s="764"/>
      <c r="C318" s="757" t="s">
        <v>1678</v>
      </c>
      <c r="D318" s="746" t="s">
        <v>1739</v>
      </c>
      <c r="E318" s="747">
        <f t="shared" si="13"/>
        <v>150000</v>
      </c>
      <c r="F318" s="765">
        <v>0</v>
      </c>
      <c r="G318" s="765"/>
      <c r="H318" s="765">
        <v>0</v>
      </c>
      <c r="I318" s="765"/>
      <c r="J318" s="765">
        <v>0</v>
      </c>
      <c r="K318" s="765"/>
      <c r="L318" s="765">
        <v>0</v>
      </c>
      <c r="M318" s="765"/>
      <c r="N318" s="765">
        <v>0</v>
      </c>
      <c r="O318" s="765"/>
      <c r="P318" s="765">
        <v>50000</v>
      </c>
      <c r="Q318" s="765"/>
      <c r="R318" s="765">
        <v>50000</v>
      </c>
      <c r="S318" s="765"/>
      <c r="T318" s="765">
        <v>50000</v>
      </c>
      <c r="U318" s="765"/>
      <c r="V318" s="765">
        <v>0</v>
      </c>
      <c r="W318" s="765"/>
      <c r="X318" s="765">
        <v>0</v>
      </c>
      <c r="Y318" s="765"/>
      <c r="Z318" s="765">
        <v>0</v>
      </c>
      <c r="AA318" s="765"/>
      <c r="AB318" s="765">
        <v>0</v>
      </c>
      <c r="AC318" s="765"/>
      <c r="AD318" s="765">
        <v>0</v>
      </c>
      <c r="AE318" s="765"/>
      <c r="AF318" s="750">
        <v>0</v>
      </c>
      <c r="AG318" s="765"/>
      <c r="AH318" s="765"/>
      <c r="AI318" s="765"/>
      <c r="AJ318" s="765">
        <v>0</v>
      </c>
      <c r="AK318" s="765"/>
      <c r="AL318" s="765">
        <v>0</v>
      </c>
      <c r="AM318" s="765"/>
      <c r="AN318" s="765">
        <v>0</v>
      </c>
      <c r="AO318" s="765"/>
      <c r="AP318" s="765">
        <v>0</v>
      </c>
      <c r="AQ318" s="765"/>
      <c r="AR318" s="765">
        <v>0</v>
      </c>
      <c r="AS318" s="765"/>
      <c r="AT318" s="769">
        <f t="shared" si="23"/>
        <v>0</v>
      </c>
      <c r="AU318" s="750"/>
      <c r="AV318" s="769">
        <f t="shared" si="24"/>
        <v>0</v>
      </c>
      <c r="AW318" s="752">
        <f t="shared" si="22"/>
        <v>0</v>
      </c>
      <c r="AY318" s="753"/>
    </row>
    <row r="319" spans="1:51" s="752" customFormat="1" hidden="1">
      <c r="A319" s="743">
        <f t="shared" si="25"/>
        <v>315</v>
      </c>
      <c r="B319" s="764"/>
      <c r="C319" s="757" t="s">
        <v>1679</v>
      </c>
      <c r="D319" s="746" t="s">
        <v>1740</v>
      </c>
      <c r="E319" s="747">
        <f t="shared" si="13"/>
        <v>150000</v>
      </c>
      <c r="F319" s="765">
        <v>0</v>
      </c>
      <c r="G319" s="765"/>
      <c r="H319" s="765">
        <v>0</v>
      </c>
      <c r="I319" s="765"/>
      <c r="J319" s="765">
        <v>0</v>
      </c>
      <c r="K319" s="765"/>
      <c r="L319" s="765">
        <v>0</v>
      </c>
      <c r="M319" s="765"/>
      <c r="N319" s="765">
        <v>0</v>
      </c>
      <c r="O319" s="765"/>
      <c r="P319" s="765">
        <v>50000</v>
      </c>
      <c r="Q319" s="765"/>
      <c r="R319" s="765">
        <v>50000</v>
      </c>
      <c r="S319" s="765"/>
      <c r="T319" s="765">
        <v>50000</v>
      </c>
      <c r="U319" s="765"/>
      <c r="V319" s="765">
        <v>0</v>
      </c>
      <c r="W319" s="765"/>
      <c r="X319" s="765">
        <v>0</v>
      </c>
      <c r="Y319" s="765"/>
      <c r="Z319" s="765">
        <v>0</v>
      </c>
      <c r="AA319" s="765"/>
      <c r="AB319" s="765">
        <v>0</v>
      </c>
      <c r="AC319" s="765"/>
      <c r="AD319" s="765">
        <v>0</v>
      </c>
      <c r="AE319" s="765"/>
      <c r="AF319" s="750">
        <v>0</v>
      </c>
      <c r="AG319" s="765"/>
      <c r="AH319" s="765"/>
      <c r="AI319" s="765"/>
      <c r="AJ319" s="765">
        <v>0</v>
      </c>
      <c r="AK319" s="765"/>
      <c r="AL319" s="765">
        <v>0</v>
      </c>
      <c r="AM319" s="765"/>
      <c r="AN319" s="765">
        <v>0</v>
      </c>
      <c r="AO319" s="765"/>
      <c r="AP319" s="765">
        <v>0</v>
      </c>
      <c r="AQ319" s="765"/>
      <c r="AR319" s="765">
        <v>0</v>
      </c>
      <c r="AS319" s="765"/>
      <c r="AT319" s="769">
        <f t="shared" si="23"/>
        <v>0</v>
      </c>
      <c r="AU319" s="750"/>
      <c r="AV319" s="769">
        <f t="shared" si="24"/>
        <v>0</v>
      </c>
      <c r="AW319" s="752">
        <f t="shared" si="22"/>
        <v>0</v>
      </c>
      <c r="AY319" s="753"/>
    </row>
    <row r="320" spans="1:51" s="752" customFormat="1" hidden="1">
      <c r="A320" s="743">
        <f t="shared" si="25"/>
        <v>316</v>
      </c>
      <c r="B320" s="764"/>
      <c r="C320" s="757" t="s">
        <v>1680</v>
      </c>
      <c r="D320" s="746" t="s">
        <v>1741</v>
      </c>
      <c r="E320" s="747">
        <f t="shared" si="13"/>
        <v>150000</v>
      </c>
      <c r="F320" s="765">
        <v>0</v>
      </c>
      <c r="G320" s="765"/>
      <c r="H320" s="765">
        <v>0</v>
      </c>
      <c r="I320" s="765"/>
      <c r="J320" s="765">
        <v>0</v>
      </c>
      <c r="K320" s="765"/>
      <c r="L320" s="765">
        <v>0</v>
      </c>
      <c r="M320" s="765"/>
      <c r="N320" s="765">
        <v>0</v>
      </c>
      <c r="O320" s="765"/>
      <c r="P320" s="765">
        <v>50000</v>
      </c>
      <c r="Q320" s="765"/>
      <c r="R320" s="765">
        <v>50000</v>
      </c>
      <c r="S320" s="765"/>
      <c r="T320" s="765">
        <v>50000</v>
      </c>
      <c r="U320" s="765"/>
      <c r="V320" s="765">
        <v>0</v>
      </c>
      <c r="W320" s="765"/>
      <c r="X320" s="765">
        <v>0</v>
      </c>
      <c r="Y320" s="765"/>
      <c r="Z320" s="765">
        <v>0</v>
      </c>
      <c r="AA320" s="765"/>
      <c r="AB320" s="765">
        <v>0</v>
      </c>
      <c r="AC320" s="765"/>
      <c r="AD320" s="765">
        <v>0</v>
      </c>
      <c r="AE320" s="765"/>
      <c r="AF320" s="750">
        <v>0</v>
      </c>
      <c r="AG320" s="765"/>
      <c r="AH320" s="765"/>
      <c r="AI320" s="765"/>
      <c r="AJ320" s="765">
        <v>0</v>
      </c>
      <c r="AK320" s="765"/>
      <c r="AL320" s="765">
        <v>0</v>
      </c>
      <c r="AM320" s="765"/>
      <c r="AN320" s="765">
        <v>0</v>
      </c>
      <c r="AO320" s="765"/>
      <c r="AP320" s="765">
        <v>0</v>
      </c>
      <c r="AQ320" s="765"/>
      <c r="AR320" s="765">
        <v>0</v>
      </c>
      <c r="AS320" s="765"/>
      <c r="AT320" s="769">
        <f t="shared" si="23"/>
        <v>0</v>
      </c>
      <c r="AU320" s="750"/>
      <c r="AV320" s="769">
        <f t="shared" si="24"/>
        <v>0</v>
      </c>
      <c r="AW320" s="752">
        <f t="shared" si="22"/>
        <v>0</v>
      </c>
      <c r="AY320" s="753"/>
    </row>
    <row r="321" spans="1:51" s="752" customFormat="1" hidden="1">
      <c r="A321" s="743">
        <f t="shared" si="25"/>
        <v>317</v>
      </c>
      <c r="B321" s="764"/>
      <c r="C321" s="757" t="s">
        <v>1681</v>
      </c>
      <c r="D321" s="746" t="s">
        <v>1742</v>
      </c>
      <c r="E321" s="747">
        <f t="shared" si="13"/>
        <v>150000</v>
      </c>
      <c r="F321" s="765">
        <v>0</v>
      </c>
      <c r="G321" s="765"/>
      <c r="H321" s="765">
        <v>0</v>
      </c>
      <c r="I321" s="765"/>
      <c r="J321" s="765">
        <v>0</v>
      </c>
      <c r="K321" s="765"/>
      <c r="L321" s="765">
        <v>0</v>
      </c>
      <c r="M321" s="765"/>
      <c r="N321" s="765">
        <v>0</v>
      </c>
      <c r="O321" s="765"/>
      <c r="P321" s="765">
        <v>50000</v>
      </c>
      <c r="Q321" s="765"/>
      <c r="R321" s="765">
        <v>50000</v>
      </c>
      <c r="S321" s="765"/>
      <c r="T321" s="765">
        <v>50000</v>
      </c>
      <c r="U321" s="765"/>
      <c r="V321" s="765">
        <v>0</v>
      </c>
      <c r="W321" s="765"/>
      <c r="X321" s="765">
        <v>0</v>
      </c>
      <c r="Y321" s="765"/>
      <c r="Z321" s="765">
        <v>0</v>
      </c>
      <c r="AA321" s="765"/>
      <c r="AB321" s="765">
        <v>0</v>
      </c>
      <c r="AC321" s="765"/>
      <c r="AD321" s="765">
        <v>0</v>
      </c>
      <c r="AE321" s="765"/>
      <c r="AF321" s="750">
        <v>0</v>
      </c>
      <c r="AG321" s="765"/>
      <c r="AH321" s="765"/>
      <c r="AI321" s="765"/>
      <c r="AJ321" s="765">
        <v>0</v>
      </c>
      <c r="AK321" s="765"/>
      <c r="AL321" s="765">
        <v>0</v>
      </c>
      <c r="AM321" s="765"/>
      <c r="AN321" s="765">
        <v>0</v>
      </c>
      <c r="AO321" s="765"/>
      <c r="AP321" s="765">
        <v>0</v>
      </c>
      <c r="AQ321" s="765"/>
      <c r="AR321" s="765">
        <v>0</v>
      </c>
      <c r="AS321" s="765"/>
      <c r="AT321" s="769">
        <f t="shared" si="23"/>
        <v>0</v>
      </c>
      <c r="AU321" s="750"/>
      <c r="AV321" s="769">
        <f t="shared" si="24"/>
        <v>0</v>
      </c>
      <c r="AW321" s="752">
        <f t="shared" si="22"/>
        <v>0</v>
      </c>
      <c r="AY321" s="753"/>
    </row>
    <row r="322" spans="1:51" s="752" customFormat="1" hidden="1">
      <c r="A322" s="743">
        <f t="shared" si="25"/>
        <v>318</v>
      </c>
      <c r="B322" s="764"/>
      <c r="C322" s="757" t="s">
        <v>1682</v>
      </c>
      <c r="D322" s="746" t="s">
        <v>1743</v>
      </c>
      <c r="E322" s="747">
        <f t="shared" si="13"/>
        <v>760000</v>
      </c>
      <c r="F322" s="765">
        <v>0</v>
      </c>
      <c r="G322" s="765"/>
      <c r="H322" s="765">
        <v>0</v>
      </c>
      <c r="I322" s="765"/>
      <c r="J322" s="765">
        <v>0</v>
      </c>
      <c r="K322" s="765"/>
      <c r="L322" s="765">
        <v>0</v>
      </c>
      <c r="M322" s="765"/>
      <c r="N322" s="766">
        <v>0</v>
      </c>
      <c r="O322" s="751">
        <v>50000</v>
      </c>
      <c r="P322" s="765">
        <v>50000</v>
      </c>
      <c r="Q322" s="765"/>
      <c r="R322" s="765">
        <v>50000</v>
      </c>
      <c r="S322" s="765"/>
      <c r="T322" s="765">
        <v>50000</v>
      </c>
      <c r="U322" s="765"/>
      <c r="V322" s="765">
        <v>50000</v>
      </c>
      <c r="W322" s="765"/>
      <c r="X322" s="765">
        <v>50000</v>
      </c>
      <c r="Y322" s="765"/>
      <c r="Z322" s="765">
        <v>50000</v>
      </c>
      <c r="AA322" s="765"/>
      <c r="AB322" s="765">
        <v>50000</v>
      </c>
      <c r="AC322" s="765"/>
      <c r="AD322" s="765">
        <v>100000</v>
      </c>
      <c r="AE322" s="765"/>
      <c r="AF322" s="750">
        <v>50000</v>
      </c>
      <c r="AG322" s="765"/>
      <c r="AH322" s="751">
        <v>0</v>
      </c>
      <c r="AI322" s="765"/>
      <c r="AJ322" s="766">
        <v>0</v>
      </c>
      <c r="AK322" s="751">
        <v>50000</v>
      </c>
      <c r="AL322" s="765">
        <v>40000</v>
      </c>
      <c r="AM322" s="765"/>
      <c r="AN322" s="765">
        <v>40000</v>
      </c>
      <c r="AO322" s="765"/>
      <c r="AP322" s="765">
        <v>40000</v>
      </c>
      <c r="AQ322" s="765"/>
      <c r="AR322" s="765">
        <v>40000</v>
      </c>
      <c r="AS322" s="765"/>
      <c r="AT322" s="769">
        <f t="shared" si="23"/>
        <v>100000</v>
      </c>
      <c r="AU322" s="750"/>
      <c r="AV322" s="769">
        <f t="shared" si="24"/>
        <v>0</v>
      </c>
      <c r="AW322" s="752">
        <f t="shared" si="22"/>
        <v>100000</v>
      </c>
      <c r="AY322" s="753"/>
    </row>
    <row r="323" spans="1:51" s="752" customFormat="1">
      <c r="A323" s="743">
        <f t="shared" si="25"/>
        <v>319</v>
      </c>
      <c r="B323" s="764"/>
      <c r="C323" s="757" t="s">
        <v>1683</v>
      </c>
      <c r="D323" s="746" t="s">
        <v>1744</v>
      </c>
      <c r="E323" s="747">
        <f t="shared" si="13"/>
        <v>720000</v>
      </c>
      <c r="F323" s="765">
        <v>0</v>
      </c>
      <c r="G323" s="765"/>
      <c r="H323" s="765">
        <v>0</v>
      </c>
      <c r="I323" s="765"/>
      <c r="J323" s="765">
        <v>0</v>
      </c>
      <c r="K323" s="765"/>
      <c r="L323" s="765">
        <v>0</v>
      </c>
      <c r="M323" s="765"/>
      <c r="N323" s="766">
        <v>0</v>
      </c>
      <c r="O323" s="751">
        <v>50000</v>
      </c>
      <c r="P323" s="765">
        <v>50000</v>
      </c>
      <c r="Q323" s="765"/>
      <c r="R323" s="765">
        <v>50000</v>
      </c>
      <c r="S323" s="765"/>
      <c r="T323" s="765">
        <v>50000</v>
      </c>
      <c r="U323" s="765"/>
      <c r="V323" s="765">
        <v>50000</v>
      </c>
      <c r="W323" s="765"/>
      <c r="X323" s="765">
        <v>50000</v>
      </c>
      <c r="Y323" s="765"/>
      <c r="Z323" s="765">
        <v>50000</v>
      </c>
      <c r="AA323" s="765"/>
      <c r="AB323" s="765">
        <v>50000</v>
      </c>
      <c r="AC323" s="765"/>
      <c r="AD323" s="766">
        <v>0</v>
      </c>
      <c r="AE323" s="751">
        <v>50000</v>
      </c>
      <c r="AF323" s="751">
        <v>0</v>
      </c>
      <c r="AG323" s="751">
        <v>50000</v>
      </c>
      <c r="AH323" s="751">
        <v>0</v>
      </c>
      <c r="AI323" s="751">
        <v>50000</v>
      </c>
      <c r="AJ323" s="766">
        <v>0</v>
      </c>
      <c r="AK323" s="751">
        <v>50000</v>
      </c>
      <c r="AL323" s="766">
        <v>0</v>
      </c>
      <c r="AM323" s="751">
        <v>40000</v>
      </c>
      <c r="AN323" s="766">
        <v>0</v>
      </c>
      <c r="AO323" s="751">
        <v>40000</v>
      </c>
      <c r="AP323" s="766">
        <v>0</v>
      </c>
      <c r="AQ323" s="751">
        <v>40000</v>
      </c>
      <c r="AR323" s="766">
        <v>0</v>
      </c>
      <c r="AS323" s="751">
        <v>40000</v>
      </c>
      <c r="AT323" s="769">
        <f t="shared" si="23"/>
        <v>410000</v>
      </c>
      <c r="AU323" s="750"/>
      <c r="AV323" s="771">
        <f t="shared" si="24"/>
        <v>410000</v>
      </c>
      <c r="AW323" s="752">
        <f t="shared" si="22"/>
        <v>0</v>
      </c>
      <c r="AY323" s="753"/>
    </row>
    <row r="324" spans="1:51" s="752" customFormat="1">
      <c r="A324" s="743">
        <f t="shared" si="25"/>
        <v>320</v>
      </c>
      <c r="B324" s="764"/>
      <c r="C324" s="757" t="s">
        <v>1684</v>
      </c>
      <c r="D324" s="746" t="s">
        <v>1745</v>
      </c>
      <c r="E324" s="747">
        <f t="shared" si="13"/>
        <v>350000</v>
      </c>
      <c r="F324" s="765">
        <v>0</v>
      </c>
      <c r="G324" s="765"/>
      <c r="H324" s="765">
        <v>0</v>
      </c>
      <c r="I324" s="765"/>
      <c r="J324" s="765">
        <v>0</v>
      </c>
      <c r="K324" s="765"/>
      <c r="L324" s="765">
        <v>0</v>
      </c>
      <c r="M324" s="765"/>
      <c r="N324" s="766">
        <v>0</v>
      </c>
      <c r="O324" s="751">
        <v>50000</v>
      </c>
      <c r="P324" s="765">
        <v>50000</v>
      </c>
      <c r="Q324" s="765"/>
      <c r="R324" s="765">
        <v>50000</v>
      </c>
      <c r="S324" s="765"/>
      <c r="T324" s="765">
        <v>50000</v>
      </c>
      <c r="U324" s="765"/>
      <c r="V324" s="765">
        <v>50000</v>
      </c>
      <c r="W324" s="765"/>
      <c r="X324" s="766">
        <v>0</v>
      </c>
      <c r="Y324" s="751">
        <v>50000</v>
      </c>
      <c r="Z324" s="765">
        <v>50000</v>
      </c>
      <c r="AA324" s="765"/>
      <c r="AB324" s="765">
        <v>0</v>
      </c>
      <c r="AC324" s="765"/>
      <c r="AD324" s="765">
        <v>0</v>
      </c>
      <c r="AE324" s="765"/>
      <c r="AF324" s="750">
        <v>0</v>
      </c>
      <c r="AG324" s="765"/>
      <c r="AH324" s="765"/>
      <c r="AI324" s="765"/>
      <c r="AJ324" s="765">
        <v>0</v>
      </c>
      <c r="AK324" s="765"/>
      <c r="AL324" s="765">
        <v>0</v>
      </c>
      <c r="AM324" s="765"/>
      <c r="AN324" s="765">
        <v>0</v>
      </c>
      <c r="AO324" s="765"/>
      <c r="AP324" s="765">
        <v>0</v>
      </c>
      <c r="AQ324" s="765"/>
      <c r="AR324" s="765">
        <v>0</v>
      </c>
      <c r="AS324" s="765"/>
      <c r="AT324" s="769">
        <f t="shared" si="23"/>
        <v>100000</v>
      </c>
      <c r="AU324" s="750"/>
      <c r="AV324" s="771">
        <f t="shared" si="24"/>
        <v>100000</v>
      </c>
      <c r="AW324" s="752">
        <f t="shared" si="22"/>
        <v>0</v>
      </c>
      <c r="AY324" s="753"/>
    </row>
    <row r="325" spans="1:51" s="725" customFormat="1">
      <c r="A325" s="738">
        <f t="shared" si="25"/>
        <v>321</v>
      </c>
      <c r="B325" s="724"/>
      <c r="C325" s="758" t="s">
        <v>1685</v>
      </c>
      <c r="D325" s="731" t="s">
        <v>1746</v>
      </c>
      <c r="E325" s="727">
        <f t="shared" si="13"/>
        <v>550000</v>
      </c>
      <c r="F325" s="728">
        <v>0</v>
      </c>
      <c r="G325" s="728"/>
      <c r="H325" s="728">
        <v>0</v>
      </c>
      <c r="I325" s="728"/>
      <c r="J325" s="728">
        <v>0</v>
      </c>
      <c r="K325" s="728"/>
      <c r="L325" s="728">
        <v>0</v>
      </c>
      <c r="M325" s="728"/>
      <c r="N325" s="763">
        <v>0</v>
      </c>
      <c r="O325" s="741">
        <v>50000</v>
      </c>
      <c r="P325" s="728">
        <v>50000</v>
      </c>
      <c r="Q325" s="728"/>
      <c r="R325" s="728">
        <v>50000</v>
      </c>
      <c r="S325" s="728"/>
      <c r="T325" s="728">
        <v>50000</v>
      </c>
      <c r="U325" s="728"/>
      <c r="V325" s="763">
        <v>0</v>
      </c>
      <c r="W325" s="741">
        <v>50000</v>
      </c>
      <c r="X325" s="763">
        <v>0</v>
      </c>
      <c r="Y325" s="741">
        <v>50000</v>
      </c>
      <c r="Z325" s="728">
        <v>150000</v>
      </c>
      <c r="AA325" s="728"/>
      <c r="AB325" s="728">
        <v>50000</v>
      </c>
      <c r="AC325" s="728"/>
      <c r="AD325" s="763">
        <v>0</v>
      </c>
      <c r="AE325" s="741">
        <v>50000</v>
      </c>
      <c r="AF325" s="729">
        <v>0</v>
      </c>
      <c r="AG325" s="728"/>
      <c r="AH325" s="728"/>
      <c r="AI325" s="728"/>
      <c r="AJ325" s="728">
        <v>0</v>
      </c>
      <c r="AK325" s="728"/>
      <c r="AL325" s="728">
        <v>0</v>
      </c>
      <c r="AM325" s="728"/>
      <c r="AN325" s="728">
        <v>0</v>
      </c>
      <c r="AO325" s="728"/>
      <c r="AP325" s="728">
        <v>0</v>
      </c>
      <c r="AQ325" s="728"/>
      <c r="AR325" s="728">
        <v>0</v>
      </c>
      <c r="AS325" s="728"/>
      <c r="AT325" s="769">
        <f t="shared" si="23"/>
        <v>200000</v>
      </c>
      <c r="AU325" s="729"/>
      <c r="AV325" s="771">
        <f t="shared" si="24"/>
        <v>200000</v>
      </c>
      <c r="AW325" s="725">
        <f t="shared" ref="AW325:AW388" si="26">SUMIF(AX:AX,C325,AY:AY)</f>
        <v>0</v>
      </c>
      <c r="AY325" s="742"/>
    </row>
    <row r="326" spans="1:51" s="725" customFormat="1" hidden="1">
      <c r="A326" s="738">
        <f t="shared" si="25"/>
        <v>322</v>
      </c>
      <c r="B326" s="724"/>
      <c r="C326" s="758" t="s">
        <v>1686</v>
      </c>
      <c r="D326" s="731" t="s">
        <v>1747</v>
      </c>
      <c r="E326" s="727">
        <f t="shared" si="13"/>
        <v>150000</v>
      </c>
      <c r="F326" s="728">
        <v>0</v>
      </c>
      <c r="G326" s="728"/>
      <c r="H326" s="728">
        <v>0</v>
      </c>
      <c r="I326" s="728"/>
      <c r="J326" s="728">
        <v>0</v>
      </c>
      <c r="K326" s="728"/>
      <c r="L326" s="728">
        <v>0</v>
      </c>
      <c r="M326" s="728"/>
      <c r="N326" s="728">
        <v>0</v>
      </c>
      <c r="O326" s="728"/>
      <c r="P326" s="728">
        <v>50000</v>
      </c>
      <c r="Q326" s="728"/>
      <c r="R326" s="728">
        <v>50000</v>
      </c>
      <c r="S326" s="728"/>
      <c r="T326" s="728">
        <v>50000</v>
      </c>
      <c r="U326" s="728"/>
      <c r="V326" s="728">
        <v>0</v>
      </c>
      <c r="W326" s="728"/>
      <c r="X326" s="728">
        <v>0</v>
      </c>
      <c r="Y326" s="728"/>
      <c r="Z326" s="728">
        <v>0</v>
      </c>
      <c r="AA326" s="728"/>
      <c r="AB326" s="728">
        <v>0</v>
      </c>
      <c r="AC326" s="728"/>
      <c r="AD326" s="728">
        <v>0</v>
      </c>
      <c r="AE326" s="728"/>
      <c r="AF326" s="729">
        <v>0</v>
      </c>
      <c r="AG326" s="728"/>
      <c r="AH326" s="728"/>
      <c r="AI326" s="728"/>
      <c r="AJ326" s="728">
        <v>0</v>
      </c>
      <c r="AK326" s="728"/>
      <c r="AL326" s="728">
        <v>0</v>
      </c>
      <c r="AM326" s="728"/>
      <c r="AN326" s="728">
        <v>0</v>
      </c>
      <c r="AO326" s="728"/>
      <c r="AP326" s="728">
        <v>0</v>
      </c>
      <c r="AQ326" s="728"/>
      <c r="AR326" s="728">
        <v>0</v>
      </c>
      <c r="AS326" s="728"/>
      <c r="AT326" s="769">
        <f t="shared" ref="AT326:AT389" si="27">+AS326+AQ326+AO326+AM326+AK326+AI326+AG326+AE326+AC326+AA326+Y326+W326+U326+S326+Q326+O326+M326+K326+I326+G326</f>
        <v>0</v>
      </c>
      <c r="AU326" s="729"/>
      <c r="AV326" s="769">
        <f t="shared" ref="AV326:AV389" si="28">+AT326-AW326</f>
        <v>0</v>
      </c>
      <c r="AW326" s="725">
        <f t="shared" si="26"/>
        <v>0</v>
      </c>
      <c r="AY326" s="742"/>
    </row>
    <row r="327" spans="1:51" s="725" customFormat="1" hidden="1">
      <c r="A327" s="738">
        <f t="shared" ref="A327:A390" si="29">+A326+1</f>
        <v>323</v>
      </c>
      <c r="B327" s="724"/>
      <c r="C327" s="758" t="s">
        <v>1687</v>
      </c>
      <c r="D327" s="731" t="s">
        <v>1748</v>
      </c>
      <c r="E327" s="727">
        <f t="shared" si="13"/>
        <v>150000</v>
      </c>
      <c r="F327" s="728">
        <v>0</v>
      </c>
      <c r="G327" s="728"/>
      <c r="H327" s="728">
        <v>0</v>
      </c>
      <c r="I327" s="728"/>
      <c r="J327" s="728">
        <v>0</v>
      </c>
      <c r="K327" s="728"/>
      <c r="L327" s="728">
        <v>0</v>
      </c>
      <c r="M327" s="728"/>
      <c r="N327" s="728">
        <v>0</v>
      </c>
      <c r="O327" s="728"/>
      <c r="P327" s="728">
        <v>50000</v>
      </c>
      <c r="Q327" s="728"/>
      <c r="R327" s="728">
        <v>50000</v>
      </c>
      <c r="S327" s="728"/>
      <c r="T327" s="728">
        <v>50000</v>
      </c>
      <c r="U327" s="728"/>
      <c r="V327" s="728">
        <v>0</v>
      </c>
      <c r="W327" s="728"/>
      <c r="X327" s="728">
        <v>0</v>
      </c>
      <c r="Y327" s="728"/>
      <c r="Z327" s="728">
        <v>0</v>
      </c>
      <c r="AA327" s="728"/>
      <c r="AB327" s="728">
        <v>0</v>
      </c>
      <c r="AC327" s="728"/>
      <c r="AD327" s="728">
        <v>0</v>
      </c>
      <c r="AE327" s="728"/>
      <c r="AF327" s="729">
        <v>0</v>
      </c>
      <c r="AG327" s="728"/>
      <c r="AH327" s="728"/>
      <c r="AI327" s="728"/>
      <c r="AJ327" s="728">
        <v>0</v>
      </c>
      <c r="AK327" s="728"/>
      <c r="AL327" s="728">
        <v>0</v>
      </c>
      <c r="AM327" s="728"/>
      <c r="AN327" s="728">
        <v>0</v>
      </c>
      <c r="AO327" s="728"/>
      <c r="AP327" s="728">
        <v>0</v>
      </c>
      <c r="AQ327" s="728"/>
      <c r="AR327" s="728">
        <v>0</v>
      </c>
      <c r="AS327" s="728"/>
      <c r="AT327" s="769">
        <f t="shared" si="27"/>
        <v>0</v>
      </c>
      <c r="AU327" s="729"/>
      <c r="AV327" s="769">
        <f t="shared" si="28"/>
        <v>0</v>
      </c>
      <c r="AW327" s="725">
        <f t="shared" si="26"/>
        <v>0</v>
      </c>
      <c r="AY327" s="742"/>
    </row>
    <row r="328" spans="1:51" s="725" customFormat="1">
      <c r="A328" s="738">
        <f t="shared" si="29"/>
        <v>324</v>
      </c>
      <c r="B328" s="724"/>
      <c r="C328" s="758" t="s">
        <v>1688</v>
      </c>
      <c r="D328" s="731" t="s">
        <v>1749</v>
      </c>
      <c r="E328" s="727">
        <f t="shared" si="13"/>
        <v>200000</v>
      </c>
      <c r="F328" s="728">
        <v>0</v>
      </c>
      <c r="G328" s="728"/>
      <c r="H328" s="728">
        <v>0</v>
      </c>
      <c r="I328" s="728"/>
      <c r="J328" s="728">
        <v>0</v>
      </c>
      <c r="K328" s="728"/>
      <c r="L328" s="728">
        <v>0</v>
      </c>
      <c r="M328" s="728"/>
      <c r="N328" s="763">
        <v>0</v>
      </c>
      <c r="O328" s="741">
        <v>50000</v>
      </c>
      <c r="P328" s="728">
        <v>50000</v>
      </c>
      <c r="Q328" s="728"/>
      <c r="R328" s="728">
        <v>50000</v>
      </c>
      <c r="S328" s="728"/>
      <c r="T328" s="728">
        <v>50000</v>
      </c>
      <c r="U328" s="728"/>
      <c r="V328" s="728">
        <v>0</v>
      </c>
      <c r="W328" s="728"/>
      <c r="X328" s="728">
        <v>0</v>
      </c>
      <c r="Y328" s="728"/>
      <c r="Z328" s="728">
        <v>0</v>
      </c>
      <c r="AA328" s="728"/>
      <c r="AB328" s="728">
        <v>0</v>
      </c>
      <c r="AC328" s="728"/>
      <c r="AD328" s="728">
        <v>0</v>
      </c>
      <c r="AE328" s="728"/>
      <c r="AF328" s="729">
        <v>0</v>
      </c>
      <c r="AG328" s="728"/>
      <c r="AH328" s="728"/>
      <c r="AI328" s="728"/>
      <c r="AJ328" s="728">
        <v>0</v>
      </c>
      <c r="AK328" s="728"/>
      <c r="AL328" s="728">
        <v>0</v>
      </c>
      <c r="AM328" s="728"/>
      <c r="AN328" s="728">
        <v>0</v>
      </c>
      <c r="AO328" s="728"/>
      <c r="AP328" s="728">
        <v>0</v>
      </c>
      <c r="AQ328" s="728"/>
      <c r="AR328" s="728">
        <v>0</v>
      </c>
      <c r="AS328" s="728"/>
      <c r="AT328" s="769">
        <f t="shared" si="27"/>
        <v>50000</v>
      </c>
      <c r="AU328" s="729"/>
      <c r="AV328" s="771">
        <f t="shared" si="28"/>
        <v>50000</v>
      </c>
      <c r="AW328" s="725">
        <f t="shared" si="26"/>
        <v>0</v>
      </c>
      <c r="AY328" s="742"/>
    </row>
    <row r="329" spans="1:51" s="725" customFormat="1" hidden="1">
      <c r="A329" s="738">
        <f t="shared" si="29"/>
        <v>325</v>
      </c>
      <c r="B329" s="724"/>
      <c r="C329" s="758" t="s">
        <v>1689</v>
      </c>
      <c r="D329" s="731" t="s">
        <v>1750</v>
      </c>
      <c r="E329" s="727">
        <f t="shared" si="13"/>
        <v>150000</v>
      </c>
      <c r="F329" s="728">
        <v>0</v>
      </c>
      <c r="G329" s="728"/>
      <c r="H329" s="728">
        <v>0</v>
      </c>
      <c r="I329" s="728"/>
      <c r="J329" s="728">
        <v>0</v>
      </c>
      <c r="K329" s="728"/>
      <c r="L329" s="728">
        <v>0</v>
      </c>
      <c r="M329" s="728"/>
      <c r="N329" s="728">
        <v>0</v>
      </c>
      <c r="O329" s="728"/>
      <c r="P329" s="728">
        <v>50000</v>
      </c>
      <c r="Q329" s="728"/>
      <c r="R329" s="728">
        <v>50000</v>
      </c>
      <c r="S329" s="728"/>
      <c r="T329" s="728">
        <v>50000</v>
      </c>
      <c r="U329" s="728"/>
      <c r="V329" s="728">
        <v>0</v>
      </c>
      <c r="W329" s="728"/>
      <c r="X329" s="728">
        <v>0</v>
      </c>
      <c r="Y329" s="728"/>
      <c r="Z329" s="728">
        <v>0</v>
      </c>
      <c r="AA329" s="728"/>
      <c r="AB329" s="728">
        <v>0</v>
      </c>
      <c r="AC329" s="728"/>
      <c r="AD329" s="728">
        <v>0</v>
      </c>
      <c r="AE329" s="728"/>
      <c r="AF329" s="729">
        <v>0</v>
      </c>
      <c r="AG329" s="728"/>
      <c r="AH329" s="728"/>
      <c r="AI329" s="728"/>
      <c r="AJ329" s="728">
        <v>0</v>
      </c>
      <c r="AK329" s="728"/>
      <c r="AL329" s="728">
        <v>0</v>
      </c>
      <c r="AM329" s="728"/>
      <c r="AN329" s="728">
        <v>0</v>
      </c>
      <c r="AO329" s="728"/>
      <c r="AP329" s="728">
        <v>0</v>
      </c>
      <c r="AQ329" s="728"/>
      <c r="AR329" s="728">
        <v>0</v>
      </c>
      <c r="AS329" s="728"/>
      <c r="AT329" s="769">
        <f t="shared" si="27"/>
        <v>0</v>
      </c>
      <c r="AU329" s="729"/>
      <c r="AV329" s="769">
        <f t="shared" si="28"/>
        <v>0</v>
      </c>
      <c r="AW329" s="725">
        <f t="shared" si="26"/>
        <v>0</v>
      </c>
      <c r="AY329" s="742"/>
    </row>
    <row r="330" spans="1:51" s="725" customFormat="1" hidden="1">
      <c r="A330" s="738">
        <f t="shared" si="29"/>
        <v>326</v>
      </c>
      <c r="B330" s="724"/>
      <c r="C330" s="758" t="s">
        <v>1690</v>
      </c>
      <c r="D330" s="731" t="s">
        <v>1751</v>
      </c>
      <c r="E330" s="727">
        <f t="shared" si="13"/>
        <v>150000</v>
      </c>
      <c r="F330" s="728">
        <v>0</v>
      </c>
      <c r="G330" s="728"/>
      <c r="H330" s="728">
        <v>0</v>
      </c>
      <c r="I330" s="728"/>
      <c r="J330" s="728">
        <v>0</v>
      </c>
      <c r="K330" s="728"/>
      <c r="L330" s="728">
        <v>0</v>
      </c>
      <c r="M330" s="728"/>
      <c r="N330" s="728">
        <v>0</v>
      </c>
      <c r="O330" s="728"/>
      <c r="P330" s="728">
        <v>50000</v>
      </c>
      <c r="Q330" s="728"/>
      <c r="R330" s="728">
        <v>50000</v>
      </c>
      <c r="S330" s="728"/>
      <c r="T330" s="728">
        <v>50000</v>
      </c>
      <c r="U330" s="728"/>
      <c r="V330" s="728">
        <v>0</v>
      </c>
      <c r="W330" s="728"/>
      <c r="X330" s="728">
        <v>0</v>
      </c>
      <c r="Y330" s="728"/>
      <c r="Z330" s="728">
        <v>0</v>
      </c>
      <c r="AA330" s="728"/>
      <c r="AB330" s="728">
        <v>0</v>
      </c>
      <c r="AC330" s="728"/>
      <c r="AD330" s="728">
        <v>0</v>
      </c>
      <c r="AE330" s="728"/>
      <c r="AF330" s="729">
        <v>0</v>
      </c>
      <c r="AG330" s="728"/>
      <c r="AH330" s="728"/>
      <c r="AI330" s="728"/>
      <c r="AJ330" s="728">
        <v>0</v>
      </c>
      <c r="AK330" s="728"/>
      <c r="AL330" s="728">
        <v>0</v>
      </c>
      <c r="AM330" s="728"/>
      <c r="AN330" s="728">
        <v>0</v>
      </c>
      <c r="AO330" s="728"/>
      <c r="AP330" s="728">
        <v>0</v>
      </c>
      <c r="AQ330" s="728"/>
      <c r="AR330" s="728">
        <v>0</v>
      </c>
      <c r="AS330" s="728"/>
      <c r="AT330" s="769">
        <f t="shared" si="27"/>
        <v>0</v>
      </c>
      <c r="AU330" s="729"/>
      <c r="AV330" s="769">
        <f t="shared" si="28"/>
        <v>0</v>
      </c>
      <c r="AW330" s="725">
        <f t="shared" si="26"/>
        <v>0</v>
      </c>
      <c r="AY330" s="742"/>
    </row>
    <row r="331" spans="1:51" s="725" customFormat="1">
      <c r="A331" s="738">
        <f t="shared" si="29"/>
        <v>327</v>
      </c>
      <c r="B331" s="724"/>
      <c r="C331" s="758" t="s">
        <v>1691</v>
      </c>
      <c r="D331" s="731" t="s">
        <v>1752</v>
      </c>
      <c r="E331" s="727">
        <f t="shared" si="13"/>
        <v>150000</v>
      </c>
      <c r="F331" s="728">
        <v>0</v>
      </c>
      <c r="G331" s="728"/>
      <c r="H331" s="728">
        <v>0</v>
      </c>
      <c r="I331" s="728"/>
      <c r="J331" s="728">
        <v>0</v>
      </c>
      <c r="K331" s="728"/>
      <c r="L331" s="728">
        <v>0</v>
      </c>
      <c r="M331" s="728"/>
      <c r="N331" s="728">
        <v>0</v>
      </c>
      <c r="O331" s="728"/>
      <c r="P331" s="728">
        <v>50000</v>
      </c>
      <c r="Q331" s="728"/>
      <c r="R331" s="728">
        <v>50000</v>
      </c>
      <c r="S331" s="728"/>
      <c r="T331" s="728">
        <v>50000</v>
      </c>
      <c r="U331" s="728"/>
      <c r="V331" s="728">
        <v>0</v>
      </c>
      <c r="W331" s="728"/>
      <c r="X331" s="728">
        <v>0</v>
      </c>
      <c r="Y331" s="728"/>
      <c r="Z331" s="728">
        <v>0</v>
      </c>
      <c r="AA331" s="728"/>
      <c r="AB331" s="728">
        <v>0</v>
      </c>
      <c r="AC331" s="728"/>
      <c r="AD331" s="728">
        <v>0</v>
      </c>
      <c r="AE331" s="728"/>
      <c r="AF331" s="729">
        <v>0</v>
      </c>
      <c r="AG331" s="728"/>
      <c r="AH331" s="728"/>
      <c r="AI331" s="728"/>
      <c r="AJ331" s="728">
        <v>0</v>
      </c>
      <c r="AK331" s="728"/>
      <c r="AL331" s="728">
        <v>0</v>
      </c>
      <c r="AM331" s="728"/>
      <c r="AN331" s="728">
        <v>0</v>
      </c>
      <c r="AO331" s="728"/>
      <c r="AP331" s="728">
        <v>0</v>
      </c>
      <c r="AQ331" s="728"/>
      <c r="AR331" s="763">
        <v>0</v>
      </c>
      <c r="AS331" s="741">
        <v>40000</v>
      </c>
      <c r="AT331" s="769">
        <f t="shared" si="27"/>
        <v>40000</v>
      </c>
      <c r="AU331" s="729"/>
      <c r="AV331" s="771">
        <f t="shared" si="28"/>
        <v>40000</v>
      </c>
      <c r="AW331" s="725">
        <f t="shared" si="26"/>
        <v>0</v>
      </c>
      <c r="AY331" s="742"/>
    </row>
    <row r="332" spans="1:51" s="725" customFormat="1" hidden="1">
      <c r="A332" s="738">
        <f t="shared" si="29"/>
        <v>328</v>
      </c>
      <c r="B332" s="724"/>
      <c r="C332" s="758" t="s">
        <v>1692</v>
      </c>
      <c r="D332" s="731" t="s">
        <v>1753</v>
      </c>
      <c r="E332" s="727">
        <f t="shared" si="13"/>
        <v>150000</v>
      </c>
      <c r="F332" s="728">
        <v>0</v>
      </c>
      <c r="G332" s="728"/>
      <c r="H332" s="728">
        <v>0</v>
      </c>
      <c r="I332" s="728"/>
      <c r="J332" s="728">
        <v>0</v>
      </c>
      <c r="K332" s="728"/>
      <c r="L332" s="728">
        <v>0</v>
      </c>
      <c r="M332" s="728"/>
      <c r="N332" s="728">
        <v>0</v>
      </c>
      <c r="O332" s="728"/>
      <c r="P332" s="728">
        <v>50000</v>
      </c>
      <c r="Q332" s="728"/>
      <c r="R332" s="728">
        <v>50000</v>
      </c>
      <c r="S332" s="728"/>
      <c r="T332" s="728">
        <v>50000</v>
      </c>
      <c r="U332" s="728"/>
      <c r="V332" s="728">
        <v>0</v>
      </c>
      <c r="W332" s="728"/>
      <c r="X332" s="728">
        <v>0</v>
      </c>
      <c r="Y332" s="728"/>
      <c r="Z332" s="728">
        <v>0</v>
      </c>
      <c r="AA332" s="728"/>
      <c r="AB332" s="728">
        <v>0</v>
      </c>
      <c r="AC332" s="728"/>
      <c r="AD332" s="728">
        <v>0</v>
      </c>
      <c r="AE332" s="728"/>
      <c r="AF332" s="729">
        <v>0</v>
      </c>
      <c r="AG332" s="728"/>
      <c r="AH332" s="728"/>
      <c r="AI332" s="728"/>
      <c r="AJ332" s="728">
        <v>0</v>
      </c>
      <c r="AK332" s="728"/>
      <c r="AL332" s="728">
        <v>0</v>
      </c>
      <c r="AM332" s="728"/>
      <c r="AN332" s="728">
        <v>0</v>
      </c>
      <c r="AO332" s="728"/>
      <c r="AP332" s="728">
        <v>0</v>
      </c>
      <c r="AQ332" s="728"/>
      <c r="AR332" s="728">
        <v>0</v>
      </c>
      <c r="AS332" s="728"/>
      <c r="AT332" s="769">
        <f t="shared" si="27"/>
        <v>0</v>
      </c>
      <c r="AU332" s="729"/>
      <c r="AV332" s="769">
        <f t="shared" si="28"/>
        <v>0</v>
      </c>
      <c r="AW332" s="725">
        <f t="shared" si="26"/>
        <v>0</v>
      </c>
      <c r="AY332" s="742"/>
    </row>
    <row r="333" spans="1:51" s="725" customFormat="1">
      <c r="A333" s="738">
        <f t="shared" si="29"/>
        <v>329</v>
      </c>
      <c r="B333" s="724"/>
      <c r="C333" s="758" t="s">
        <v>1693</v>
      </c>
      <c r="D333" s="731" t="s">
        <v>1754</v>
      </c>
      <c r="E333" s="727">
        <f t="shared" si="13"/>
        <v>630000</v>
      </c>
      <c r="F333" s="728">
        <v>0</v>
      </c>
      <c r="G333" s="728"/>
      <c r="H333" s="728">
        <v>0</v>
      </c>
      <c r="I333" s="728"/>
      <c r="J333" s="728">
        <v>0</v>
      </c>
      <c r="K333" s="728"/>
      <c r="L333" s="728">
        <v>0</v>
      </c>
      <c r="M333" s="728"/>
      <c r="N333" s="763">
        <v>0</v>
      </c>
      <c r="O333" s="741">
        <v>50000</v>
      </c>
      <c r="P333" s="728">
        <v>50000</v>
      </c>
      <c r="Q333" s="728"/>
      <c r="R333" s="728">
        <v>50000</v>
      </c>
      <c r="S333" s="728"/>
      <c r="T333" s="728">
        <v>0</v>
      </c>
      <c r="U333" s="728"/>
      <c r="V333" s="763">
        <v>0</v>
      </c>
      <c r="W333" s="741">
        <v>50000</v>
      </c>
      <c r="X333" s="763">
        <v>0</v>
      </c>
      <c r="Y333" s="741">
        <v>50000</v>
      </c>
      <c r="Z333" s="763">
        <v>0</v>
      </c>
      <c r="AA333" s="741">
        <v>50000</v>
      </c>
      <c r="AB333" s="763">
        <v>0</v>
      </c>
      <c r="AC333" s="741">
        <v>50000</v>
      </c>
      <c r="AD333" s="763">
        <v>0</v>
      </c>
      <c r="AE333" s="741">
        <v>50000</v>
      </c>
      <c r="AF333" s="741">
        <v>0</v>
      </c>
      <c r="AG333" s="741">
        <v>50000</v>
      </c>
      <c r="AH333" s="741">
        <v>0</v>
      </c>
      <c r="AI333" s="741">
        <v>50000</v>
      </c>
      <c r="AJ333" s="763">
        <v>0</v>
      </c>
      <c r="AK333" s="741">
        <v>50000</v>
      </c>
      <c r="AL333" s="763">
        <v>0</v>
      </c>
      <c r="AM333" s="741">
        <v>40000</v>
      </c>
      <c r="AN333" s="763">
        <v>0</v>
      </c>
      <c r="AO333" s="741">
        <v>40000</v>
      </c>
      <c r="AP333" s="728">
        <v>0</v>
      </c>
      <c r="AQ333" s="728"/>
      <c r="AR333" s="763">
        <v>0</v>
      </c>
      <c r="AS333" s="741">
        <v>40000</v>
      </c>
      <c r="AT333" s="769">
        <f t="shared" si="27"/>
        <v>570000</v>
      </c>
      <c r="AU333" s="729"/>
      <c r="AV333" s="771">
        <f t="shared" si="28"/>
        <v>570000</v>
      </c>
      <c r="AW333" s="725">
        <f t="shared" si="26"/>
        <v>0</v>
      </c>
      <c r="AY333" s="742"/>
    </row>
    <row r="334" spans="1:51" s="725" customFormat="1" hidden="1">
      <c r="A334" s="738">
        <f t="shared" si="29"/>
        <v>330</v>
      </c>
      <c r="B334" s="724"/>
      <c r="C334" s="758" t="s">
        <v>1694</v>
      </c>
      <c r="D334" s="731" t="s">
        <v>1755</v>
      </c>
      <c r="E334" s="727">
        <f t="shared" si="13"/>
        <v>100000</v>
      </c>
      <c r="F334" s="728">
        <v>0</v>
      </c>
      <c r="G334" s="728"/>
      <c r="H334" s="728">
        <v>0</v>
      </c>
      <c r="I334" s="728"/>
      <c r="J334" s="728">
        <v>0</v>
      </c>
      <c r="K334" s="728"/>
      <c r="L334" s="728">
        <v>0</v>
      </c>
      <c r="M334" s="728"/>
      <c r="N334" s="728">
        <v>0</v>
      </c>
      <c r="O334" s="728"/>
      <c r="P334" s="728">
        <v>50000</v>
      </c>
      <c r="Q334" s="728"/>
      <c r="R334" s="728">
        <v>50000</v>
      </c>
      <c r="S334" s="728"/>
      <c r="T334" s="728">
        <v>0</v>
      </c>
      <c r="U334" s="728"/>
      <c r="V334" s="728">
        <v>0</v>
      </c>
      <c r="W334" s="728"/>
      <c r="X334" s="728">
        <v>0</v>
      </c>
      <c r="Y334" s="728"/>
      <c r="Z334" s="728">
        <v>0</v>
      </c>
      <c r="AA334" s="728"/>
      <c r="AB334" s="728">
        <v>0</v>
      </c>
      <c r="AC334" s="728"/>
      <c r="AD334" s="728">
        <v>0</v>
      </c>
      <c r="AE334" s="728"/>
      <c r="AF334" s="729">
        <v>0</v>
      </c>
      <c r="AG334" s="728"/>
      <c r="AH334" s="728"/>
      <c r="AI334" s="728"/>
      <c r="AJ334" s="728">
        <v>0</v>
      </c>
      <c r="AK334" s="728"/>
      <c r="AL334" s="728">
        <v>0</v>
      </c>
      <c r="AM334" s="728"/>
      <c r="AN334" s="728">
        <v>0</v>
      </c>
      <c r="AO334" s="728"/>
      <c r="AP334" s="728">
        <v>0</v>
      </c>
      <c r="AQ334" s="728"/>
      <c r="AR334" s="728">
        <v>0</v>
      </c>
      <c r="AS334" s="728"/>
      <c r="AT334" s="769">
        <f t="shared" si="27"/>
        <v>0</v>
      </c>
      <c r="AU334" s="729"/>
      <c r="AV334" s="769">
        <f t="shared" si="28"/>
        <v>0</v>
      </c>
      <c r="AW334" s="725">
        <f t="shared" si="26"/>
        <v>0</v>
      </c>
      <c r="AY334" s="742"/>
    </row>
    <row r="335" spans="1:51" s="725" customFormat="1" hidden="1">
      <c r="A335" s="738">
        <f t="shared" si="29"/>
        <v>331</v>
      </c>
      <c r="B335" s="724"/>
      <c r="C335" s="758" t="s">
        <v>1695</v>
      </c>
      <c r="D335" s="731" t="s">
        <v>1756</v>
      </c>
      <c r="E335" s="727">
        <f t="shared" si="13"/>
        <v>100000</v>
      </c>
      <c r="F335" s="728">
        <v>0</v>
      </c>
      <c r="G335" s="728"/>
      <c r="H335" s="728">
        <v>0</v>
      </c>
      <c r="I335" s="728"/>
      <c r="J335" s="728">
        <v>0</v>
      </c>
      <c r="K335" s="728"/>
      <c r="L335" s="728">
        <v>0</v>
      </c>
      <c r="M335" s="728"/>
      <c r="N335" s="728">
        <v>0</v>
      </c>
      <c r="O335" s="728"/>
      <c r="P335" s="728">
        <v>50000</v>
      </c>
      <c r="Q335" s="728"/>
      <c r="R335" s="728">
        <v>50000</v>
      </c>
      <c r="S335" s="728"/>
      <c r="T335" s="728">
        <v>0</v>
      </c>
      <c r="U335" s="728"/>
      <c r="V335" s="728">
        <v>0</v>
      </c>
      <c r="W335" s="728"/>
      <c r="X335" s="728">
        <v>0</v>
      </c>
      <c r="Y335" s="728"/>
      <c r="Z335" s="728">
        <v>0</v>
      </c>
      <c r="AA335" s="728"/>
      <c r="AB335" s="728">
        <v>0</v>
      </c>
      <c r="AC335" s="728"/>
      <c r="AD335" s="728">
        <v>0</v>
      </c>
      <c r="AE335" s="728"/>
      <c r="AF335" s="729">
        <v>0</v>
      </c>
      <c r="AG335" s="728"/>
      <c r="AH335" s="728"/>
      <c r="AI335" s="728"/>
      <c r="AJ335" s="728">
        <v>0</v>
      </c>
      <c r="AK335" s="728"/>
      <c r="AL335" s="728">
        <v>0</v>
      </c>
      <c r="AM335" s="728"/>
      <c r="AN335" s="728">
        <v>0</v>
      </c>
      <c r="AO335" s="728"/>
      <c r="AP335" s="728">
        <v>0</v>
      </c>
      <c r="AQ335" s="728"/>
      <c r="AR335" s="728">
        <v>0</v>
      </c>
      <c r="AS335" s="728"/>
      <c r="AT335" s="769">
        <f t="shared" si="27"/>
        <v>0</v>
      </c>
      <c r="AU335" s="729"/>
      <c r="AV335" s="769">
        <f t="shared" si="28"/>
        <v>0</v>
      </c>
      <c r="AW335" s="725">
        <f t="shared" si="26"/>
        <v>0</v>
      </c>
      <c r="AY335" s="742"/>
    </row>
    <row r="336" spans="1:51" s="725" customFormat="1">
      <c r="A336" s="738">
        <f t="shared" si="29"/>
        <v>332</v>
      </c>
      <c r="B336" s="724"/>
      <c r="C336" s="758" t="s">
        <v>1696</v>
      </c>
      <c r="D336" s="731" t="s">
        <v>1757</v>
      </c>
      <c r="E336" s="727">
        <f t="shared" si="13"/>
        <v>150000</v>
      </c>
      <c r="F336" s="728">
        <v>0</v>
      </c>
      <c r="G336" s="728"/>
      <c r="H336" s="728">
        <v>0</v>
      </c>
      <c r="I336" s="728"/>
      <c r="J336" s="728">
        <v>0</v>
      </c>
      <c r="K336" s="728"/>
      <c r="L336" s="728">
        <v>0</v>
      </c>
      <c r="M336" s="728"/>
      <c r="N336" s="763">
        <v>0</v>
      </c>
      <c r="O336" s="741">
        <v>50000</v>
      </c>
      <c r="P336" s="728">
        <v>50000</v>
      </c>
      <c r="Q336" s="728"/>
      <c r="R336" s="728">
        <v>50000</v>
      </c>
      <c r="S336" s="728"/>
      <c r="T336" s="728">
        <v>0</v>
      </c>
      <c r="U336" s="728"/>
      <c r="V336" s="728">
        <v>0</v>
      </c>
      <c r="W336" s="728"/>
      <c r="X336" s="728">
        <v>0</v>
      </c>
      <c r="Y336" s="728"/>
      <c r="Z336" s="728">
        <v>0</v>
      </c>
      <c r="AA336" s="728"/>
      <c r="AB336" s="728">
        <v>0</v>
      </c>
      <c r="AC336" s="728"/>
      <c r="AD336" s="728">
        <v>0</v>
      </c>
      <c r="AE336" s="728"/>
      <c r="AF336" s="729">
        <v>0</v>
      </c>
      <c r="AG336" s="728"/>
      <c r="AH336" s="728"/>
      <c r="AI336" s="728"/>
      <c r="AJ336" s="728">
        <v>0</v>
      </c>
      <c r="AK336" s="728"/>
      <c r="AL336" s="728">
        <v>0</v>
      </c>
      <c r="AM336" s="728"/>
      <c r="AN336" s="728">
        <v>0</v>
      </c>
      <c r="AO336" s="728"/>
      <c r="AP336" s="728">
        <v>0</v>
      </c>
      <c r="AQ336" s="728"/>
      <c r="AR336" s="728">
        <v>0</v>
      </c>
      <c r="AS336" s="728"/>
      <c r="AT336" s="769">
        <f t="shared" si="27"/>
        <v>50000</v>
      </c>
      <c r="AU336" s="729"/>
      <c r="AV336" s="771">
        <f t="shared" si="28"/>
        <v>50000</v>
      </c>
      <c r="AW336" s="725">
        <f t="shared" si="26"/>
        <v>0</v>
      </c>
      <c r="AY336" s="742"/>
    </row>
    <row r="337" spans="1:51" s="725" customFormat="1" hidden="1">
      <c r="A337" s="738">
        <f t="shared" si="29"/>
        <v>333</v>
      </c>
      <c r="B337" s="724"/>
      <c r="C337" s="758" t="s">
        <v>1697</v>
      </c>
      <c r="D337" s="731" t="s">
        <v>1758</v>
      </c>
      <c r="E337" s="727">
        <f t="shared" si="13"/>
        <v>100000</v>
      </c>
      <c r="F337" s="728">
        <v>0</v>
      </c>
      <c r="G337" s="728"/>
      <c r="H337" s="728">
        <v>0</v>
      </c>
      <c r="I337" s="728"/>
      <c r="J337" s="728">
        <v>0</v>
      </c>
      <c r="K337" s="728"/>
      <c r="L337" s="728">
        <v>0</v>
      </c>
      <c r="M337" s="728"/>
      <c r="N337" s="728">
        <v>0</v>
      </c>
      <c r="O337" s="728"/>
      <c r="P337" s="728">
        <v>50000</v>
      </c>
      <c r="Q337" s="728"/>
      <c r="R337" s="728">
        <v>50000</v>
      </c>
      <c r="S337" s="728"/>
      <c r="T337" s="728">
        <v>0</v>
      </c>
      <c r="U337" s="728"/>
      <c r="V337" s="728">
        <v>0</v>
      </c>
      <c r="W337" s="728"/>
      <c r="X337" s="728">
        <v>0</v>
      </c>
      <c r="Y337" s="728"/>
      <c r="Z337" s="728">
        <v>0</v>
      </c>
      <c r="AA337" s="728"/>
      <c r="AB337" s="728">
        <v>0</v>
      </c>
      <c r="AC337" s="728"/>
      <c r="AD337" s="728">
        <v>0</v>
      </c>
      <c r="AE337" s="728"/>
      <c r="AF337" s="729">
        <v>0</v>
      </c>
      <c r="AG337" s="728"/>
      <c r="AH337" s="728"/>
      <c r="AI337" s="728"/>
      <c r="AJ337" s="728">
        <v>0</v>
      </c>
      <c r="AK337" s="728"/>
      <c r="AL337" s="728">
        <v>0</v>
      </c>
      <c r="AM337" s="728"/>
      <c r="AN337" s="728">
        <v>0</v>
      </c>
      <c r="AO337" s="728"/>
      <c r="AP337" s="728">
        <v>0</v>
      </c>
      <c r="AQ337" s="728"/>
      <c r="AR337" s="728">
        <v>0</v>
      </c>
      <c r="AS337" s="728"/>
      <c r="AT337" s="769">
        <f t="shared" si="27"/>
        <v>0</v>
      </c>
      <c r="AU337" s="729"/>
      <c r="AV337" s="769">
        <f t="shared" si="28"/>
        <v>0</v>
      </c>
      <c r="AW337" s="725">
        <f t="shared" si="26"/>
        <v>0</v>
      </c>
      <c r="AY337" s="742"/>
    </row>
    <row r="338" spans="1:51" s="725" customFormat="1">
      <c r="A338" s="738">
        <f t="shared" si="29"/>
        <v>334</v>
      </c>
      <c r="B338" s="724"/>
      <c r="C338" s="758" t="s">
        <v>1698</v>
      </c>
      <c r="D338" s="731" t="s">
        <v>1759</v>
      </c>
      <c r="E338" s="727">
        <f t="shared" si="13"/>
        <v>720000</v>
      </c>
      <c r="F338" s="728">
        <v>0</v>
      </c>
      <c r="G338" s="728"/>
      <c r="H338" s="728">
        <v>0</v>
      </c>
      <c r="I338" s="728"/>
      <c r="J338" s="728">
        <v>0</v>
      </c>
      <c r="K338" s="728"/>
      <c r="L338" s="728">
        <v>0</v>
      </c>
      <c r="M338" s="728"/>
      <c r="N338" s="763">
        <v>0</v>
      </c>
      <c r="O338" s="741">
        <v>50000</v>
      </c>
      <c r="P338" s="728">
        <v>50000</v>
      </c>
      <c r="Q338" s="728"/>
      <c r="R338" s="728">
        <v>50000</v>
      </c>
      <c r="S338" s="728"/>
      <c r="T338" s="728">
        <v>50000</v>
      </c>
      <c r="U338" s="728"/>
      <c r="V338" s="728">
        <v>50000</v>
      </c>
      <c r="W338" s="728"/>
      <c r="X338" s="728">
        <v>50000</v>
      </c>
      <c r="Y338" s="728"/>
      <c r="Z338" s="728">
        <v>50000</v>
      </c>
      <c r="AA338" s="728"/>
      <c r="AB338" s="763">
        <v>0</v>
      </c>
      <c r="AC338" s="741">
        <v>50000</v>
      </c>
      <c r="AD338" s="763">
        <v>0</v>
      </c>
      <c r="AE338" s="741">
        <v>50000</v>
      </c>
      <c r="AF338" s="741">
        <v>0</v>
      </c>
      <c r="AG338" s="741">
        <v>50000</v>
      </c>
      <c r="AH338" s="741">
        <v>0</v>
      </c>
      <c r="AI338" s="741">
        <v>50000</v>
      </c>
      <c r="AJ338" s="763">
        <v>0</v>
      </c>
      <c r="AK338" s="741">
        <v>50000</v>
      </c>
      <c r="AL338" s="763">
        <v>0</v>
      </c>
      <c r="AM338" s="741">
        <v>40000</v>
      </c>
      <c r="AN338" s="763">
        <v>0</v>
      </c>
      <c r="AO338" s="741">
        <v>40000</v>
      </c>
      <c r="AP338" s="763">
        <v>0</v>
      </c>
      <c r="AQ338" s="741">
        <v>40000</v>
      </c>
      <c r="AR338" s="763">
        <v>0</v>
      </c>
      <c r="AS338" s="741">
        <v>40000</v>
      </c>
      <c r="AT338" s="769">
        <f t="shared" si="27"/>
        <v>460000</v>
      </c>
      <c r="AU338" s="729"/>
      <c r="AV338" s="771">
        <f t="shared" si="28"/>
        <v>460000</v>
      </c>
      <c r="AW338" s="725">
        <f t="shared" si="26"/>
        <v>0</v>
      </c>
      <c r="AY338" s="742"/>
    </row>
    <row r="339" spans="1:51" s="725" customFormat="1">
      <c r="A339" s="738">
        <f t="shared" si="29"/>
        <v>335</v>
      </c>
      <c r="B339" s="724"/>
      <c r="C339" s="758" t="s">
        <v>1699</v>
      </c>
      <c r="D339" s="731" t="s">
        <v>1760</v>
      </c>
      <c r="E339" s="727">
        <f t="shared" si="13"/>
        <v>150000</v>
      </c>
      <c r="F339" s="728">
        <v>0</v>
      </c>
      <c r="G339" s="728"/>
      <c r="H339" s="728">
        <v>0</v>
      </c>
      <c r="I339" s="728"/>
      <c r="J339" s="728">
        <v>0</v>
      </c>
      <c r="K339" s="728"/>
      <c r="L339" s="728">
        <v>0</v>
      </c>
      <c r="M339" s="728"/>
      <c r="N339" s="763">
        <v>0</v>
      </c>
      <c r="O339" s="741">
        <v>50000</v>
      </c>
      <c r="P339" s="728">
        <v>50000</v>
      </c>
      <c r="Q339" s="728"/>
      <c r="R339" s="728">
        <v>50000</v>
      </c>
      <c r="S339" s="728"/>
      <c r="T339" s="728">
        <v>0</v>
      </c>
      <c r="U339" s="728"/>
      <c r="V339" s="728">
        <v>0</v>
      </c>
      <c r="W339" s="728"/>
      <c r="X339" s="728">
        <v>0</v>
      </c>
      <c r="Y339" s="728"/>
      <c r="Z339" s="728">
        <v>0</v>
      </c>
      <c r="AA339" s="728"/>
      <c r="AB339" s="728">
        <v>0</v>
      </c>
      <c r="AC339" s="728"/>
      <c r="AD339" s="728">
        <v>0</v>
      </c>
      <c r="AE339" s="728"/>
      <c r="AF339" s="729">
        <v>0</v>
      </c>
      <c r="AG339" s="728"/>
      <c r="AH339" s="728"/>
      <c r="AI339" s="728"/>
      <c r="AJ339" s="728">
        <v>0</v>
      </c>
      <c r="AK339" s="728"/>
      <c r="AL339" s="728">
        <v>0</v>
      </c>
      <c r="AM339" s="728"/>
      <c r="AN339" s="728">
        <v>0</v>
      </c>
      <c r="AO339" s="728"/>
      <c r="AP339" s="728">
        <v>0</v>
      </c>
      <c r="AQ339" s="728"/>
      <c r="AR339" s="728">
        <v>0</v>
      </c>
      <c r="AS339" s="728"/>
      <c r="AT339" s="769">
        <f t="shared" si="27"/>
        <v>50000</v>
      </c>
      <c r="AU339" s="729"/>
      <c r="AV339" s="771">
        <f t="shared" si="28"/>
        <v>50000</v>
      </c>
      <c r="AW339" s="725">
        <f t="shared" si="26"/>
        <v>0</v>
      </c>
      <c r="AY339" s="742"/>
    </row>
    <row r="340" spans="1:51" s="725" customFormat="1" hidden="1">
      <c r="A340" s="738">
        <f t="shared" si="29"/>
        <v>336</v>
      </c>
      <c r="B340" s="724"/>
      <c r="C340" s="758" t="s">
        <v>1700</v>
      </c>
      <c r="D340" s="731" t="s">
        <v>1761</v>
      </c>
      <c r="E340" s="727">
        <f t="shared" si="13"/>
        <v>150000</v>
      </c>
      <c r="F340" s="728">
        <v>0</v>
      </c>
      <c r="G340" s="728"/>
      <c r="H340" s="728">
        <v>0</v>
      </c>
      <c r="I340" s="728"/>
      <c r="J340" s="728">
        <v>0</v>
      </c>
      <c r="K340" s="728"/>
      <c r="L340" s="728">
        <v>0</v>
      </c>
      <c r="M340" s="728"/>
      <c r="N340" s="728">
        <v>0</v>
      </c>
      <c r="O340" s="728"/>
      <c r="P340" s="728">
        <v>50000</v>
      </c>
      <c r="Q340" s="728"/>
      <c r="R340" s="728">
        <v>50000</v>
      </c>
      <c r="S340" s="728"/>
      <c r="T340" s="728">
        <v>50000</v>
      </c>
      <c r="U340" s="728"/>
      <c r="V340" s="728">
        <v>0</v>
      </c>
      <c r="W340" s="728"/>
      <c r="X340" s="728">
        <v>0</v>
      </c>
      <c r="Y340" s="728"/>
      <c r="Z340" s="728">
        <v>0</v>
      </c>
      <c r="AA340" s="728"/>
      <c r="AB340" s="728">
        <v>0</v>
      </c>
      <c r="AC340" s="728"/>
      <c r="AD340" s="728">
        <v>0</v>
      </c>
      <c r="AE340" s="728"/>
      <c r="AF340" s="729">
        <v>0</v>
      </c>
      <c r="AG340" s="728"/>
      <c r="AH340" s="728"/>
      <c r="AI340" s="728"/>
      <c r="AJ340" s="728">
        <v>0</v>
      </c>
      <c r="AK340" s="728"/>
      <c r="AL340" s="728">
        <v>0</v>
      </c>
      <c r="AM340" s="728"/>
      <c r="AN340" s="728">
        <v>0</v>
      </c>
      <c r="AO340" s="728"/>
      <c r="AP340" s="728">
        <v>0</v>
      </c>
      <c r="AQ340" s="728"/>
      <c r="AR340" s="728">
        <v>0</v>
      </c>
      <c r="AS340" s="728"/>
      <c r="AT340" s="769">
        <f t="shared" si="27"/>
        <v>0</v>
      </c>
      <c r="AU340" s="729"/>
      <c r="AV340" s="769">
        <f t="shared" si="28"/>
        <v>0</v>
      </c>
      <c r="AW340" s="725">
        <f t="shared" si="26"/>
        <v>0</v>
      </c>
      <c r="AY340" s="742"/>
    </row>
    <row r="341" spans="1:51" s="725" customFormat="1" hidden="1">
      <c r="A341" s="738">
        <f t="shared" si="29"/>
        <v>337</v>
      </c>
      <c r="B341" s="724"/>
      <c r="C341" s="758" t="s">
        <v>1701</v>
      </c>
      <c r="D341" s="731" t="s">
        <v>1762</v>
      </c>
      <c r="E341" s="727">
        <f t="shared" si="13"/>
        <v>150000</v>
      </c>
      <c r="F341" s="728">
        <v>0</v>
      </c>
      <c r="G341" s="728"/>
      <c r="H341" s="728">
        <v>0</v>
      </c>
      <c r="I341" s="728"/>
      <c r="J341" s="728">
        <v>0</v>
      </c>
      <c r="K341" s="728"/>
      <c r="L341" s="728">
        <v>0</v>
      </c>
      <c r="M341" s="728"/>
      <c r="N341" s="728">
        <v>0</v>
      </c>
      <c r="O341" s="728"/>
      <c r="P341" s="728">
        <v>50000</v>
      </c>
      <c r="Q341" s="728"/>
      <c r="R341" s="728">
        <v>50000</v>
      </c>
      <c r="S341" s="728"/>
      <c r="T341" s="728">
        <v>50000</v>
      </c>
      <c r="U341" s="728"/>
      <c r="V341" s="728">
        <v>0</v>
      </c>
      <c r="W341" s="728"/>
      <c r="X341" s="728">
        <v>0</v>
      </c>
      <c r="Y341" s="728"/>
      <c r="Z341" s="728">
        <v>0</v>
      </c>
      <c r="AA341" s="728"/>
      <c r="AB341" s="728">
        <v>0</v>
      </c>
      <c r="AC341" s="728"/>
      <c r="AD341" s="728">
        <v>0</v>
      </c>
      <c r="AE341" s="728"/>
      <c r="AF341" s="729">
        <v>0</v>
      </c>
      <c r="AG341" s="728"/>
      <c r="AH341" s="728"/>
      <c r="AI341" s="728"/>
      <c r="AJ341" s="728">
        <v>0</v>
      </c>
      <c r="AK341" s="728"/>
      <c r="AL341" s="728">
        <v>0</v>
      </c>
      <c r="AM341" s="728"/>
      <c r="AN341" s="728">
        <v>0</v>
      </c>
      <c r="AO341" s="728"/>
      <c r="AP341" s="728">
        <v>0</v>
      </c>
      <c r="AQ341" s="728"/>
      <c r="AR341" s="728">
        <v>0</v>
      </c>
      <c r="AS341" s="728"/>
      <c r="AT341" s="769">
        <f t="shared" si="27"/>
        <v>0</v>
      </c>
      <c r="AU341" s="729"/>
      <c r="AV341" s="769">
        <f t="shared" si="28"/>
        <v>0</v>
      </c>
      <c r="AW341" s="725">
        <f t="shared" si="26"/>
        <v>0</v>
      </c>
      <c r="AY341" s="742"/>
    </row>
    <row r="342" spans="1:51" s="725" customFormat="1" hidden="1">
      <c r="A342" s="738">
        <f t="shared" si="29"/>
        <v>338</v>
      </c>
      <c r="B342" s="724"/>
      <c r="C342" s="758" t="s">
        <v>1702</v>
      </c>
      <c r="D342" s="731" t="s">
        <v>1763</v>
      </c>
      <c r="E342" s="727">
        <f t="shared" si="13"/>
        <v>150000</v>
      </c>
      <c r="F342" s="728">
        <v>0</v>
      </c>
      <c r="G342" s="728"/>
      <c r="H342" s="728">
        <v>0</v>
      </c>
      <c r="I342" s="728"/>
      <c r="J342" s="728">
        <v>0</v>
      </c>
      <c r="K342" s="728"/>
      <c r="L342" s="728">
        <v>0</v>
      </c>
      <c r="M342" s="728"/>
      <c r="N342" s="728">
        <v>0</v>
      </c>
      <c r="O342" s="728"/>
      <c r="P342" s="728">
        <v>50000</v>
      </c>
      <c r="Q342" s="728"/>
      <c r="R342" s="728">
        <v>50000</v>
      </c>
      <c r="S342" s="728"/>
      <c r="T342" s="728">
        <v>50000</v>
      </c>
      <c r="U342" s="728"/>
      <c r="V342" s="728">
        <v>0</v>
      </c>
      <c r="W342" s="728"/>
      <c r="X342" s="728">
        <v>0</v>
      </c>
      <c r="Y342" s="728"/>
      <c r="Z342" s="728">
        <v>0</v>
      </c>
      <c r="AA342" s="728"/>
      <c r="AB342" s="728">
        <v>0</v>
      </c>
      <c r="AC342" s="728"/>
      <c r="AD342" s="728">
        <v>0</v>
      </c>
      <c r="AE342" s="728"/>
      <c r="AF342" s="729">
        <v>0</v>
      </c>
      <c r="AG342" s="728"/>
      <c r="AH342" s="728"/>
      <c r="AI342" s="728"/>
      <c r="AJ342" s="728">
        <v>0</v>
      </c>
      <c r="AK342" s="728"/>
      <c r="AL342" s="728">
        <v>0</v>
      </c>
      <c r="AM342" s="728"/>
      <c r="AN342" s="728">
        <v>0</v>
      </c>
      <c r="AO342" s="728"/>
      <c r="AP342" s="728">
        <v>0</v>
      </c>
      <c r="AQ342" s="728"/>
      <c r="AR342" s="728">
        <v>0</v>
      </c>
      <c r="AS342" s="728"/>
      <c r="AT342" s="769">
        <f t="shared" si="27"/>
        <v>0</v>
      </c>
      <c r="AU342" s="729"/>
      <c r="AV342" s="769">
        <f t="shared" si="28"/>
        <v>0</v>
      </c>
      <c r="AW342" s="725">
        <f t="shared" si="26"/>
        <v>0</v>
      </c>
      <c r="AY342" s="742"/>
    </row>
    <row r="343" spans="1:51" s="725" customFormat="1" hidden="1">
      <c r="A343" s="738">
        <f t="shared" si="29"/>
        <v>339</v>
      </c>
      <c r="B343" s="724"/>
      <c r="C343" s="758" t="s">
        <v>1764</v>
      </c>
      <c r="D343" s="731" t="s">
        <v>1772</v>
      </c>
      <c r="E343" s="727">
        <f t="shared" si="13"/>
        <v>300000</v>
      </c>
      <c r="F343" s="728">
        <v>0</v>
      </c>
      <c r="G343" s="728"/>
      <c r="H343" s="728">
        <v>0</v>
      </c>
      <c r="I343" s="728"/>
      <c r="J343" s="728">
        <v>0</v>
      </c>
      <c r="K343" s="728"/>
      <c r="L343" s="728">
        <v>0</v>
      </c>
      <c r="M343" s="728"/>
      <c r="N343" s="728">
        <v>0</v>
      </c>
      <c r="O343" s="728"/>
      <c r="P343" s="728">
        <v>0</v>
      </c>
      <c r="Q343" s="728"/>
      <c r="R343" s="728">
        <v>50000</v>
      </c>
      <c r="S343" s="728"/>
      <c r="T343" s="728">
        <v>50000</v>
      </c>
      <c r="U343" s="728"/>
      <c r="V343" s="728">
        <v>50000</v>
      </c>
      <c r="W343" s="728"/>
      <c r="X343" s="728">
        <v>50000</v>
      </c>
      <c r="Y343" s="728"/>
      <c r="Z343" s="728">
        <v>50000</v>
      </c>
      <c r="AA343" s="728"/>
      <c r="AB343" s="728">
        <v>50000</v>
      </c>
      <c r="AC343" s="728"/>
      <c r="AD343" s="728">
        <v>0</v>
      </c>
      <c r="AE343" s="728"/>
      <c r="AF343" s="729">
        <v>0</v>
      </c>
      <c r="AG343" s="728"/>
      <c r="AH343" s="728"/>
      <c r="AI343" s="728"/>
      <c r="AJ343" s="728">
        <v>0</v>
      </c>
      <c r="AK343" s="728"/>
      <c r="AL343" s="728">
        <v>0</v>
      </c>
      <c r="AM343" s="728"/>
      <c r="AN343" s="728">
        <v>0</v>
      </c>
      <c r="AO343" s="728"/>
      <c r="AP343" s="728">
        <v>0</v>
      </c>
      <c r="AQ343" s="728"/>
      <c r="AR343" s="728">
        <v>0</v>
      </c>
      <c r="AS343" s="728"/>
      <c r="AT343" s="769">
        <f t="shared" si="27"/>
        <v>0</v>
      </c>
      <c r="AU343" s="729"/>
      <c r="AV343" s="769">
        <f t="shared" si="28"/>
        <v>0</v>
      </c>
      <c r="AW343" s="725">
        <f t="shared" si="26"/>
        <v>0</v>
      </c>
      <c r="AY343" s="742"/>
    </row>
    <row r="344" spans="1:51" s="725" customFormat="1">
      <c r="A344" s="738">
        <f t="shared" si="29"/>
        <v>340</v>
      </c>
      <c r="B344" s="724"/>
      <c r="C344" s="758" t="s">
        <v>1765</v>
      </c>
      <c r="D344" s="731" t="s">
        <v>1773</v>
      </c>
      <c r="E344" s="727">
        <f t="shared" si="13"/>
        <v>400000</v>
      </c>
      <c r="F344" s="728">
        <v>0</v>
      </c>
      <c r="G344" s="728"/>
      <c r="H344" s="728">
        <v>0</v>
      </c>
      <c r="I344" s="728"/>
      <c r="J344" s="728">
        <v>0</v>
      </c>
      <c r="K344" s="728"/>
      <c r="L344" s="728">
        <v>0</v>
      </c>
      <c r="M344" s="728"/>
      <c r="N344" s="728">
        <v>0</v>
      </c>
      <c r="O344" s="728"/>
      <c r="P344" s="763">
        <v>0</v>
      </c>
      <c r="Q344" s="741">
        <v>50000</v>
      </c>
      <c r="R344" s="728">
        <v>50000</v>
      </c>
      <c r="S344" s="728"/>
      <c r="T344" s="728">
        <v>50000</v>
      </c>
      <c r="U344" s="728"/>
      <c r="V344" s="728">
        <v>50000</v>
      </c>
      <c r="W344" s="728"/>
      <c r="X344" s="728">
        <v>50000</v>
      </c>
      <c r="Y344" s="728"/>
      <c r="Z344" s="728">
        <v>50000</v>
      </c>
      <c r="AA344" s="728"/>
      <c r="AB344" s="728">
        <v>50000</v>
      </c>
      <c r="AC344" s="728"/>
      <c r="AD344" s="763">
        <v>0</v>
      </c>
      <c r="AE344" s="741">
        <v>50000</v>
      </c>
      <c r="AF344" s="729">
        <v>0</v>
      </c>
      <c r="AG344" s="728"/>
      <c r="AH344" s="728"/>
      <c r="AI344" s="728"/>
      <c r="AJ344" s="728">
        <v>0</v>
      </c>
      <c r="AK344" s="728"/>
      <c r="AL344" s="728">
        <v>0</v>
      </c>
      <c r="AM344" s="728"/>
      <c r="AN344" s="728">
        <v>0</v>
      </c>
      <c r="AO344" s="728"/>
      <c r="AP344" s="728">
        <v>0</v>
      </c>
      <c r="AQ344" s="728"/>
      <c r="AR344" s="728">
        <v>0</v>
      </c>
      <c r="AS344" s="728"/>
      <c r="AT344" s="769">
        <f t="shared" si="27"/>
        <v>100000</v>
      </c>
      <c r="AU344" s="729"/>
      <c r="AV344" s="771">
        <f t="shared" si="28"/>
        <v>100000</v>
      </c>
      <c r="AW344" s="725">
        <f t="shared" si="26"/>
        <v>0</v>
      </c>
      <c r="AY344" s="742"/>
    </row>
    <row r="345" spans="1:51" s="752" customFormat="1">
      <c r="A345" s="743">
        <f t="shared" si="29"/>
        <v>341</v>
      </c>
      <c r="B345" s="764"/>
      <c r="C345" s="757" t="s">
        <v>1766</v>
      </c>
      <c r="D345" s="746" t="s">
        <v>1774</v>
      </c>
      <c r="E345" s="747">
        <f t="shared" si="13"/>
        <v>670000</v>
      </c>
      <c r="F345" s="765">
        <v>0</v>
      </c>
      <c r="G345" s="765"/>
      <c r="H345" s="765">
        <v>0</v>
      </c>
      <c r="I345" s="765"/>
      <c r="J345" s="765">
        <v>0</v>
      </c>
      <c r="K345" s="765"/>
      <c r="L345" s="765">
        <v>0</v>
      </c>
      <c r="M345" s="765"/>
      <c r="N345" s="765">
        <v>0</v>
      </c>
      <c r="O345" s="765"/>
      <c r="P345" s="766">
        <v>0</v>
      </c>
      <c r="Q345" s="751">
        <v>50000</v>
      </c>
      <c r="R345" s="765">
        <v>50000</v>
      </c>
      <c r="S345" s="765"/>
      <c r="T345" s="765">
        <v>50000</v>
      </c>
      <c r="U345" s="765"/>
      <c r="V345" s="765">
        <v>50000</v>
      </c>
      <c r="W345" s="765"/>
      <c r="X345" s="766">
        <v>0</v>
      </c>
      <c r="Y345" s="751">
        <v>50000</v>
      </c>
      <c r="Z345" s="765">
        <v>50000</v>
      </c>
      <c r="AA345" s="765"/>
      <c r="AB345" s="766">
        <v>0</v>
      </c>
      <c r="AC345" s="751">
        <v>50000</v>
      </c>
      <c r="AD345" s="766">
        <v>0</v>
      </c>
      <c r="AE345" s="751">
        <v>50000</v>
      </c>
      <c r="AF345" s="751">
        <v>0</v>
      </c>
      <c r="AG345" s="751">
        <v>50000</v>
      </c>
      <c r="AH345" s="751">
        <v>0</v>
      </c>
      <c r="AI345" s="751">
        <v>50000</v>
      </c>
      <c r="AJ345" s="766">
        <v>0</v>
      </c>
      <c r="AK345" s="751">
        <v>50000</v>
      </c>
      <c r="AL345" s="766">
        <v>0</v>
      </c>
      <c r="AM345" s="751">
        <v>40000</v>
      </c>
      <c r="AN345" s="766">
        <v>0</v>
      </c>
      <c r="AO345" s="751">
        <v>40000</v>
      </c>
      <c r="AP345" s="766">
        <v>0</v>
      </c>
      <c r="AQ345" s="751">
        <v>40000</v>
      </c>
      <c r="AR345" s="766">
        <v>0</v>
      </c>
      <c r="AS345" s="751">
        <v>40000</v>
      </c>
      <c r="AT345" s="769">
        <f t="shared" si="27"/>
        <v>510000</v>
      </c>
      <c r="AU345" s="750"/>
      <c r="AV345" s="771">
        <f t="shared" si="28"/>
        <v>510000</v>
      </c>
      <c r="AW345" s="752">
        <f t="shared" si="26"/>
        <v>0</v>
      </c>
      <c r="AY345" s="753"/>
    </row>
    <row r="346" spans="1:51" s="752" customFormat="1">
      <c r="A346" s="743">
        <f t="shared" si="29"/>
        <v>342</v>
      </c>
      <c r="B346" s="764"/>
      <c r="C346" s="757" t="s">
        <v>1767</v>
      </c>
      <c r="D346" s="746" t="s">
        <v>1775</v>
      </c>
      <c r="E346" s="747">
        <f t="shared" si="13"/>
        <v>400000</v>
      </c>
      <c r="F346" s="765">
        <v>0</v>
      </c>
      <c r="G346" s="765"/>
      <c r="H346" s="765">
        <v>0</v>
      </c>
      <c r="I346" s="765"/>
      <c r="J346" s="765">
        <v>0</v>
      </c>
      <c r="K346" s="765"/>
      <c r="L346" s="765">
        <v>0</v>
      </c>
      <c r="M346" s="765"/>
      <c r="N346" s="765">
        <v>0</v>
      </c>
      <c r="O346" s="765"/>
      <c r="P346" s="766">
        <v>0</v>
      </c>
      <c r="Q346" s="751">
        <v>50000</v>
      </c>
      <c r="R346" s="765">
        <v>50000</v>
      </c>
      <c r="S346" s="765"/>
      <c r="T346" s="765">
        <v>50000</v>
      </c>
      <c r="U346" s="765"/>
      <c r="V346" s="765">
        <v>50000</v>
      </c>
      <c r="W346" s="765"/>
      <c r="X346" s="765">
        <v>50000</v>
      </c>
      <c r="Y346" s="765"/>
      <c r="Z346" s="765">
        <v>50000</v>
      </c>
      <c r="AA346" s="765"/>
      <c r="AB346" s="765">
        <v>50000</v>
      </c>
      <c r="AC346" s="765"/>
      <c r="AD346" s="766">
        <v>0</v>
      </c>
      <c r="AE346" s="751">
        <v>50000</v>
      </c>
      <c r="AF346" s="750">
        <v>0</v>
      </c>
      <c r="AG346" s="765"/>
      <c r="AH346" s="765"/>
      <c r="AI346" s="765"/>
      <c r="AJ346" s="765">
        <v>0</v>
      </c>
      <c r="AK346" s="765"/>
      <c r="AL346" s="765">
        <v>0</v>
      </c>
      <c r="AM346" s="765"/>
      <c r="AN346" s="765">
        <v>0</v>
      </c>
      <c r="AO346" s="765"/>
      <c r="AP346" s="765">
        <v>0</v>
      </c>
      <c r="AQ346" s="765"/>
      <c r="AR346" s="765">
        <v>0</v>
      </c>
      <c r="AS346" s="765"/>
      <c r="AT346" s="769">
        <f t="shared" si="27"/>
        <v>100000</v>
      </c>
      <c r="AU346" s="750"/>
      <c r="AV346" s="771">
        <f t="shared" si="28"/>
        <v>100000</v>
      </c>
      <c r="AW346" s="752">
        <f t="shared" si="26"/>
        <v>0</v>
      </c>
      <c r="AY346" s="753"/>
    </row>
    <row r="347" spans="1:51" s="752" customFormat="1">
      <c r="A347" s="743">
        <f t="shared" si="29"/>
        <v>343</v>
      </c>
      <c r="B347" s="764"/>
      <c r="C347" s="757" t="s">
        <v>1768</v>
      </c>
      <c r="D347" s="746" t="s">
        <v>1776</v>
      </c>
      <c r="E347" s="747">
        <f t="shared" si="13"/>
        <v>670000</v>
      </c>
      <c r="F347" s="765">
        <v>0</v>
      </c>
      <c r="G347" s="765"/>
      <c r="H347" s="765">
        <v>0</v>
      </c>
      <c r="I347" s="765"/>
      <c r="J347" s="765">
        <v>0</v>
      </c>
      <c r="K347" s="765"/>
      <c r="L347" s="765">
        <v>0</v>
      </c>
      <c r="M347" s="765"/>
      <c r="N347" s="765">
        <v>0</v>
      </c>
      <c r="O347" s="765"/>
      <c r="P347" s="766">
        <v>0</v>
      </c>
      <c r="Q347" s="751">
        <v>50000</v>
      </c>
      <c r="R347" s="765">
        <v>50000</v>
      </c>
      <c r="S347" s="765"/>
      <c r="T347" s="765">
        <v>50000</v>
      </c>
      <c r="U347" s="765"/>
      <c r="V347" s="765">
        <v>50000</v>
      </c>
      <c r="W347" s="765"/>
      <c r="X347" s="765">
        <v>50000</v>
      </c>
      <c r="Y347" s="765"/>
      <c r="Z347" s="765">
        <v>50000</v>
      </c>
      <c r="AA347" s="765"/>
      <c r="AB347" s="766">
        <v>0</v>
      </c>
      <c r="AC347" s="751">
        <v>50000</v>
      </c>
      <c r="AD347" s="766">
        <v>0</v>
      </c>
      <c r="AE347" s="751">
        <v>50000</v>
      </c>
      <c r="AF347" s="751">
        <v>0</v>
      </c>
      <c r="AG347" s="751">
        <v>50000</v>
      </c>
      <c r="AH347" s="751">
        <v>0</v>
      </c>
      <c r="AI347" s="751">
        <v>50000</v>
      </c>
      <c r="AJ347" s="766">
        <v>0</v>
      </c>
      <c r="AK347" s="751">
        <v>50000</v>
      </c>
      <c r="AL347" s="766">
        <v>0</v>
      </c>
      <c r="AM347" s="751">
        <v>40000</v>
      </c>
      <c r="AN347" s="766">
        <v>0</v>
      </c>
      <c r="AO347" s="751">
        <v>40000</v>
      </c>
      <c r="AP347" s="766">
        <v>0</v>
      </c>
      <c r="AQ347" s="751">
        <v>40000</v>
      </c>
      <c r="AR347" s="766">
        <v>0</v>
      </c>
      <c r="AS347" s="751">
        <v>40000</v>
      </c>
      <c r="AT347" s="769">
        <f t="shared" si="27"/>
        <v>460000</v>
      </c>
      <c r="AU347" s="750"/>
      <c r="AV347" s="771">
        <f t="shared" si="28"/>
        <v>460000</v>
      </c>
      <c r="AW347" s="752">
        <f t="shared" si="26"/>
        <v>0</v>
      </c>
      <c r="AY347" s="753"/>
    </row>
    <row r="348" spans="1:51" s="752" customFormat="1" hidden="1">
      <c r="A348" s="743">
        <f t="shared" si="29"/>
        <v>344</v>
      </c>
      <c r="B348" s="764"/>
      <c r="C348" s="757" t="s">
        <v>1769</v>
      </c>
      <c r="D348" s="746" t="s">
        <v>1777</v>
      </c>
      <c r="E348" s="747">
        <f t="shared" si="13"/>
        <v>710000</v>
      </c>
      <c r="F348" s="765">
        <v>0</v>
      </c>
      <c r="G348" s="765"/>
      <c r="H348" s="765">
        <v>0</v>
      </c>
      <c r="I348" s="765"/>
      <c r="J348" s="765">
        <v>0</v>
      </c>
      <c r="K348" s="765"/>
      <c r="L348" s="765">
        <v>0</v>
      </c>
      <c r="M348" s="765"/>
      <c r="N348" s="765">
        <v>0</v>
      </c>
      <c r="O348" s="765"/>
      <c r="P348" s="766">
        <v>0</v>
      </c>
      <c r="Q348" s="751">
        <v>50000</v>
      </c>
      <c r="R348" s="765">
        <v>50000</v>
      </c>
      <c r="S348" s="765"/>
      <c r="T348" s="765">
        <v>50000</v>
      </c>
      <c r="U348" s="765"/>
      <c r="V348" s="765">
        <v>50000</v>
      </c>
      <c r="W348" s="765"/>
      <c r="X348" s="765">
        <v>50000</v>
      </c>
      <c r="Y348" s="765"/>
      <c r="Z348" s="765">
        <v>50000</v>
      </c>
      <c r="AA348" s="765"/>
      <c r="AB348" s="765">
        <v>50000</v>
      </c>
      <c r="AC348" s="765"/>
      <c r="AD348" s="765">
        <v>150000</v>
      </c>
      <c r="AE348" s="765"/>
      <c r="AF348" s="750">
        <v>50000</v>
      </c>
      <c r="AG348" s="765"/>
      <c r="AH348" s="751">
        <v>0</v>
      </c>
      <c r="AI348" s="766"/>
      <c r="AJ348" s="766">
        <v>0</v>
      </c>
      <c r="AK348" s="766"/>
      <c r="AL348" s="765">
        <v>40000</v>
      </c>
      <c r="AM348" s="765"/>
      <c r="AN348" s="765">
        <v>40000</v>
      </c>
      <c r="AO348" s="765"/>
      <c r="AP348" s="765">
        <v>40000</v>
      </c>
      <c r="AQ348" s="765"/>
      <c r="AR348" s="765">
        <v>40000</v>
      </c>
      <c r="AS348" s="765"/>
      <c r="AT348" s="769">
        <f t="shared" si="27"/>
        <v>50000</v>
      </c>
      <c r="AU348" s="750"/>
      <c r="AV348" s="769">
        <f t="shared" si="28"/>
        <v>0</v>
      </c>
      <c r="AW348" s="752">
        <f t="shared" si="26"/>
        <v>50000</v>
      </c>
      <c r="AY348" s="753"/>
    </row>
    <row r="349" spans="1:51" s="752" customFormat="1">
      <c r="A349" s="743">
        <f t="shared" si="29"/>
        <v>345</v>
      </c>
      <c r="B349" s="764"/>
      <c r="C349" s="757" t="s">
        <v>1770</v>
      </c>
      <c r="D349" s="746" t="s">
        <v>1778</v>
      </c>
      <c r="E349" s="747">
        <f t="shared" si="13"/>
        <v>670000</v>
      </c>
      <c r="F349" s="765">
        <v>0</v>
      </c>
      <c r="G349" s="765"/>
      <c r="H349" s="765">
        <v>0</v>
      </c>
      <c r="I349" s="765"/>
      <c r="J349" s="765">
        <v>0</v>
      </c>
      <c r="K349" s="765"/>
      <c r="L349" s="765">
        <v>0</v>
      </c>
      <c r="M349" s="765"/>
      <c r="N349" s="765">
        <v>0</v>
      </c>
      <c r="O349" s="765"/>
      <c r="P349" s="766">
        <v>0</v>
      </c>
      <c r="Q349" s="751">
        <v>50000</v>
      </c>
      <c r="R349" s="765">
        <v>50000</v>
      </c>
      <c r="S349" s="765"/>
      <c r="T349" s="765">
        <v>50000</v>
      </c>
      <c r="U349" s="765"/>
      <c r="V349" s="766">
        <v>0</v>
      </c>
      <c r="W349" s="751">
        <v>50000</v>
      </c>
      <c r="X349" s="765">
        <v>50000</v>
      </c>
      <c r="Y349" s="765"/>
      <c r="Z349" s="765">
        <v>50000</v>
      </c>
      <c r="AA349" s="765"/>
      <c r="AB349" s="765">
        <v>50000</v>
      </c>
      <c r="AC349" s="765"/>
      <c r="AD349" s="766">
        <v>0</v>
      </c>
      <c r="AE349" s="751">
        <v>50000</v>
      </c>
      <c r="AF349" s="751">
        <v>0</v>
      </c>
      <c r="AG349" s="751">
        <v>50000</v>
      </c>
      <c r="AH349" s="751">
        <v>0</v>
      </c>
      <c r="AI349" s="751">
        <v>50000</v>
      </c>
      <c r="AJ349" s="766">
        <v>0</v>
      </c>
      <c r="AK349" s="751">
        <v>50000</v>
      </c>
      <c r="AL349" s="766">
        <v>0</v>
      </c>
      <c r="AM349" s="751">
        <v>40000</v>
      </c>
      <c r="AN349" s="766">
        <v>0</v>
      </c>
      <c r="AO349" s="751">
        <v>40000</v>
      </c>
      <c r="AP349" s="766">
        <v>0</v>
      </c>
      <c r="AQ349" s="751">
        <v>40000</v>
      </c>
      <c r="AR349" s="766">
        <v>0</v>
      </c>
      <c r="AS349" s="751">
        <v>40000</v>
      </c>
      <c r="AT349" s="769">
        <f t="shared" si="27"/>
        <v>460000</v>
      </c>
      <c r="AU349" s="750"/>
      <c r="AV349" s="771">
        <f t="shared" si="28"/>
        <v>460000</v>
      </c>
      <c r="AW349" s="752">
        <f t="shared" si="26"/>
        <v>0</v>
      </c>
      <c r="AY349" s="753"/>
    </row>
    <row r="350" spans="1:51" s="752" customFormat="1">
      <c r="A350" s="743">
        <f t="shared" si="29"/>
        <v>346</v>
      </c>
      <c r="B350" s="764"/>
      <c r="C350" s="757" t="s">
        <v>1771</v>
      </c>
      <c r="D350" s="746" t="s">
        <v>1779</v>
      </c>
      <c r="E350" s="747">
        <f t="shared" si="13"/>
        <v>200000</v>
      </c>
      <c r="F350" s="765">
        <v>0</v>
      </c>
      <c r="G350" s="765"/>
      <c r="H350" s="765">
        <v>0</v>
      </c>
      <c r="I350" s="765"/>
      <c r="J350" s="765">
        <v>0</v>
      </c>
      <c r="K350" s="765"/>
      <c r="L350" s="765">
        <v>0</v>
      </c>
      <c r="M350" s="765"/>
      <c r="N350" s="765">
        <v>0</v>
      </c>
      <c r="O350" s="765"/>
      <c r="P350" s="766">
        <v>0</v>
      </c>
      <c r="Q350" s="751">
        <v>50000</v>
      </c>
      <c r="R350" s="765">
        <v>50000</v>
      </c>
      <c r="S350" s="765"/>
      <c r="T350" s="765">
        <v>50000</v>
      </c>
      <c r="U350" s="765"/>
      <c r="V350" s="765">
        <v>0</v>
      </c>
      <c r="W350" s="765"/>
      <c r="X350" s="765">
        <v>0</v>
      </c>
      <c r="Y350" s="765"/>
      <c r="Z350" s="766">
        <v>0</v>
      </c>
      <c r="AA350" s="751">
        <v>50000</v>
      </c>
      <c r="AB350" s="765">
        <v>0</v>
      </c>
      <c r="AC350" s="765"/>
      <c r="AD350" s="765">
        <v>0</v>
      </c>
      <c r="AE350" s="765"/>
      <c r="AF350" s="750">
        <v>0</v>
      </c>
      <c r="AG350" s="765"/>
      <c r="AH350" s="765"/>
      <c r="AI350" s="765"/>
      <c r="AJ350" s="765">
        <v>0</v>
      </c>
      <c r="AK350" s="765"/>
      <c r="AL350" s="765">
        <v>0</v>
      </c>
      <c r="AM350" s="765"/>
      <c r="AN350" s="765">
        <v>0</v>
      </c>
      <c r="AO350" s="765"/>
      <c r="AP350" s="765">
        <v>0</v>
      </c>
      <c r="AQ350" s="765"/>
      <c r="AR350" s="766">
        <v>0</v>
      </c>
      <c r="AS350" s="751">
        <v>40000</v>
      </c>
      <c r="AT350" s="769">
        <f t="shared" si="27"/>
        <v>140000</v>
      </c>
      <c r="AU350" s="750"/>
      <c r="AV350" s="771">
        <f t="shared" si="28"/>
        <v>140000</v>
      </c>
      <c r="AW350" s="752">
        <f t="shared" si="26"/>
        <v>0</v>
      </c>
      <c r="AY350" s="753"/>
    </row>
    <row r="351" spans="1:51" s="752" customFormat="1" hidden="1">
      <c r="A351" s="743">
        <f t="shared" si="29"/>
        <v>347</v>
      </c>
      <c r="B351" s="764"/>
      <c r="C351" s="757" t="s">
        <v>1780</v>
      </c>
      <c r="D351" s="746" t="s">
        <v>1788</v>
      </c>
      <c r="E351" s="747">
        <f t="shared" si="13"/>
        <v>610000</v>
      </c>
      <c r="F351" s="765">
        <v>0</v>
      </c>
      <c r="G351" s="765"/>
      <c r="H351" s="765">
        <v>0</v>
      </c>
      <c r="I351" s="765"/>
      <c r="J351" s="765">
        <v>0</v>
      </c>
      <c r="K351" s="765"/>
      <c r="L351" s="765">
        <v>0</v>
      </c>
      <c r="M351" s="765"/>
      <c r="N351" s="765">
        <v>0</v>
      </c>
      <c r="O351" s="765"/>
      <c r="P351" s="765">
        <v>0</v>
      </c>
      <c r="Q351" s="765"/>
      <c r="R351" s="766">
        <v>0</v>
      </c>
      <c r="S351" s="751">
        <v>50000</v>
      </c>
      <c r="T351" s="765">
        <v>50000</v>
      </c>
      <c r="U351" s="765"/>
      <c r="V351" s="765">
        <v>50000</v>
      </c>
      <c r="W351" s="765"/>
      <c r="X351" s="765">
        <v>50000</v>
      </c>
      <c r="Y351" s="765"/>
      <c r="Z351" s="765">
        <v>50000</v>
      </c>
      <c r="AA351" s="765"/>
      <c r="AB351" s="765">
        <v>50000</v>
      </c>
      <c r="AC351" s="765"/>
      <c r="AD351" s="765">
        <v>100000</v>
      </c>
      <c r="AE351" s="765"/>
      <c r="AF351" s="750">
        <v>50000</v>
      </c>
      <c r="AG351" s="765"/>
      <c r="AH351" s="751">
        <v>0</v>
      </c>
      <c r="AI351" s="766"/>
      <c r="AJ351" s="766">
        <v>0</v>
      </c>
      <c r="AK351" s="766"/>
      <c r="AL351" s="765">
        <v>40000</v>
      </c>
      <c r="AM351" s="765"/>
      <c r="AN351" s="765">
        <v>40000</v>
      </c>
      <c r="AO351" s="765"/>
      <c r="AP351" s="765">
        <v>40000</v>
      </c>
      <c r="AQ351" s="765"/>
      <c r="AR351" s="765">
        <v>40000</v>
      </c>
      <c r="AS351" s="765"/>
      <c r="AT351" s="769">
        <f t="shared" si="27"/>
        <v>50000</v>
      </c>
      <c r="AU351" s="750"/>
      <c r="AV351" s="769">
        <f t="shared" si="28"/>
        <v>-50000</v>
      </c>
      <c r="AW351" s="752">
        <f t="shared" si="26"/>
        <v>100000</v>
      </c>
      <c r="AY351" s="753"/>
    </row>
    <row r="352" spans="1:51" s="752" customFormat="1" hidden="1">
      <c r="A352" s="743">
        <f t="shared" si="29"/>
        <v>348</v>
      </c>
      <c r="B352" s="764"/>
      <c r="C352" s="757" t="s">
        <v>1781</v>
      </c>
      <c r="D352" s="746" t="s">
        <v>1789</v>
      </c>
      <c r="E352" s="747">
        <f t="shared" si="13"/>
        <v>660000</v>
      </c>
      <c r="F352" s="765">
        <v>0</v>
      </c>
      <c r="G352" s="765"/>
      <c r="H352" s="765">
        <v>0</v>
      </c>
      <c r="I352" s="765"/>
      <c r="J352" s="765">
        <v>0</v>
      </c>
      <c r="K352" s="765"/>
      <c r="L352" s="765">
        <v>0</v>
      </c>
      <c r="M352" s="765"/>
      <c r="N352" s="765">
        <v>0</v>
      </c>
      <c r="O352" s="765"/>
      <c r="P352" s="765">
        <v>0</v>
      </c>
      <c r="Q352" s="765"/>
      <c r="R352" s="766">
        <v>0</v>
      </c>
      <c r="S352" s="751">
        <v>50000</v>
      </c>
      <c r="T352" s="765">
        <v>50000</v>
      </c>
      <c r="U352" s="765"/>
      <c r="V352" s="765">
        <v>50000</v>
      </c>
      <c r="W352" s="765"/>
      <c r="X352" s="765">
        <v>50000</v>
      </c>
      <c r="Y352" s="765"/>
      <c r="Z352" s="765">
        <v>50000</v>
      </c>
      <c r="AA352" s="765"/>
      <c r="AB352" s="765">
        <v>50000</v>
      </c>
      <c r="AC352" s="765"/>
      <c r="AD352" s="765">
        <v>150000</v>
      </c>
      <c r="AE352" s="765"/>
      <c r="AF352" s="750">
        <v>50000</v>
      </c>
      <c r="AG352" s="765"/>
      <c r="AH352" s="751">
        <v>0</v>
      </c>
      <c r="AI352" s="766"/>
      <c r="AJ352" s="766">
        <v>0</v>
      </c>
      <c r="AK352" s="766"/>
      <c r="AL352" s="765">
        <v>40000</v>
      </c>
      <c r="AM352" s="765"/>
      <c r="AN352" s="765">
        <v>40000</v>
      </c>
      <c r="AO352" s="765"/>
      <c r="AP352" s="765">
        <v>40000</v>
      </c>
      <c r="AQ352" s="765"/>
      <c r="AR352" s="765">
        <v>40000</v>
      </c>
      <c r="AS352" s="765"/>
      <c r="AT352" s="769">
        <f t="shared" si="27"/>
        <v>50000</v>
      </c>
      <c r="AU352" s="750"/>
      <c r="AV352" s="769">
        <f t="shared" si="28"/>
        <v>0</v>
      </c>
      <c r="AW352" s="752">
        <f t="shared" si="26"/>
        <v>50000</v>
      </c>
      <c r="AY352" s="753"/>
    </row>
    <row r="353" spans="1:51" s="752" customFormat="1">
      <c r="A353" s="743">
        <f t="shared" si="29"/>
        <v>349</v>
      </c>
      <c r="B353" s="764"/>
      <c r="C353" s="757" t="s">
        <v>1782</v>
      </c>
      <c r="D353" s="746" t="s">
        <v>1790</v>
      </c>
      <c r="E353" s="747">
        <f t="shared" si="13"/>
        <v>410000</v>
      </c>
      <c r="F353" s="765">
        <v>0</v>
      </c>
      <c r="G353" s="765"/>
      <c r="H353" s="765">
        <v>0</v>
      </c>
      <c r="I353" s="765"/>
      <c r="J353" s="765">
        <v>0</v>
      </c>
      <c r="K353" s="765"/>
      <c r="L353" s="765">
        <v>0</v>
      </c>
      <c r="M353" s="765"/>
      <c r="N353" s="765">
        <v>0</v>
      </c>
      <c r="O353" s="765"/>
      <c r="P353" s="765">
        <v>0</v>
      </c>
      <c r="Q353" s="765"/>
      <c r="R353" s="766">
        <v>0</v>
      </c>
      <c r="S353" s="751">
        <v>50000</v>
      </c>
      <c r="T353" s="765">
        <v>50000</v>
      </c>
      <c r="U353" s="765"/>
      <c r="V353" s="765">
        <v>50000</v>
      </c>
      <c r="W353" s="765"/>
      <c r="X353" s="765">
        <v>0</v>
      </c>
      <c r="Y353" s="765"/>
      <c r="Z353" s="765">
        <v>0</v>
      </c>
      <c r="AA353" s="765"/>
      <c r="AB353" s="765">
        <v>0</v>
      </c>
      <c r="AC353" s="765"/>
      <c r="AD353" s="765">
        <v>0</v>
      </c>
      <c r="AE353" s="765"/>
      <c r="AF353" s="750">
        <v>0</v>
      </c>
      <c r="AG353" s="765"/>
      <c r="AH353" s="751">
        <v>0</v>
      </c>
      <c r="AI353" s="751">
        <v>50000</v>
      </c>
      <c r="AJ353" s="765">
        <v>50000</v>
      </c>
      <c r="AK353" s="765"/>
      <c r="AL353" s="765">
        <v>40000</v>
      </c>
      <c r="AM353" s="765"/>
      <c r="AN353" s="765">
        <v>40000</v>
      </c>
      <c r="AO353" s="765"/>
      <c r="AP353" s="765">
        <v>40000</v>
      </c>
      <c r="AQ353" s="765"/>
      <c r="AR353" s="765">
        <v>40000</v>
      </c>
      <c r="AS353" s="765"/>
      <c r="AT353" s="769">
        <f t="shared" si="27"/>
        <v>100000</v>
      </c>
      <c r="AU353" s="750"/>
      <c r="AV353" s="771">
        <f t="shared" si="28"/>
        <v>100000</v>
      </c>
      <c r="AW353" s="752">
        <f t="shared" si="26"/>
        <v>0</v>
      </c>
      <c r="AY353" s="753"/>
    </row>
    <row r="354" spans="1:51" s="752" customFormat="1" hidden="1">
      <c r="A354" s="743">
        <f t="shared" si="29"/>
        <v>350</v>
      </c>
      <c r="B354" s="764"/>
      <c r="C354" s="757" t="s">
        <v>1783</v>
      </c>
      <c r="D354" s="746" t="s">
        <v>1791</v>
      </c>
      <c r="E354" s="747">
        <f t="shared" si="13"/>
        <v>200000</v>
      </c>
      <c r="F354" s="765">
        <v>0</v>
      </c>
      <c r="G354" s="765"/>
      <c r="H354" s="765">
        <v>0</v>
      </c>
      <c r="I354" s="765"/>
      <c r="J354" s="765">
        <v>0</v>
      </c>
      <c r="K354" s="765"/>
      <c r="L354" s="765">
        <v>0</v>
      </c>
      <c r="M354" s="765"/>
      <c r="N354" s="765">
        <v>0</v>
      </c>
      <c r="O354" s="765"/>
      <c r="P354" s="765">
        <v>0</v>
      </c>
      <c r="Q354" s="765"/>
      <c r="R354" s="766">
        <v>0</v>
      </c>
      <c r="S354" s="751">
        <v>50000</v>
      </c>
      <c r="T354" s="765">
        <v>50000</v>
      </c>
      <c r="U354" s="765"/>
      <c r="V354" s="766">
        <v>0</v>
      </c>
      <c r="W354" s="751">
        <v>50000</v>
      </c>
      <c r="X354" s="766">
        <v>0</v>
      </c>
      <c r="Y354" s="751">
        <v>50000</v>
      </c>
      <c r="Z354" s="765">
        <v>0</v>
      </c>
      <c r="AA354" s="765"/>
      <c r="AB354" s="765">
        <v>0</v>
      </c>
      <c r="AC354" s="765"/>
      <c r="AD354" s="765">
        <v>0</v>
      </c>
      <c r="AE354" s="765"/>
      <c r="AF354" s="750">
        <v>0</v>
      </c>
      <c r="AG354" s="765"/>
      <c r="AH354" s="765"/>
      <c r="AI354" s="765"/>
      <c r="AJ354" s="765">
        <v>0</v>
      </c>
      <c r="AK354" s="765"/>
      <c r="AL354" s="765">
        <v>0</v>
      </c>
      <c r="AM354" s="765"/>
      <c r="AN354" s="765">
        <v>0</v>
      </c>
      <c r="AO354" s="765"/>
      <c r="AP354" s="765">
        <v>0</v>
      </c>
      <c r="AQ354" s="765"/>
      <c r="AR354" s="765">
        <v>0</v>
      </c>
      <c r="AS354" s="765"/>
      <c r="AT354" s="769">
        <f t="shared" si="27"/>
        <v>150000</v>
      </c>
      <c r="AU354" s="750"/>
      <c r="AV354" s="769">
        <f t="shared" si="28"/>
        <v>0</v>
      </c>
      <c r="AW354" s="752">
        <f t="shared" si="26"/>
        <v>150000</v>
      </c>
      <c r="AY354" s="753"/>
    </row>
    <row r="355" spans="1:51" s="752" customFormat="1" hidden="1">
      <c r="A355" s="743">
        <f t="shared" si="29"/>
        <v>351</v>
      </c>
      <c r="B355" s="764"/>
      <c r="C355" s="757" t="s">
        <v>1784</v>
      </c>
      <c r="D355" s="746" t="s">
        <v>1792</v>
      </c>
      <c r="E355" s="747">
        <f t="shared" si="13"/>
        <v>660000</v>
      </c>
      <c r="F355" s="765">
        <v>0</v>
      </c>
      <c r="G355" s="765"/>
      <c r="H355" s="765">
        <v>0</v>
      </c>
      <c r="I355" s="765"/>
      <c r="J355" s="765">
        <v>0</v>
      </c>
      <c r="K355" s="765"/>
      <c r="L355" s="765">
        <v>0</v>
      </c>
      <c r="M355" s="765"/>
      <c r="N355" s="765">
        <v>0</v>
      </c>
      <c r="O355" s="765"/>
      <c r="P355" s="765">
        <v>0</v>
      </c>
      <c r="Q355" s="765"/>
      <c r="R355" s="766">
        <v>0</v>
      </c>
      <c r="S355" s="751">
        <v>50000</v>
      </c>
      <c r="T355" s="765">
        <v>50000</v>
      </c>
      <c r="U355" s="765"/>
      <c r="V355" s="765">
        <v>50000</v>
      </c>
      <c r="W355" s="765"/>
      <c r="X355" s="765">
        <v>50000</v>
      </c>
      <c r="Y355" s="765"/>
      <c r="Z355" s="765">
        <v>50000</v>
      </c>
      <c r="AA355" s="765"/>
      <c r="AB355" s="765">
        <v>50000</v>
      </c>
      <c r="AC355" s="765"/>
      <c r="AD355" s="765">
        <v>150000</v>
      </c>
      <c r="AE355" s="765"/>
      <c r="AF355" s="750">
        <v>50000</v>
      </c>
      <c r="AG355" s="765"/>
      <c r="AH355" s="751">
        <v>0</v>
      </c>
      <c r="AI355" s="766"/>
      <c r="AJ355" s="766">
        <v>0</v>
      </c>
      <c r="AK355" s="766"/>
      <c r="AL355" s="765">
        <v>40000</v>
      </c>
      <c r="AM355" s="765"/>
      <c r="AN355" s="765">
        <v>40000</v>
      </c>
      <c r="AO355" s="765"/>
      <c r="AP355" s="765">
        <v>40000</v>
      </c>
      <c r="AQ355" s="765"/>
      <c r="AR355" s="765">
        <v>40000</v>
      </c>
      <c r="AS355" s="765"/>
      <c r="AT355" s="769">
        <f t="shared" si="27"/>
        <v>50000</v>
      </c>
      <c r="AU355" s="750"/>
      <c r="AV355" s="769">
        <f t="shared" si="28"/>
        <v>0</v>
      </c>
      <c r="AW355" s="752">
        <f t="shared" si="26"/>
        <v>50000</v>
      </c>
      <c r="AY355" s="753"/>
    </row>
    <row r="356" spans="1:51" s="752" customFormat="1" hidden="1">
      <c r="A356" s="743">
        <f t="shared" si="29"/>
        <v>352</v>
      </c>
      <c r="B356" s="764"/>
      <c r="C356" s="757" t="s">
        <v>1785</v>
      </c>
      <c r="D356" s="746" t="s">
        <v>1793</v>
      </c>
      <c r="E356" s="747">
        <f t="shared" si="13"/>
        <v>450000</v>
      </c>
      <c r="F356" s="765">
        <v>0</v>
      </c>
      <c r="G356" s="765"/>
      <c r="H356" s="765">
        <v>0</v>
      </c>
      <c r="I356" s="765"/>
      <c r="J356" s="765">
        <v>0</v>
      </c>
      <c r="K356" s="765"/>
      <c r="L356" s="765">
        <v>0</v>
      </c>
      <c r="M356" s="765"/>
      <c r="N356" s="765">
        <v>0</v>
      </c>
      <c r="O356" s="765"/>
      <c r="P356" s="765">
        <v>0</v>
      </c>
      <c r="Q356" s="765"/>
      <c r="R356" s="766">
        <v>0</v>
      </c>
      <c r="S356" s="751">
        <v>50000</v>
      </c>
      <c r="T356" s="765">
        <v>50000</v>
      </c>
      <c r="U356" s="765"/>
      <c r="V356" s="765">
        <v>50000</v>
      </c>
      <c r="W356" s="765"/>
      <c r="X356" s="765">
        <v>50000</v>
      </c>
      <c r="Y356" s="765"/>
      <c r="Z356" s="765">
        <v>50000</v>
      </c>
      <c r="AA356" s="765"/>
      <c r="AB356" s="765">
        <v>50000</v>
      </c>
      <c r="AC356" s="765"/>
      <c r="AD356" s="765">
        <v>100000</v>
      </c>
      <c r="AE356" s="765"/>
      <c r="AF356" s="750">
        <v>50000</v>
      </c>
      <c r="AG356" s="765"/>
      <c r="AH356" s="751">
        <v>0</v>
      </c>
      <c r="AI356" s="765"/>
      <c r="AJ356" s="765">
        <v>0</v>
      </c>
      <c r="AK356" s="765"/>
      <c r="AL356" s="765">
        <v>0</v>
      </c>
      <c r="AM356" s="765"/>
      <c r="AN356" s="765">
        <v>0</v>
      </c>
      <c r="AO356" s="765"/>
      <c r="AP356" s="765">
        <v>0</v>
      </c>
      <c r="AQ356" s="765"/>
      <c r="AR356" s="765">
        <v>0</v>
      </c>
      <c r="AS356" s="765"/>
      <c r="AT356" s="769">
        <f t="shared" si="27"/>
        <v>50000</v>
      </c>
      <c r="AU356" s="750"/>
      <c r="AV356" s="769">
        <f t="shared" si="28"/>
        <v>0</v>
      </c>
      <c r="AW356" s="752">
        <f t="shared" si="26"/>
        <v>50000</v>
      </c>
      <c r="AY356" s="753"/>
    </row>
    <row r="357" spans="1:51" s="752" customFormat="1" hidden="1">
      <c r="A357" s="743">
        <f t="shared" si="29"/>
        <v>353</v>
      </c>
      <c r="B357" s="764"/>
      <c r="C357" s="757" t="s">
        <v>1786</v>
      </c>
      <c r="D357" s="746" t="s">
        <v>1794</v>
      </c>
      <c r="E357" s="747">
        <f t="shared" si="13"/>
        <v>670000</v>
      </c>
      <c r="F357" s="765">
        <v>0</v>
      </c>
      <c r="G357" s="765"/>
      <c r="H357" s="765">
        <v>0</v>
      </c>
      <c r="I357" s="765"/>
      <c r="J357" s="765">
        <v>0</v>
      </c>
      <c r="K357" s="765"/>
      <c r="L357" s="765">
        <v>0</v>
      </c>
      <c r="M357" s="765"/>
      <c r="N357" s="765">
        <v>0</v>
      </c>
      <c r="O357" s="765"/>
      <c r="P357" s="766">
        <v>0</v>
      </c>
      <c r="Q357" s="751">
        <v>50000</v>
      </c>
      <c r="R357" s="766">
        <v>0</v>
      </c>
      <c r="S357" s="751">
        <v>50000</v>
      </c>
      <c r="T357" s="765">
        <v>50000</v>
      </c>
      <c r="U357" s="765"/>
      <c r="V357" s="765">
        <v>50000</v>
      </c>
      <c r="W357" s="765"/>
      <c r="X357" s="765">
        <v>50000</v>
      </c>
      <c r="Y357" s="765"/>
      <c r="Z357" s="765">
        <v>50000</v>
      </c>
      <c r="AA357" s="765"/>
      <c r="AB357" s="765">
        <v>50000</v>
      </c>
      <c r="AC357" s="765"/>
      <c r="AD357" s="765">
        <v>150000</v>
      </c>
      <c r="AE357" s="765"/>
      <c r="AF357" s="750">
        <v>50000</v>
      </c>
      <c r="AG357" s="765"/>
      <c r="AH357" s="751">
        <v>0</v>
      </c>
      <c r="AI357" s="766"/>
      <c r="AJ357" s="766">
        <v>0</v>
      </c>
      <c r="AK357" s="766"/>
      <c r="AL357" s="765">
        <v>40000</v>
      </c>
      <c r="AM357" s="765"/>
      <c r="AN357" s="765">
        <v>40000</v>
      </c>
      <c r="AO357" s="765"/>
      <c r="AP357" s="765">
        <v>40000</v>
      </c>
      <c r="AQ357" s="765"/>
      <c r="AR357" s="766">
        <v>0</v>
      </c>
      <c r="AS357" s="751">
        <v>40000</v>
      </c>
      <c r="AT357" s="769">
        <f t="shared" si="27"/>
        <v>140000</v>
      </c>
      <c r="AU357" s="750"/>
      <c r="AV357" s="769">
        <f t="shared" si="28"/>
        <v>0</v>
      </c>
      <c r="AW357" s="752">
        <f t="shared" si="26"/>
        <v>140000</v>
      </c>
      <c r="AY357" s="753"/>
    </row>
    <row r="358" spans="1:51" s="752" customFormat="1">
      <c r="A358" s="743">
        <f t="shared" si="29"/>
        <v>354</v>
      </c>
      <c r="B358" s="764"/>
      <c r="C358" s="757" t="s">
        <v>1787</v>
      </c>
      <c r="D358" s="746" t="s">
        <v>1795</v>
      </c>
      <c r="E358" s="747">
        <f t="shared" si="13"/>
        <v>300000</v>
      </c>
      <c r="F358" s="765">
        <v>0</v>
      </c>
      <c r="G358" s="765"/>
      <c r="H358" s="765">
        <v>0</v>
      </c>
      <c r="I358" s="765"/>
      <c r="J358" s="765">
        <v>0</v>
      </c>
      <c r="K358" s="765"/>
      <c r="L358" s="765">
        <v>0</v>
      </c>
      <c r="M358" s="765"/>
      <c r="N358" s="765">
        <v>0</v>
      </c>
      <c r="O358" s="765"/>
      <c r="P358" s="765">
        <v>0</v>
      </c>
      <c r="Q358" s="765"/>
      <c r="R358" s="766">
        <v>0</v>
      </c>
      <c r="S358" s="751">
        <v>50000</v>
      </c>
      <c r="T358" s="765">
        <v>50000</v>
      </c>
      <c r="U358" s="765"/>
      <c r="V358" s="765">
        <v>50000</v>
      </c>
      <c r="W358" s="765"/>
      <c r="X358" s="765">
        <v>0</v>
      </c>
      <c r="Y358" s="765"/>
      <c r="Z358" s="766">
        <v>0</v>
      </c>
      <c r="AA358" s="751">
        <v>50000</v>
      </c>
      <c r="AB358" s="765">
        <v>50000</v>
      </c>
      <c r="AC358" s="765"/>
      <c r="AD358" s="766">
        <v>0</v>
      </c>
      <c r="AE358" s="751">
        <v>50000</v>
      </c>
      <c r="AF358" s="750">
        <v>0</v>
      </c>
      <c r="AG358" s="765"/>
      <c r="AH358" s="765"/>
      <c r="AI358" s="765"/>
      <c r="AJ358" s="765">
        <v>0</v>
      </c>
      <c r="AK358" s="765"/>
      <c r="AL358" s="765">
        <v>0</v>
      </c>
      <c r="AM358" s="765"/>
      <c r="AN358" s="765">
        <v>0</v>
      </c>
      <c r="AO358" s="765"/>
      <c r="AP358" s="765">
        <v>0</v>
      </c>
      <c r="AQ358" s="765"/>
      <c r="AR358" s="765">
        <v>0</v>
      </c>
      <c r="AS358" s="765"/>
      <c r="AT358" s="769">
        <f t="shared" si="27"/>
        <v>150000</v>
      </c>
      <c r="AU358" s="750"/>
      <c r="AV358" s="771">
        <f t="shared" si="28"/>
        <v>150000</v>
      </c>
      <c r="AW358" s="752">
        <f t="shared" si="26"/>
        <v>0</v>
      </c>
      <c r="AY358" s="753"/>
    </row>
    <row r="359" spans="1:51" s="752" customFormat="1">
      <c r="A359" s="743">
        <f t="shared" si="29"/>
        <v>355</v>
      </c>
      <c r="B359" s="764"/>
      <c r="C359" s="757" t="s">
        <v>1797</v>
      </c>
      <c r="D359" s="746" t="s">
        <v>1800</v>
      </c>
      <c r="E359" s="747">
        <f t="shared" si="13"/>
        <v>910000</v>
      </c>
      <c r="F359" s="765">
        <v>0</v>
      </c>
      <c r="G359" s="765"/>
      <c r="H359" s="766">
        <v>0</v>
      </c>
      <c r="I359" s="751">
        <v>50000</v>
      </c>
      <c r="J359" s="766">
        <v>0</v>
      </c>
      <c r="K359" s="751">
        <v>50000</v>
      </c>
      <c r="L359" s="766">
        <v>0</v>
      </c>
      <c r="M359" s="751">
        <v>50000</v>
      </c>
      <c r="N359" s="766">
        <v>0</v>
      </c>
      <c r="O359" s="751">
        <v>50000</v>
      </c>
      <c r="P359" s="766">
        <v>0</v>
      </c>
      <c r="Q359" s="751">
        <v>50000</v>
      </c>
      <c r="R359" s="766">
        <v>0</v>
      </c>
      <c r="S359" s="751">
        <v>50000</v>
      </c>
      <c r="T359" s="766">
        <v>0</v>
      </c>
      <c r="U359" s="751">
        <v>50000</v>
      </c>
      <c r="V359" s="765">
        <v>50000</v>
      </c>
      <c r="W359" s="765"/>
      <c r="X359" s="765">
        <v>50000</v>
      </c>
      <c r="Y359" s="765"/>
      <c r="Z359" s="765">
        <v>50000</v>
      </c>
      <c r="AA359" s="765"/>
      <c r="AB359" s="765">
        <v>50000</v>
      </c>
      <c r="AC359" s="765"/>
      <c r="AD359" s="765">
        <v>150000</v>
      </c>
      <c r="AE359" s="765"/>
      <c r="AF359" s="750">
        <v>50000</v>
      </c>
      <c r="AG359" s="765"/>
      <c r="AH359" s="751">
        <v>0</v>
      </c>
      <c r="AI359" s="766"/>
      <c r="AJ359" s="766">
        <v>0</v>
      </c>
      <c r="AK359" s="766"/>
      <c r="AL359" s="765">
        <v>40000</v>
      </c>
      <c r="AM359" s="765"/>
      <c r="AN359" s="765">
        <v>40000</v>
      </c>
      <c r="AO359" s="765"/>
      <c r="AP359" s="765">
        <v>40000</v>
      </c>
      <c r="AQ359" s="765"/>
      <c r="AR359" s="765">
        <v>40000</v>
      </c>
      <c r="AS359" s="765"/>
      <c r="AT359" s="769">
        <f t="shared" si="27"/>
        <v>350000</v>
      </c>
      <c r="AU359" s="750"/>
      <c r="AV359" s="771">
        <f t="shared" si="28"/>
        <v>350000</v>
      </c>
      <c r="AW359" s="752">
        <f t="shared" si="26"/>
        <v>0</v>
      </c>
      <c r="AY359" s="753"/>
    </row>
    <row r="360" spans="1:51" s="752" customFormat="1" hidden="1">
      <c r="A360" s="743">
        <f t="shared" si="29"/>
        <v>356</v>
      </c>
      <c r="B360" s="764"/>
      <c r="C360" s="757" t="s">
        <v>1798</v>
      </c>
      <c r="D360" s="746" t="s">
        <v>1801</v>
      </c>
      <c r="E360" s="747">
        <f t="shared" si="13"/>
        <v>610000</v>
      </c>
      <c r="F360" s="765">
        <v>0</v>
      </c>
      <c r="G360" s="765"/>
      <c r="H360" s="765">
        <v>0</v>
      </c>
      <c r="I360" s="765"/>
      <c r="J360" s="765">
        <v>0</v>
      </c>
      <c r="K360" s="765"/>
      <c r="L360" s="765">
        <v>0</v>
      </c>
      <c r="M360" s="765"/>
      <c r="N360" s="765">
        <v>0</v>
      </c>
      <c r="O360" s="765"/>
      <c r="P360" s="765">
        <v>0</v>
      </c>
      <c r="Q360" s="765"/>
      <c r="R360" s="765">
        <v>0</v>
      </c>
      <c r="S360" s="765"/>
      <c r="T360" s="766">
        <v>0</v>
      </c>
      <c r="U360" s="751">
        <v>50000</v>
      </c>
      <c r="V360" s="765">
        <v>50000</v>
      </c>
      <c r="W360" s="765"/>
      <c r="X360" s="765">
        <v>50000</v>
      </c>
      <c r="Y360" s="765"/>
      <c r="Z360" s="765">
        <v>50000</v>
      </c>
      <c r="AA360" s="765"/>
      <c r="AB360" s="765">
        <v>50000</v>
      </c>
      <c r="AC360" s="765"/>
      <c r="AD360" s="765">
        <v>150000</v>
      </c>
      <c r="AE360" s="765"/>
      <c r="AF360" s="750">
        <v>50000</v>
      </c>
      <c r="AG360" s="765"/>
      <c r="AH360" s="751">
        <v>0</v>
      </c>
      <c r="AI360" s="766"/>
      <c r="AJ360" s="766">
        <v>0</v>
      </c>
      <c r="AK360" s="766"/>
      <c r="AL360" s="765">
        <v>40000</v>
      </c>
      <c r="AM360" s="765"/>
      <c r="AN360" s="765">
        <v>40000</v>
      </c>
      <c r="AO360" s="765"/>
      <c r="AP360" s="765">
        <v>40000</v>
      </c>
      <c r="AQ360" s="765"/>
      <c r="AR360" s="765">
        <v>40000</v>
      </c>
      <c r="AS360" s="765"/>
      <c r="AT360" s="769">
        <f t="shared" si="27"/>
        <v>50000</v>
      </c>
      <c r="AU360" s="750"/>
      <c r="AV360" s="769">
        <f t="shared" si="28"/>
        <v>0</v>
      </c>
      <c r="AW360" s="752">
        <f t="shared" si="26"/>
        <v>50000</v>
      </c>
      <c r="AY360" s="753"/>
    </row>
    <row r="361" spans="1:51" s="752" customFormat="1" hidden="1">
      <c r="A361" s="743">
        <f t="shared" si="29"/>
        <v>357</v>
      </c>
      <c r="B361" s="764"/>
      <c r="C361" s="757" t="s">
        <v>1799</v>
      </c>
      <c r="D361" s="746" t="s">
        <v>1802</v>
      </c>
      <c r="E361" s="747">
        <f t="shared" si="13"/>
        <v>610000</v>
      </c>
      <c r="F361" s="765">
        <v>0</v>
      </c>
      <c r="G361" s="765"/>
      <c r="H361" s="765">
        <v>0</v>
      </c>
      <c r="I361" s="765"/>
      <c r="J361" s="765">
        <v>0</v>
      </c>
      <c r="K361" s="765"/>
      <c r="L361" s="765">
        <v>0</v>
      </c>
      <c r="M361" s="765"/>
      <c r="N361" s="765">
        <v>0</v>
      </c>
      <c r="O361" s="765"/>
      <c r="P361" s="765">
        <v>0</v>
      </c>
      <c r="Q361" s="765"/>
      <c r="R361" s="765">
        <v>0</v>
      </c>
      <c r="S361" s="765"/>
      <c r="T361" s="766">
        <v>0</v>
      </c>
      <c r="U361" s="751">
        <v>50000</v>
      </c>
      <c r="V361" s="765">
        <v>50000</v>
      </c>
      <c r="W361" s="765"/>
      <c r="X361" s="765">
        <v>50000</v>
      </c>
      <c r="Y361" s="765"/>
      <c r="Z361" s="765">
        <v>50000</v>
      </c>
      <c r="AA361" s="765"/>
      <c r="AB361" s="765">
        <v>50000</v>
      </c>
      <c r="AC361" s="765"/>
      <c r="AD361" s="765">
        <v>150000</v>
      </c>
      <c r="AE361" s="765"/>
      <c r="AF361" s="750">
        <v>50000</v>
      </c>
      <c r="AG361" s="765"/>
      <c r="AH361" s="751">
        <v>0</v>
      </c>
      <c r="AI361" s="766"/>
      <c r="AJ361" s="766">
        <v>0</v>
      </c>
      <c r="AK361" s="766"/>
      <c r="AL361" s="765">
        <v>40000</v>
      </c>
      <c r="AM361" s="765"/>
      <c r="AN361" s="765">
        <v>40000</v>
      </c>
      <c r="AO361" s="765"/>
      <c r="AP361" s="765">
        <v>40000</v>
      </c>
      <c r="AQ361" s="765"/>
      <c r="AR361" s="765">
        <v>40000</v>
      </c>
      <c r="AS361" s="765"/>
      <c r="AT361" s="769">
        <f t="shared" si="27"/>
        <v>50000</v>
      </c>
      <c r="AU361" s="750"/>
      <c r="AV361" s="769">
        <f t="shared" si="28"/>
        <v>0</v>
      </c>
      <c r="AW361" s="752">
        <f t="shared" si="26"/>
        <v>50000</v>
      </c>
      <c r="AY361" s="753"/>
    </row>
    <row r="362" spans="1:51" s="752" customFormat="1">
      <c r="A362" s="743">
        <f t="shared" si="29"/>
        <v>358</v>
      </c>
      <c r="B362" s="764"/>
      <c r="C362" s="757" t="s">
        <v>1803</v>
      </c>
      <c r="D362" s="746" t="s">
        <v>1806</v>
      </c>
      <c r="E362" s="747">
        <f t="shared" si="13"/>
        <v>100000</v>
      </c>
      <c r="F362" s="765">
        <v>0</v>
      </c>
      <c r="G362" s="765"/>
      <c r="H362" s="765">
        <v>0</v>
      </c>
      <c r="I362" s="765"/>
      <c r="J362" s="765">
        <v>0</v>
      </c>
      <c r="K362" s="765"/>
      <c r="L362" s="765">
        <v>0</v>
      </c>
      <c r="M362" s="765"/>
      <c r="N362" s="765">
        <v>0</v>
      </c>
      <c r="O362" s="765"/>
      <c r="P362" s="765">
        <v>0</v>
      </c>
      <c r="Q362" s="765"/>
      <c r="R362" s="765">
        <v>0</v>
      </c>
      <c r="S362" s="765"/>
      <c r="T362" s="765">
        <v>0</v>
      </c>
      <c r="U362" s="765"/>
      <c r="V362" s="766">
        <v>0</v>
      </c>
      <c r="W362" s="751">
        <v>50000</v>
      </c>
      <c r="X362" s="765">
        <v>50000</v>
      </c>
      <c r="Y362" s="765"/>
      <c r="Z362" s="765">
        <v>0</v>
      </c>
      <c r="AA362" s="765"/>
      <c r="AB362" s="765">
        <v>0</v>
      </c>
      <c r="AC362" s="765"/>
      <c r="AD362" s="765">
        <v>0</v>
      </c>
      <c r="AE362" s="765"/>
      <c r="AF362" s="750">
        <v>0</v>
      </c>
      <c r="AG362" s="765"/>
      <c r="AH362" s="765"/>
      <c r="AI362" s="765"/>
      <c r="AJ362" s="765">
        <v>0</v>
      </c>
      <c r="AK362" s="765"/>
      <c r="AL362" s="765">
        <v>0</v>
      </c>
      <c r="AM362" s="765"/>
      <c r="AN362" s="765">
        <v>0</v>
      </c>
      <c r="AO362" s="765"/>
      <c r="AP362" s="765">
        <v>0</v>
      </c>
      <c r="AQ362" s="765"/>
      <c r="AR362" s="765">
        <v>0</v>
      </c>
      <c r="AS362" s="765"/>
      <c r="AT362" s="769">
        <f t="shared" si="27"/>
        <v>50000</v>
      </c>
      <c r="AU362" s="750"/>
      <c r="AV362" s="771">
        <f t="shared" si="28"/>
        <v>50000</v>
      </c>
      <c r="AW362" s="752">
        <f t="shared" si="26"/>
        <v>0</v>
      </c>
      <c r="AY362" s="753"/>
    </row>
    <row r="363" spans="1:51" s="752" customFormat="1" hidden="1">
      <c r="A363" s="743">
        <f t="shared" si="29"/>
        <v>359</v>
      </c>
      <c r="B363" s="764"/>
      <c r="C363" s="757" t="s">
        <v>1804</v>
      </c>
      <c r="D363" s="746" t="s">
        <v>1807</v>
      </c>
      <c r="E363" s="747">
        <f t="shared" si="13"/>
        <v>250000</v>
      </c>
      <c r="F363" s="765">
        <v>0</v>
      </c>
      <c r="G363" s="765"/>
      <c r="H363" s="765">
        <v>0</v>
      </c>
      <c r="I363" s="765"/>
      <c r="J363" s="765">
        <v>0</v>
      </c>
      <c r="K363" s="765"/>
      <c r="L363" s="765">
        <v>0</v>
      </c>
      <c r="M363" s="765"/>
      <c r="N363" s="765">
        <v>0</v>
      </c>
      <c r="O363" s="765"/>
      <c r="P363" s="765">
        <v>0</v>
      </c>
      <c r="Q363" s="765"/>
      <c r="R363" s="765">
        <v>0</v>
      </c>
      <c r="S363" s="765"/>
      <c r="T363" s="765">
        <v>0</v>
      </c>
      <c r="U363" s="765"/>
      <c r="V363" s="766">
        <v>0</v>
      </c>
      <c r="W363" s="751">
        <v>50000</v>
      </c>
      <c r="X363" s="765">
        <v>50000</v>
      </c>
      <c r="Y363" s="765"/>
      <c r="Z363" s="765">
        <v>50000</v>
      </c>
      <c r="AA363" s="765"/>
      <c r="AB363" s="765">
        <v>50000</v>
      </c>
      <c r="AC363" s="765"/>
      <c r="AD363" s="766">
        <v>0</v>
      </c>
      <c r="AE363" s="751">
        <v>50000</v>
      </c>
      <c r="AF363" s="750">
        <v>0</v>
      </c>
      <c r="AG363" s="765"/>
      <c r="AH363" s="765"/>
      <c r="AI363" s="765"/>
      <c r="AJ363" s="765">
        <v>0</v>
      </c>
      <c r="AK363" s="765"/>
      <c r="AL363" s="765">
        <v>0</v>
      </c>
      <c r="AM363" s="765"/>
      <c r="AN363" s="765">
        <v>0</v>
      </c>
      <c r="AO363" s="765"/>
      <c r="AP363" s="765">
        <v>0</v>
      </c>
      <c r="AQ363" s="765"/>
      <c r="AR363" s="765">
        <v>0</v>
      </c>
      <c r="AS363" s="765"/>
      <c r="AT363" s="769">
        <f t="shared" si="27"/>
        <v>100000</v>
      </c>
      <c r="AU363" s="750"/>
      <c r="AV363" s="769">
        <f t="shared" si="28"/>
        <v>0</v>
      </c>
      <c r="AW363" s="752">
        <f t="shared" si="26"/>
        <v>100000</v>
      </c>
      <c r="AY363" s="753"/>
    </row>
    <row r="364" spans="1:51" s="752" customFormat="1" hidden="1">
      <c r="A364" s="743">
        <f t="shared" si="29"/>
        <v>360</v>
      </c>
      <c r="B364" s="764"/>
      <c r="C364" s="757" t="s">
        <v>1805</v>
      </c>
      <c r="D364" s="746" t="s">
        <v>1808</v>
      </c>
      <c r="E364" s="747">
        <f t="shared" si="13"/>
        <v>560000</v>
      </c>
      <c r="F364" s="765">
        <v>0</v>
      </c>
      <c r="G364" s="765"/>
      <c r="H364" s="765">
        <v>0</v>
      </c>
      <c r="I364" s="765"/>
      <c r="J364" s="765">
        <v>0</v>
      </c>
      <c r="K364" s="765"/>
      <c r="L364" s="765">
        <v>0</v>
      </c>
      <c r="M364" s="765"/>
      <c r="N364" s="765">
        <v>0</v>
      </c>
      <c r="O364" s="765"/>
      <c r="P364" s="765">
        <v>0</v>
      </c>
      <c r="Q364" s="765"/>
      <c r="R364" s="765">
        <v>0</v>
      </c>
      <c r="S364" s="765"/>
      <c r="T364" s="765">
        <v>0</v>
      </c>
      <c r="U364" s="765"/>
      <c r="V364" s="766">
        <v>0</v>
      </c>
      <c r="W364" s="751">
        <v>50000</v>
      </c>
      <c r="X364" s="765">
        <v>50000</v>
      </c>
      <c r="Y364" s="765"/>
      <c r="Z364" s="765">
        <v>50000</v>
      </c>
      <c r="AA364" s="765"/>
      <c r="AB364" s="765">
        <v>50000</v>
      </c>
      <c r="AC364" s="765"/>
      <c r="AD364" s="765">
        <v>100000</v>
      </c>
      <c r="AE364" s="765"/>
      <c r="AF364" s="750">
        <v>50000</v>
      </c>
      <c r="AG364" s="765"/>
      <c r="AH364" s="751">
        <v>0</v>
      </c>
      <c r="AI364" s="766"/>
      <c r="AJ364" s="766">
        <v>0</v>
      </c>
      <c r="AK364" s="751">
        <v>50000</v>
      </c>
      <c r="AL364" s="765">
        <v>40000</v>
      </c>
      <c r="AM364" s="765"/>
      <c r="AN364" s="765">
        <v>40000</v>
      </c>
      <c r="AO364" s="765"/>
      <c r="AP364" s="765">
        <v>40000</v>
      </c>
      <c r="AQ364" s="765"/>
      <c r="AR364" s="765">
        <v>40000</v>
      </c>
      <c r="AS364" s="765"/>
      <c r="AT364" s="769">
        <f t="shared" si="27"/>
        <v>100000</v>
      </c>
      <c r="AU364" s="750"/>
      <c r="AV364" s="769">
        <f t="shared" si="28"/>
        <v>0</v>
      </c>
      <c r="AW364" s="752">
        <f t="shared" si="26"/>
        <v>100000</v>
      </c>
      <c r="AY364" s="753"/>
    </row>
    <row r="365" spans="1:51" s="752" customFormat="1">
      <c r="A365" s="743">
        <f t="shared" si="29"/>
        <v>361</v>
      </c>
      <c r="B365" s="764"/>
      <c r="C365" s="757" t="s">
        <v>1809</v>
      </c>
      <c r="D365" s="746" t="s">
        <v>1816</v>
      </c>
      <c r="E365" s="747">
        <f t="shared" si="13"/>
        <v>420000</v>
      </c>
      <c r="F365" s="765">
        <v>0</v>
      </c>
      <c r="G365" s="765"/>
      <c r="H365" s="765">
        <v>0</v>
      </c>
      <c r="I365" s="765"/>
      <c r="J365" s="765">
        <v>0</v>
      </c>
      <c r="K365" s="765"/>
      <c r="L365" s="765">
        <v>0</v>
      </c>
      <c r="M365" s="765"/>
      <c r="N365" s="765">
        <v>0</v>
      </c>
      <c r="O365" s="765"/>
      <c r="P365" s="765">
        <v>0</v>
      </c>
      <c r="Q365" s="765"/>
      <c r="R365" s="766">
        <v>0</v>
      </c>
      <c r="S365" s="751">
        <v>50000</v>
      </c>
      <c r="T365" s="765">
        <v>0</v>
      </c>
      <c r="U365" s="765"/>
      <c r="V365" s="765">
        <v>0</v>
      </c>
      <c r="W365" s="765"/>
      <c r="X365" s="766">
        <v>0</v>
      </c>
      <c r="Y365" s="751">
        <v>50000</v>
      </c>
      <c r="Z365" s="765">
        <v>50000</v>
      </c>
      <c r="AA365" s="765"/>
      <c r="AB365" s="765">
        <v>0</v>
      </c>
      <c r="AC365" s="765"/>
      <c r="AD365" s="765">
        <v>100000</v>
      </c>
      <c r="AE365" s="765"/>
      <c r="AF365" s="750">
        <v>0</v>
      </c>
      <c r="AG365" s="765"/>
      <c r="AH365" s="765"/>
      <c r="AI365" s="765"/>
      <c r="AJ365" s="765">
        <v>50000</v>
      </c>
      <c r="AK365" s="765"/>
      <c r="AL365" s="765">
        <v>40000</v>
      </c>
      <c r="AM365" s="765"/>
      <c r="AN365" s="765">
        <v>0</v>
      </c>
      <c r="AO365" s="765"/>
      <c r="AP365" s="765">
        <v>40000</v>
      </c>
      <c r="AQ365" s="765"/>
      <c r="AR365" s="765">
        <v>40000</v>
      </c>
      <c r="AS365" s="765"/>
      <c r="AT365" s="769">
        <f t="shared" si="27"/>
        <v>100000</v>
      </c>
      <c r="AU365" s="750"/>
      <c r="AV365" s="771">
        <f t="shared" si="28"/>
        <v>50000</v>
      </c>
      <c r="AW365" s="752">
        <f t="shared" si="26"/>
        <v>50000</v>
      </c>
      <c r="AY365" s="753"/>
    </row>
    <row r="366" spans="1:51" s="752" customFormat="1">
      <c r="A366" s="743">
        <f t="shared" si="29"/>
        <v>362</v>
      </c>
      <c r="B366" s="764"/>
      <c r="C366" s="757" t="s">
        <v>1810</v>
      </c>
      <c r="D366" s="746" t="s">
        <v>1817</v>
      </c>
      <c r="E366" s="747">
        <f t="shared" si="13"/>
        <v>150000</v>
      </c>
      <c r="F366" s="765">
        <v>0</v>
      </c>
      <c r="G366" s="765"/>
      <c r="H366" s="765">
        <v>0</v>
      </c>
      <c r="I366" s="765"/>
      <c r="J366" s="765">
        <v>0</v>
      </c>
      <c r="K366" s="765"/>
      <c r="L366" s="765">
        <v>0</v>
      </c>
      <c r="M366" s="765"/>
      <c r="N366" s="765">
        <v>0</v>
      </c>
      <c r="O366" s="765"/>
      <c r="P366" s="765">
        <v>0</v>
      </c>
      <c r="Q366" s="765"/>
      <c r="R366" s="765">
        <v>0</v>
      </c>
      <c r="S366" s="765"/>
      <c r="T366" s="765">
        <v>0</v>
      </c>
      <c r="U366" s="765"/>
      <c r="V366" s="766">
        <v>0</v>
      </c>
      <c r="W366" s="766">
        <v>50000</v>
      </c>
      <c r="X366" s="766">
        <v>0</v>
      </c>
      <c r="Y366" s="751">
        <v>50000</v>
      </c>
      <c r="Z366" s="765">
        <v>50000</v>
      </c>
      <c r="AA366" s="765"/>
      <c r="AB366" s="765">
        <v>0</v>
      </c>
      <c r="AC366" s="765"/>
      <c r="AD366" s="765">
        <v>0</v>
      </c>
      <c r="AE366" s="765"/>
      <c r="AF366" s="750">
        <v>0</v>
      </c>
      <c r="AG366" s="765"/>
      <c r="AH366" s="765"/>
      <c r="AI366" s="765"/>
      <c r="AJ366" s="765">
        <v>0</v>
      </c>
      <c r="AK366" s="765"/>
      <c r="AL366" s="765">
        <v>0</v>
      </c>
      <c r="AM366" s="765"/>
      <c r="AN366" s="765">
        <v>0</v>
      </c>
      <c r="AO366" s="765"/>
      <c r="AP366" s="765">
        <v>0</v>
      </c>
      <c r="AQ366" s="765"/>
      <c r="AR366" s="765">
        <v>0</v>
      </c>
      <c r="AS366" s="765"/>
      <c r="AT366" s="769">
        <f t="shared" si="27"/>
        <v>100000</v>
      </c>
      <c r="AU366" s="750"/>
      <c r="AV366" s="771">
        <f t="shared" si="28"/>
        <v>100000</v>
      </c>
      <c r="AW366" s="752">
        <f t="shared" si="26"/>
        <v>0</v>
      </c>
      <c r="AY366" s="753"/>
    </row>
    <row r="367" spans="1:51" s="752" customFormat="1" hidden="1">
      <c r="A367" s="743">
        <f t="shared" si="29"/>
        <v>363</v>
      </c>
      <c r="B367" s="764"/>
      <c r="C367" s="757" t="s">
        <v>1811</v>
      </c>
      <c r="D367" s="746" t="s">
        <v>1818</v>
      </c>
      <c r="E367" s="747">
        <f t="shared" si="13"/>
        <v>510000</v>
      </c>
      <c r="F367" s="765">
        <v>0</v>
      </c>
      <c r="G367" s="765"/>
      <c r="H367" s="765">
        <v>0</v>
      </c>
      <c r="I367" s="765"/>
      <c r="J367" s="765">
        <v>0</v>
      </c>
      <c r="K367" s="765"/>
      <c r="L367" s="765">
        <v>0</v>
      </c>
      <c r="M367" s="765"/>
      <c r="N367" s="765">
        <v>0</v>
      </c>
      <c r="O367" s="765"/>
      <c r="P367" s="765">
        <v>0</v>
      </c>
      <c r="Q367" s="765"/>
      <c r="R367" s="765">
        <v>0</v>
      </c>
      <c r="S367" s="765"/>
      <c r="T367" s="765">
        <v>0</v>
      </c>
      <c r="U367" s="765"/>
      <c r="V367" s="765">
        <v>0</v>
      </c>
      <c r="W367" s="765"/>
      <c r="X367" s="766">
        <v>0</v>
      </c>
      <c r="Y367" s="751">
        <v>50000</v>
      </c>
      <c r="Z367" s="765">
        <v>50000</v>
      </c>
      <c r="AA367" s="765"/>
      <c r="AB367" s="765">
        <v>50000</v>
      </c>
      <c r="AC367" s="765"/>
      <c r="AD367" s="765">
        <v>100000</v>
      </c>
      <c r="AE367" s="765"/>
      <c r="AF367" s="750">
        <v>50000</v>
      </c>
      <c r="AG367" s="765"/>
      <c r="AH367" s="751">
        <v>0</v>
      </c>
      <c r="AI367" s="766"/>
      <c r="AJ367" s="766">
        <v>0</v>
      </c>
      <c r="AK367" s="751">
        <v>50000</v>
      </c>
      <c r="AL367" s="765">
        <v>40000</v>
      </c>
      <c r="AM367" s="765"/>
      <c r="AN367" s="765">
        <v>40000</v>
      </c>
      <c r="AO367" s="765"/>
      <c r="AP367" s="765">
        <v>40000</v>
      </c>
      <c r="AQ367" s="765"/>
      <c r="AR367" s="765">
        <v>40000</v>
      </c>
      <c r="AS367" s="765"/>
      <c r="AT367" s="769">
        <f t="shared" si="27"/>
        <v>100000</v>
      </c>
      <c r="AU367" s="750"/>
      <c r="AV367" s="769">
        <f t="shared" si="28"/>
        <v>0</v>
      </c>
      <c r="AW367" s="752">
        <f t="shared" si="26"/>
        <v>100000</v>
      </c>
      <c r="AY367" s="753"/>
    </row>
    <row r="368" spans="1:51" s="752" customFormat="1" hidden="1">
      <c r="A368" s="743">
        <f t="shared" si="29"/>
        <v>364</v>
      </c>
      <c r="B368" s="764"/>
      <c r="C368" s="757" t="s">
        <v>1812</v>
      </c>
      <c r="D368" s="746" t="s">
        <v>1819</v>
      </c>
      <c r="E368" s="747">
        <f t="shared" si="13"/>
        <v>510000</v>
      </c>
      <c r="F368" s="765">
        <v>0</v>
      </c>
      <c r="G368" s="765"/>
      <c r="H368" s="765">
        <v>0</v>
      </c>
      <c r="I368" s="765"/>
      <c r="J368" s="765">
        <v>0</v>
      </c>
      <c r="K368" s="765"/>
      <c r="L368" s="765">
        <v>0</v>
      </c>
      <c r="M368" s="765"/>
      <c r="N368" s="765">
        <v>0</v>
      </c>
      <c r="O368" s="765"/>
      <c r="P368" s="765">
        <v>0</v>
      </c>
      <c r="Q368" s="765"/>
      <c r="R368" s="765">
        <v>0</v>
      </c>
      <c r="S368" s="765"/>
      <c r="T368" s="765">
        <v>0</v>
      </c>
      <c r="U368" s="765"/>
      <c r="V368" s="765">
        <v>0</v>
      </c>
      <c r="W368" s="765"/>
      <c r="X368" s="766">
        <v>0</v>
      </c>
      <c r="Y368" s="751">
        <v>50000</v>
      </c>
      <c r="Z368" s="765">
        <v>50000</v>
      </c>
      <c r="AA368" s="765"/>
      <c r="AB368" s="765">
        <v>50000</v>
      </c>
      <c r="AC368" s="765"/>
      <c r="AD368" s="765">
        <v>100000</v>
      </c>
      <c r="AE368" s="765"/>
      <c r="AF368" s="750">
        <v>50000</v>
      </c>
      <c r="AG368" s="765"/>
      <c r="AH368" s="751">
        <v>0</v>
      </c>
      <c r="AI368" s="766"/>
      <c r="AJ368" s="765">
        <v>50000</v>
      </c>
      <c r="AK368" s="765"/>
      <c r="AL368" s="765">
        <v>40000</v>
      </c>
      <c r="AM368" s="765"/>
      <c r="AN368" s="765">
        <v>40000</v>
      </c>
      <c r="AO368" s="765"/>
      <c r="AP368" s="765">
        <v>40000</v>
      </c>
      <c r="AQ368" s="765"/>
      <c r="AR368" s="765">
        <v>40000</v>
      </c>
      <c r="AS368" s="765"/>
      <c r="AT368" s="769">
        <f t="shared" si="27"/>
        <v>50000</v>
      </c>
      <c r="AU368" s="750"/>
      <c r="AV368" s="769">
        <f t="shared" si="28"/>
        <v>0</v>
      </c>
      <c r="AW368" s="752">
        <f t="shared" si="26"/>
        <v>50000</v>
      </c>
      <c r="AY368" s="753"/>
    </row>
    <row r="369" spans="1:51" s="752" customFormat="1" hidden="1">
      <c r="A369" s="743">
        <f t="shared" si="29"/>
        <v>365</v>
      </c>
      <c r="B369" s="764"/>
      <c r="C369" s="757" t="s">
        <v>1813</v>
      </c>
      <c r="D369" s="746" t="s">
        <v>1820</v>
      </c>
      <c r="E369" s="747">
        <f t="shared" si="13"/>
        <v>510000</v>
      </c>
      <c r="F369" s="765">
        <v>0</v>
      </c>
      <c r="G369" s="765"/>
      <c r="H369" s="765">
        <v>0</v>
      </c>
      <c r="I369" s="765"/>
      <c r="J369" s="765">
        <v>0</v>
      </c>
      <c r="K369" s="765"/>
      <c r="L369" s="765">
        <v>0</v>
      </c>
      <c r="M369" s="765"/>
      <c r="N369" s="765">
        <v>0</v>
      </c>
      <c r="O369" s="765"/>
      <c r="P369" s="765">
        <v>0</v>
      </c>
      <c r="Q369" s="765"/>
      <c r="R369" s="765">
        <v>0</v>
      </c>
      <c r="S369" s="765"/>
      <c r="T369" s="765">
        <v>0</v>
      </c>
      <c r="U369" s="765"/>
      <c r="V369" s="765">
        <v>0</v>
      </c>
      <c r="W369" s="765"/>
      <c r="X369" s="766">
        <v>0</v>
      </c>
      <c r="Y369" s="751">
        <v>50000</v>
      </c>
      <c r="Z369" s="765">
        <v>50000</v>
      </c>
      <c r="AA369" s="765"/>
      <c r="AB369" s="765">
        <v>50000</v>
      </c>
      <c r="AC369" s="765"/>
      <c r="AD369" s="765">
        <v>100000</v>
      </c>
      <c r="AE369" s="765"/>
      <c r="AF369" s="750">
        <v>50000</v>
      </c>
      <c r="AG369" s="765"/>
      <c r="AH369" s="751">
        <v>0</v>
      </c>
      <c r="AI369" s="766"/>
      <c r="AJ369" s="766">
        <v>0</v>
      </c>
      <c r="AK369" s="751">
        <v>50000</v>
      </c>
      <c r="AL369" s="765">
        <v>40000</v>
      </c>
      <c r="AM369" s="765"/>
      <c r="AN369" s="765">
        <v>40000</v>
      </c>
      <c r="AO369" s="765"/>
      <c r="AP369" s="765">
        <v>40000</v>
      </c>
      <c r="AQ369" s="765"/>
      <c r="AR369" s="765">
        <v>40000</v>
      </c>
      <c r="AS369" s="765"/>
      <c r="AT369" s="769">
        <f t="shared" si="27"/>
        <v>100000</v>
      </c>
      <c r="AU369" s="750"/>
      <c r="AV369" s="769">
        <f t="shared" si="28"/>
        <v>0</v>
      </c>
      <c r="AW369" s="752">
        <f t="shared" si="26"/>
        <v>100000</v>
      </c>
      <c r="AY369" s="753"/>
    </row>
    <row r="370" spans="1:51" s="752" customFormat="1">
      <c r="A370" s="743">
        <f t="shared" si="29"/>
        <v>366</v>
      </c>
      <c r="B370" s="764"/>
      <c r="C370" s="757" t="s">
        <v>1814</v>
      </c>
      <c r="D370" s="746" t="s">
        <v>1821</v>
      </c>
      <c r="E370" s="747">
        <f t="shared" si="13"/>
        <v>560000</v>
      </c>
      <c r="F370" s="765">
        <v>0</v>
      </c>
      <c r="G370" s="765"/>
      <c r="H370" s="765">
        <v>0</v>
      </c>
      <c r="I370" s="765"/>
      <c r="J370" s="765">
        <v>0</v>
      </c>
      <c r="K370" s="765"/>
      <c r="L370" s="765">
        <v>0</v>
      </c>
      <c r="M370" s="765"/>
      <c r="N370" s="765">
        <v>0</v>
      </c>
      <c r="O370" s="765"/>
      <c r="P370" s="765">
        <v>0</v>
      </c>
      <c r="Q370" s="765"/>
      <c r="R370" s="765">
        <v>0</v>
      </c>
      <c r="S370" s="765"/>
      <c r="T370" s="765">
        <v>0</v>
      </c>
      <c r="U370" s="765"/>
      <c r="V370" s="765">
        <v>0</v>
      </c>
      <c r="W370" s="765"/>
      <c r="X370" s="766">
        <v>0</v>
      </c>
      <c r="Y370" s="751">
        <v>50000</v>
      </c>
      <c r="Z370" s="765">
        <v>50000</v>
      </c>
      <c r="AA370" s="765"/>
      <c r="AB370" s="765">
        <v>50000</v>
      </c>
      <c r="AC370" s="765"/>
      <c r="AD370" s="765">
        <v>150000</v>
      </c>
      <c r="AE370" s="765"/>
      <c r="AF370" s="750">
        <v>50000</v>
      </c>
      <c r="AG370" s="765"/>
      <c r="AH370" s="751">
        <v>0</v>
      </c>
      <c r="AI370" s="766"/>
      <c r="AJ370" s="765">
        <v>50000</v>
      </c>
      <c r="AK370" s="765"/>
      <c r="AL370" s="765">
        <v>40000</v>
      </c>
      <c r="AM370" s="765"/>
      <c r="AN370" s="765">
        <v>40000</v>
      </c>
      <c r="AO370" s="765"/>
      <c r="AP370" s="765">
        <v>40000</v>
      </c>
      <c r="AQ370" s="765"/>
      <c r="AR370" s="765">
        <v>40000</v>
      </c>
      <c r="AS370" s="765"/>
      <c r="AT370" s="769">
        <f t="shared" si="27"/>
        <v>50000</v>
      </c>
      <c r="AU370" s="750"/>
      <c r="AV370" s="771">
        <f t="shared" si="28"/>
        <v>50000</v>
      </c>
      <c r="AW370" s="752">
        <f t="shared" si="26"/>
        <v>0</v>
      </c>
      <c r="AY370" s="753"/>
    </row>
    <row r="371" spans="1:51" s="752" customFormat="1">
      <c r="A371" s="743">
        <f t="shared" si="29"/>
        <v>367</v>
      </c>
      <c r="B371" s="764"/>
      <c r="C371" s="757" t="s">
        <v>1815</v>
      </c>
      <c r="D371" s="746" t="s">
        <v>1822</v>
      </c>
      <c r="E371" s="747">
        <f t="shared" si="13"/>
        <v>250000</v>
      </c>
      <c r="F371" s="765">
        <v>0</v>
      </c>
      <c r="G371" s="765"/>
      <c r="H371" s="765">
        <v>0</v>
      </c>
      <c r="I371" s="765"/>
      <c r="J371" s="765">
        <v>0</v>
      </c>
      <c r="K371" s="765"/>
      <c r="L371" s="765">
        <v>0</v>
      </c>
      <c r="M371" s="765"/>
      <c r="N371" s="765">
        <v>0</v>
      </c>
      <c r="O371" s="765"/>
      <c r="P371" s="765">
        <v>0</v>
      </c>
      <c r="Q371" s="765"/>
      <c r="R371" s="765">
        <v>0</v>
      </c>
      <c r="S371" s="765"/>
      <c r="T371" s="765">
        <v>0</v>
      </c>
      <c r="U371" s="765"/>
      <c r="V371" s="765">
        <v>0</v>
      </c>
      <c r="W371" s="765"/>
      <c r="X371" s="766">
        <v>0</v>
      </c>
      <c r="Y371" s="751">
        <v>50000</v>
      </c>
      <c r="Z371" s="765">
        <v>50000</v>
      </c>
      <c r="AA371" s="765"/>
      <c r="AB371" s="765">
        <v>50000</v>
      </c>
      <c r="AC371" s="765"/>
      <c r="AD371" s="766">
        <v>0</v>
      </c>
      <c r="AE371" s="751">
        <v>50000</v>
      </c>
      <c r="AF371" s="751">
        <v>0</v>
      </c>
      <c r="AG371" s="751">
        <v>50000</v>
      </c>
      <c r="AH371" s="765"/>
      <c r="AI371" s="765"/>
      <c r="AJ371" s="765">
        <v>0</v>
      </c>
      <c r="AK371" s="765"/>
      <c r="AL371" s="765">
        <v>0</v>
      </c>
      <c r="AM371" s="765"/>
      <c r="AN371" s="765">
        <v>0</v>
      </c>
      <c r="AO371" s="765"/>
      <c r="AP371" s="765">
        <v>0</v>
      </c>
      <c r="AQ371" s="765"/>
      <c r="AR371" s="765">
        <v>0</v>
      </c>
      <c r="AS371" s="765"/>
      <c r="AT371" s="769">
        <f t="shared" si="27"/>
        <v>150000</v>
      </c>
      <c r="AU371" s="750"/>
      <c r="AV371" s="771">
        <f t="shared" si="28"/>
        <v>150000</v>
      </c>
      <c r="AW371" s="752">
        <f t="shared" si="26"/>
        <v>0</v>
      </c>
      <c r="AY371" s="753"/>
    </row>
    <row r="372" spans="1:51" s="752" customFormat="1">
      <c r="A372" s="743">
        <f t="shared" si="29"/>
        <v>368</v>
      </c>
      <c r="B372" s="764"/>
      <c r="C372" s="757" t="s">
        <v>1823</v>
      </c>
      <c r="D372" s="746" t="s">
        <v>1825</v>
      </c>
      <c r="E372" s="747">
        <f t="shared" si="13"/>
        <v>340000</v>
      </c>
      <c r="F372" s="765">
        <v>0</v>
      </c>
      <c r="G372" s="765"/>
      <c r="H372" s="765">
        <v>0</v>
      </c>
      <c r="I372" s="765"/>
      <c r="J372" s="765">
        <v>0</v>
      </c>
      <c r="K372" s="765"/>
      <c r="L372" s="765">
        <v>0</v>
      </c>
      <c r="M372" s="765"/>
      <c r="N372" s="765">
        <v>0</v>
      </c>
      <c r="O372" s="765"/>
      <c r="P372" s="765">
        <v>0</v>
      </c>
      <c r="Q372" s="765"/>
      <c r="R372" s="765">
        <v>0</v>
      </c>
      <c r="S372" s="765"/>
      <c r="T372" s="765">
        <v>0</v>
      </c>
      <c r="U372" s="765"/>
      <c r="V372" s="765">
        <v>0</v>
      </c>
      <c r="W372" s="765"/>
      <c r="X372" s="765">
        <v>0</v>
      </c>
      <c r="Y372" s="765"/>
      <c r="Z372" s="766">
        <v>0</v>
      </c>
      <c r="AA372" s="751">
        <v>50000</v>
      </c>
      <c r="AB372" s="765">
        <v>50000</v>
      </c>
      <c r="AC372" s="765"/>
      <c r="AD372" s="765">
        <v>150000</v>
      </c>
      <c r="AE372" s="765"/>
      <c r="AF372" s="750">
        <v>50000</v>
      </c>
      <c r="AG372" s="765"/>
      <c r="AH372" s="751">
        <v>0</v>
      </c>
      <c r="AI372" s="766"/>
      <c r="AJ372" s="765">
        <v>0</v>
      </c>
      <c r="AK372" s="765"/>
      <c r="AL372" s="765">
        <v>0</v>
      </c>
      <c r="AM372" s="765"/>
      <c r="AN372" s="766">
        <v>0</v>
      </c>
      <c r="AO372" s="751">
        <v>40000</v>
      </c>
      <c r="AP372" s="765">
        <v>0</v>
      </c>
      <c r="AQ372" s="765"/>
      <c r="AR372" s="765">
        <v>0</v>
      </c>
      <c r="AS372" s="765"/>
      <c r="AT372" s="769">
        <f t="shared" si="27"/>
        <v>90000</v>
      </c>
      <c r="AU372" s="750"/>
      <c r="AV372" s="771">
        <f t="shared" si="28"/>
        <v>90000</v>
      </c>
      <c r="AW372" s="752">
        <f t="shared" si="26"/>
        <v>0</v>
      </c>
      <c r="AY372" s="753"/>
    </row>
    <row r="373" spans="1:51" s="752" customFormat="1" hidden="1">
      <c r="A373" s="743">
        <f t="shared" si="29"/>
        <v>369</v>
      </c>
      <c r="B373" s="764"/>
      <c r="C373" s="757" t="s">
        <v>1824</v>
      </c>
      <c r="D373" s="746" t="s">
        <v>1826</v>
      </c>
      <c r="E373" s="747">
        <f t="shared" si="13"/>
        <v>460000</v>
      </c>
      <c r="F373" s="765">
        <v>0</v>
      </c>
      <c r="G373" s="765"/>
      <c r="H373" s="765">
        <v>0</v>
      </c>
      <c r="I373" s="765"/>
      <c r="J373" s="765">
        <v>0</v>
      </c>
      <c r="K373" s="765"/>
      <c r="L373" s="765">
        <v>0</v>
      </c>
      <c r="M373" s="765"/>
      <c r="N373" s="765">
        <v>0</v>
      </c>
      <c r="O373" s="765"/>
      <c r="P373" s="765">
        <v>0</v>
      </c>
      <c r="Q373" s="765"/>
      <c r="R373" s="765">
        <v>0</v>
      </c>
      <c r="S373" s="765"/>
      <c r="T373" s="765">
        <v>0</v>
      </c>
      <c r="U373" s="765"/>
      <c r="V373" s="765">
        <v>0</v>
      </c>
      <c r="W373" s="765"/>
      <c r="X373" s="765">
        <v>0</v>
      </c>
      <c r="Y373" s="765"/>
      <c r="Z373" s="766">
        <v>0</v>
      </c>
      <c r="AA373" s="751">
        <v>50000</v>
      </c>
      <c r="AB373" s="765">
        <v>50000</v>
      </c>
      <c r="AC373" s="765"/>
      <c r="AD373" s="765">
        <v>150000</v>
      </c>
      <c r="AE373" s="765"/>
      <c r="AF373" s="751">
        <v>0</v>
      </c>
      <c r="AG373" s="751"/>
      <c r="AH373" s="751">
        <v>0</v>
      </c>
      <c r="AI373" s="766"/>
      <c r="AJ373" s="766">
        <v>0</v>
      </c>
      <c r="AK373" s="751">
        <v>50000</v>
      </c>
      <c r="AL373" s="765">
        <v>40000</v>
      </c>
      <c r="AM373" s="765"/>
      <c r="AN373" s="765">
        <v>40000</v>
      </c>
      <c r="AO373" s="765"/>
      <c r="AP373" s="765">
        <v>40000</v>
      </c>
      <c r="AQ373" s="765"/>
      <c r="AR373" s="765">
        <v>40000</v>
      </c>
      <c r="AS373" s="765"/>
      <c r="AT373" s="769">
        <f t="shared" si="27"/>
        <v>100000</v>
      </c>
      <c r="AU373" s="750"/>
      <c r="AV373" s="769">
        <f t="shared" si="28"/>
        <v>0</v>
      </c>
      <c r="AW373" s="752">
        <f t="shared" si="26"/>
        <v>100000</v>
      </c>
      <c r="AY373" s="753"/>
    </row>
    <row r="374" spans="1:51" s="752" customFormat="1" hidden="1">
      <c r="A374" s="743">
        <f t="shared" si="29"/>
        <v>370</v>
      </c>
      <c r="B374" s="764"/>
      <c r="C374" s="757" t="s">
        <v>1827</v>
      </c>
      <c r="D374" s="746" t="s">
        <v>1854</v>
      </c>
      <c r="E374" s="747">
        <f t="shared" si="13"/>
        <v>310000</v>
      </c>
      <c r="F374" s="765">
        <v>0</v>
      </c>
      <c r="G374" s="765"/>
      <c r="H374" s="765">
        <v>0</v>
      </c>
      <c r="I374" s="765"/>
      <c r="J374" s="765">
        <v>0</v>
      </c>
      <c r="K374" s="765"/>
      <c r="L374" s="765">
        <v>0</v>
      </c>
      <c r="M374" s="765"/>
      <c r="N374" s="765">
        <v>0</v>
      </c>
      <c r="O374" s="765"/>
      <c r="P374" s="765">
        <v>0</v>
      </c>
      <c r="Q374" s="765"/>
      <c r="R374" s="765">
        <v>0</v>
      </c>
      <c r="S374" s="765"/>
      <c r="T374" s="765">
        <v>0</v>
      </c>
      <c r="U374" s="765"/>
      <c r="V374" s="765">
        <v>0</v>
      </c>
      <c r="W374" s="765"/>
      <c r="X374" s="765">
        <v>0</v>
      </c>
      <c r="Y374" s="765"/>
      <c r="Z374" s="765">
        <v>0</v>
      </c>
      <c r="AA374" s="765"/>
      <c r="AB374" s="765">
        <v>0</v>
      </c>
      <c r="AC374" s="765"/>
      <c r="AD374" s="765">
        <v>100000</v>
      </c>
      <c r="AE374" s="765"/>
      <c r="AF374" s="751">
        <v>0</v>
      </c>
      <c r="AG374" s="751"/>
      <c r="AH374" s="751">
        <v>0</v>
      </c>
      <c r="AI374" s="751">
        <v>50000</v>
      </c>
      <c r="AJ374" s="765">
        <v>0</v>
      </c>
      <c r="AK374" s="765"/>
      <c r="AL374" s="765">
        <v>40000</v>
      </c>
      <c r="AM374" s="765"/>
      <c r="AN374" s="765">
        <v>40000</v>
      </c>
      <c r="AO374" s="765"/>
      <c r="AP374" s="765">
        <v>40000</v>
      </c>
      <c r="AQ374" s="765"/>
      <c r="AR374" s="765">
        <v>40000</v>
      </c>
      <c r="AS374" s="765"/>
      <c r="AT374" s="769">
        <f t="shared" si="27"/>
        <v>50000</v>
      </c>
      <c r="AU374" s="750"/>
      <c r="AV374" s="769">
        <f t="shared" si="28"/>
        <v>-50000</v>
      </c>
      <c r="AW374" s="752">
        <f t="shared" si="26"/>
        <v>100000</v>
      </c>
      <c r="AY374" s="753"/>
    </row>
    <row r="375" spans="1:51" s="752" customFormat="1" hidden="1">
      <c r="A375" s="743">
        <f t="shared" si="29"/>
        <v>371</v>
      </c>
      <c r="B375" s="764"/>
      <c r="C375" s="757" t="s">
        <v>1828</v>
      </c>
      <c r="D375" s="746" t="s">
        <v>1855</v>
      </c>
      <c r="E375" s="747">
        <f t="shared" si="13"/>
        <v>100000</v>
      </c>
      <c r="F375" s="765">
        <v>0</v>
      </c>
      <c r="G375" s="765"/>
      <c r="H375" s="765">
        <v>0</v>
      </c>
      <c r="I375" s="765"/>
      <c r="J375" s="765">
        <v>0</v>
      </c>
      <c r="K375" s="765"/>
      <c r="L375" s="765">
        <v>0</v>
      </c>
      <c r="M375" s="765"/>
      <c r="N375" s="765">
        <v>0</v>
      </c>
      <c r="O375" s="765"/>
      <c r="P375" s="765">
        <v>0</v>
      </c>
      <c r="Q375" s="765"/>
      <c r="R375" s="765">
        <v>0</v>
      </c>
      <c r="S375" s="765"/>
      <c r="T375" s="765">
        <v>0</v>
      </c>
      <c r="U375" s="765"/>
      <c r="V375" s="765">
        <v>0</v>
      </c>
      <c r="W375" s="765"/>
      <c r="X375" s="765">
        <v>0</v>
      </c>
      <c r="Y375" s="765"/>
      <c r="Z375" s="765">
        <v>0</v>
      </c>
      <c r="AA375" s="765"/>
      <c r="AB375" s="765">
        <v>0</v>
      </c>
      <c r="AC375" s="765"/>
      <c r="AD375" s="765">
        <v>100000</v>
      </c>
      <c r="AE375" s="765"/>
      <c r="AF375" s="750">
        <v>0</v>
      </c>
      <c r="AG375" s="765"/>
      <c r="AH375" s="765"/>
      <c r="AI375" s="765"/>
      <c r="AJ375" s="765">
        <v>0</v>
      </c>
      <c r="AK375" s="765"/>
      <c r="AL375" s="765">
        <v>0</v>
      </c>
      <c r="AM375" s="765"/>
      <c r="AN375" s="765">
        <v>0</v>
      </c>
      <c r="AO375" s="765"/>
      <c r="AP375" s="765">
        <v>0</v>
      </c>
      <c r="AQ375" s="765"/>
      <c r="AR375" s="765">
        <v>0</v>
      </c>
      <c r="AS375" s="765"/>
      <c r="AT375" s="769">
        <f t="shared" si="27"/>
        <v>0</v>
      </c>
      <c r="AU375" s="750"/>
      <c r="AV375" s="769">
        <f t="shared" si="28"/>
        <v>0</v>
      </c>
      <c r="AW375" s="752">
        <f t="shared" si="26"/>
        <v>0</v>
      </c>
      <c r="AY375" s="753"/>
    </row>
    <row r="376" spans="1:51" s="752" customFormat="1">
      <c r="A376" s="743">
        <f t="shared" si="29"/>
        <v>372</v>
      </c>
      <c r="B376" s="764"/>
      <c r="C376" s="757" t="s">
        <v>1829</v>
      </c>
      <c r="D376" s="746" t="s">
        <v>1856</v>
      </c>
      <c r="E376" s="747">
        <f t="shared" si="13"/>
        <v>220000</v>
      </c>
      <c r="F376" s="765">
        <v>0</v>
      </c>
      <c r="G376" s="765"/>
      <c r="H376" s="765">
        <v>0</v>
      </c>
      <c r="I376" s="765"/>
      <c r="J376" s="765">
        <v>0</v>
      </c>
      <c r="K376" s="765"/>
      <c r="L376" s="765">
        <v>0</v>
      </c>
      <c r="M376" s="765"/>
      <c r="N376" s="765">
        <v>0</v>
      </c>
      <c r="O376" s="765"/>
      <c r="P376" s="765">
        <v>0</v>
      </c>
      <c r="Q376" s="765"/>
      <c r="R376" s="765">
        <v>0</v>
      </c>
      <c r="S376" s="765"/>
      <c r="T376" s="765">
        <v>0</v>
      </c>
      <c r="U376" s="765"/>
      <c r="V376" s="765">
        <v>0</v>
      </c>
      <c r="W376" s="765"/>
      <c r="X376" s="765">
        <v>0</v>
      </c>
      <c r="Y376" s="765"/>
      <c r="Z376" s="765">
        <v>0</v>
      </c>
      <c r="AA376" s="765"/>
      <c r="AB376" s="765">
        <v>0</v>
      </c>
      <c r="AC376" s="765"/>
      <c r="AD376" s="765">
        <v>100000</v>
      </c>
      <c r="AE376" s="765"/>
      <c r="AF376" s="750">
        <v>0</v>
      </c>
      <c r="AG376" s="765"/>
      <c r="AH376" s="765"/>
      <c r="AI376" s="765"/>
      <c r="AJ376" s="765">
        <v>0</v>
      </c>
      <c r="AK376" s="765"/>
      <c r="AL376" s="766">
        <v>0</v>
      </c>
      <c r="AM376" s="751">
        <v>40000</v>
      </c>
      <c r="AN376" s="765">
        <v>40000</v>
      </c>
      <c r="AO376" s="765"/>
      <c r="AP376" s="765">
        <v>40000</v>
      </c>
      <c r="AQ376" s="765"/>
      <c r="AR376" s="766">
        <v>0</v>
      </c>
      <c r="AS376" s="751">
        <v>40000</v>
      </c>
      <c r="AT376" s="769">
        <f t="shared" si="27"/>
        <v>80000</v>
      </c>
      <c r="AU376" s="750"/>
      <c r="AV376" s="771">
        <f t="shared" si="28"/>
        <v>80000</v>
      </c>
      <c r="AW376" s="752">
        <f t="shared" si="26"/>
        <v>0</v>
      </c>
      <c r="AY376" s="753"/>
    </row>
    <row r="377" spans="1:51" s="752" customFormat="1" hidden="1">
      <c r="A377" s="743">
        <f t="shared" si="29"/>
        <v>373</v>
      </c>
      <c r="B377" s="764"/>
      <c r="C377" s="757" t="s">
        <v>1830</v>
      </c>
      <c r="D377" s="746" t="s">
        <v>1857</v>
      </c>
      <c r="E377" s="747">
        <f t="shared" si="13"/>
        <v>360000</v>
      </c>
      <c r="F377" s="765">
        <v>0</v>
      </c>
      <c r="G377" s="765"/>
      <c r="H377" s="765">
        <v>0</v>
      </c>
      <c r="I377" s="765"/>
      <c r="J377" s="765">
        <v>0</v>
      </c>
      <c r="K377" s="765"/>
      <c r="L377" s="765">
        <v>0</v>
      </c>
      <c r="M377" s="765"/>
      <c r="N377" s="765">
        <v>0</v>
      </c>
      <c r="O377" s="765"/>
      <c r="P377" s="765">
        <v>0</v>
      </c>
      <c r="Q377" s="765"/>
      <c r="R377" s="765">
        <v>0</v>
      </c>
      <c r="S377" s="765"/>
      <c r="T377" s="765">
        <v>0</v>
      </c>
      <c r="U377" s="765"/>
      <c r="V377" s="765">
        <v>0</v>
      </c>
      <c r="W377" s="765"/>
      <c r="X377" s="765">
        <v>0</v>
      </c>
      <c r="Y377" s="765"/>
      <c r="Z377" s="765">
        <v>0</v>
      </c>
      <c r="AA377" s="765"/>
      <c r="AB377" s="765">
        <v>0</v>
      </c>
      <c r="AC377" s="765"/>
      <c r="AD377" s="765">
        <v>150000</v>
      </c>
      <c r="AE377" s="765"/>
      <c r="AF377" s="751">
        <v>0</v>
      </c>
      <c r="AG377" s="751"/>
      <c r="AH377" s="751">
        <v>0</v>
      </c>
      <c r="AI377" s="751"/>
      <c r="AJ377" s="766">
        <v>0</v>
      </c>
      <c r="AK377" s="751">
        <v>50000</v>
      </c>
      <c r="AL377" s="765">
        <v>40000</v>
      </c>
      <c r="AM377" s="765"/>
      <c r="AN377" s="765">
        <v>40000</v>
      </c>
      <c r="AO377" s="765"/>
      <c r="AP377" s="765">
        <v>40000</v>
      </c>
      <c r="AQ377" s="765"/>
      <c r="AR377" s="765">
        <v>40000</v>
      </c>
      <c r="AS377" s="765"/>
      <c r="AT377" s="769">
        <f t="shared" si="27"/>
        <v>50000</v>
      </c>
      <c r="AU377" s="750"/>
      <c r="AV377" s="769">
        <f t="shared" si="28"/>
        <v>0</v>
      </c>
      <c r="AW377" s="752">
        <f t="shared" si="26"/>
        <v>50000</v>
      </c>
      <c r="AY377" s="753"/>
    </row>
    <row r="378" spans="1:51" s="752" customFormat="1" hidden="1">
      <c r="A378" s="743">
        <f t="shared" si="29"/>
        <v>374</v>
      </c>
      <c r="B378" s="764"/>
      <c r="C378" s="757" t="s">
        <v>1831</v>
      </c>
      <c r="D378" s="746" t="s">
        <v>1858</v>
      </c>
      <c r="E378" s="747">
        <f t="shared" si="13"/>
        <v>360000</v>
      </c>
      <c r="F378" s="765">
        <v>0</v>
      </c>
      <c r="G378" s="765"/>
      <c r="H378" s="765">
        <v>0</v>
      </c>
      <c r="I378" s="765"/>
      <c r="J378" s="765">
        <v>0</v>
      </c>
      <c r="K378" s="765"/>
      <c r="L378" s="765">
        <v>0</v>
      </c>
      <c r="M378" s="765"/>
      <c r="N378" s="765">
        <v>0</v>
      </c>
      <c r="O378" s="765"/>
      <c r="P378" s="765">
        <v>0</v>
      </c>
      <c r="Q378" s="765"/>
      <c r="R378" s="765">
        <v>0</v>
      </c>
      <c r="S378" s="765"/>
      <c r="T378" s="765">
        <v>0</v>
      </c>
      <c r="U378" s="765"/>
      <c r="V378" s="765">
        <v>0</v>
      </c>
      <c r="W378" s="765"/>
      <c r="X378" s="765">
        <v>0</v>
      </c>
      <c r="Y378" s="765"/>
      <c r="Z378" s="765">
        <v>0</v>
      </c>
      <c r="AA378" s="765"/>
      <c r="AB378" s="765">
        <v>0</v>
      </c>
      <c r="AC378" s="765"/>
      <c r="AD378" s="765">
        <v>100000</v>
      </c>
      <c r="AE378" s="765"/>
      <c r="AF378" s="751">
        <v>0</v>
      </c>
      <c r="AG378" s="751"/>
      <c r="AH378" s="751">
        <v>0</v>
      </c>
      <c r="AI378" s="751">
        <v>50000</v>
      </c>
      <c r="AJ378" s="766">
        <v>0</v>
      </c>
      <c r="AK378" s="751">
        <v>50000</v>
      </c>
      <c r="AL378" s="765">
        <v>40000</v>
      </c>
      <c r="AM378" s="765"/>
      <c r="AN378" s="765">
        <v>40000</v>
      </c>
      <c r="AO378" s="765"/>
      <c r="AP378" s="765">
        <v>40000</v>
      </c>
      <c r="AQ378" s="765"/>
      <c r="AR378" s="765">
        <v>40000</v>
      </c>
      <c r="AS378" s="765"/>
      <c r="AT378" s="769">
        <f t="shared" si="27"/>
        <v>100000</v>
      </c>
      <c r="AU378" s="750"/>
      <c r="AV378" s="769">
        <f t="shared" si="28"/>
        <v>0</v>
      </c>
      <c r="AW378" s="752">
        <f t="shared" si="26"/>
        <v>100000</v>
      </c>
      <c r="AY378" s="753"/>
    </row>
    <row r="379" spans="1:51" s="752" customFormat="1" hidden="1">
      <c r="A379" s="743">
        <f t="shared" si="29"/>
        <v>375</v>
      </c>
      <c r="B379" s="764"/>
      <c r="C379" s="767" t="s">
        <v>1832</v>
      </c>
      <c r="D379" s="746" t="s">
        <v>1859</v>
      </c>
      <c r="E379" s="747">
        <f t="shared" si="13"/>
        <v>200000</v>
      </c>
      <c r="F379" s="765">
        <v>0</v>
      </c>
      <c r="G379" s="765"/>
      <c r="H379" s="765">
        <v>0</v>
      </c>
      <c r="I379" s="765"/>
      <c r="J379" s="765">
        <v>0</v>
      </c>
      <c r="K379" s="765"/>
      <c r="L379" s="765">
        <v>0</v>
      </c>
      <c r="M379" s="765"/>
      <c r="N379" s="765">
        <v>0</v>
      </c>
      <c r="O379" s="765"/>
      <c r="P379" s="765">
        <v>0</v>
      </c>
      <c r="Q379" s="765"/>
      <c r="R379" s="765">
        <v>0</v>
      </c>
      <c r="S379" s="765"/>
      <c r="T379" s="765">
        <v>0</v>
      </c>
      <c r="U379" s="765"/>
      <c r="V379" s="765">
        <v>0</v>
      </c>
      <c r="W379" s="765"/>
      <c r="X379" s="765">
        <v>0</v>
      </c>
      <c r="Y379" s="765"/>
      <c r="Z379" s="765">
        <v>0</v>
      </c>
      <c r="AA379" s="765"/>
      <c r="AB379" s="765">
        <v>0</v>
      </c>
      <c r="AC379" s="765"/>
      <c r="AD379" s="765">
        <v>200000</v>
      </c>
      <c r="AE379" s="765"/>
      <c r="AF379" s="750">
        <v>0</v>
      </c>
      <c r="AG379" s="765"/>
      <c r="AH379" s="765"/>
      <c r="AI379" s="765"/>
      <c r="AJ379" s="765">
        <v>0</v>
      </c>
      <c r="AK379" s="765"/>
      <c r="AL379" s="765">
        <v>0</v>
      </c>
      <c r="AM379" s="765"/>
      <c r="AN379" s="765">
        <v>0</v>
      </c>
      <c r="AO379" s="765"/>
      <c r="AP379" s="765">
        <v>0</v>
      </c>
      <c r="AQ379" s="765"/>
      <c r="AR379" s="765">
        <v>0</v>
      </c>
      <c r="AS379" s="765"/>
      <c r="AT379" s="769">
        <f t="shared" si="27"/>
        <v>0</v>
      </c>
      <c r="AU379" s="750"/>
      <c r="AV379" s="769">
        <f t="shared" si="28"/>
        <v>0</v>
      </c>
      <c r="AW379" s="752">
        <f t="shared" si="26"/>
        <v>0</v>
      </c>
      <c r="AY379" s="753"/>
    </row>
    <row r="380" spans="1:51" s="752" customFormat="1" hidden="1">
      <c r="A380" s="743">
        <f t="shared" si="29"/>
        <v>376</v>
      </c>
      <c r="B380" s="764"/>
      <c r="C380" s="767" t="s">
        <v>1833</v>
      </c>
      <c r="D380" s="746" t="s">
        <v>1860</v>
      </c>
      <c r="E380" s="747">
        <f t="shared" si="13"/>
        <v>350000</v>
      </c>
      <c r="F380" s="765">
        <v>0</v>
      </c>
      <c r="G380" s="765"/>
      <c r="H380" s="765">
        <v>0</v>
      </c>
      <c r="I380" s="765"/>
      <c r="J380" s="765">
        <v>0</v>
      </c>
      <c r="K380" s="765"/>
      <c r="L380" s="765">
        <v>0</v>
      </c>
      <c r="M380" s="765"/>
      <c r="N380" s="765">
        <v>0</v>
      </c>
      <c r="O380" s="765"/>
      <c r="P380" s="765">
        <v>0</v>
      </c>
      <c r="Q380" s="765"/>
      <c r="R380" s="765">
        <v>0</v>
      </c>
      <c r="S380" s="765"/>
      <c r="T380" s="765">
        <v>0</v>
      </c>
      <c r="U380" s="765"/>
      <c r="V380" s="765">
        <v>0</v>
      </c>
      <c r="W380" s="765"/>
      <c r="X380" s="765">
        <v>0</v>
      </c>
      <c r="Y380" s="765"/>
      <c r="Z380" s="765">
        <v>0</v>
      </c>
      <c r="AA380" s="765"/>
      <c r="AB380" s="765">
        <v>0</v>
      </c>
      <c r="AC380" s="765"/>
      <c r="AD380" s="765">
        <v>150000</v>
      </c>
      <c r="AE380" s="765"/>
      <c r="AF380" s="750">
        <v>0</v>
      </c>
      <c r="AG380" s="765"/>
      <c r="AH380" s="765"/>
      <c r="AI380" s="765"/>
      <c r="AJ380" s="765">
        <v>0</v>
      </c>
      <c r="AK380" s="765"/>
      <c r="AL380" s="765">
        <v>0</v>
      </c>
      <c r="AM380" s="765"/>
      <c r="AN380" s="765">
        <v>0</v>
      </c>
      <c r="AO380" s="765"/>
      <c r="AP380" s="765">
        <v>0</v>
      </c>
      <c r="AQ380" s="765"/>
      <c r="AR380" s="765">
        <v>200000</v>
      </c>
      <c r="AS380" s="765"/>
      <c r="AT380" s="769">
        <f t="shared" si="27"/>
        <v>0</v>
      </c>
      <c r="AU380" s="750"/>
      <c r="AV380" s="769">
        <f t="shared" si="28"/>
        <v>0</v>
      </c>
      <c r="AW380" s="752">
        <f t="shared" si="26"/>
        <v>0</v>
      </c>
      <c r="AY380" s="753"/>
    </row>
    <row r="381" spans="1:51" s="752" customFormat="1" hidden="1">
      <c r="A381" s="743">
        <f t="shared" si="29"/>
        <v>377</v>
      </c>
      <c r="B381" s="764"/>
      <c r="C381" s="767" t="s">
        <v>1834</v>
      </c>
      <c r="D381" s="746" t="s">
        <v>1861</v>
      </c>
      <c r="E381" s="747">
        <f t="shared" si="13"/>
        <v>410000</v>
      </c>
      <c r="F381" s="765">
        <v>0</v>
      </c>
      <c r="G381" s="765"/>
      <c r="H381" s="765">
        <v>0</v>
      </c>
      <c r="I381" s="765"/>
      <c r="J381" s="765">
        <v>0</v>
      </c>
      <c r="K381" s="765"/>
      <c r="L381" s="765">
        <v>0</v>
      </c>
      <c r="M381" s="765"/>
      <c r="N381" s="765">
        <v>0</v>
      </c>
      <c r="O381" s="765"/>
      <c r="P381" s="765">
        <v>0</v>
      </c>
      <c r="Q381" s="765"/>
      <c r="R381" s="765">
        <v>0</v>
      </c>
      <c r="S381" s="765"/>
      <c r="T381" s="765">
        <v>0</v>
      </c>
      <c r="U381" s="765"/>
      <c r="V381" s="765">
        <v>0</v>
      </c>
      <c r="W381" s="765"/>
      <c r="X381" s="765">
        <v>0</v>
      </c>
      <c r="Y381" s="765"/>
      <c r="Z381" s="765">
        <v>0</v>
      </c>
      <c r="AA381" s="765"/>
      <c r="AB381" s="766">
        <v>0</v>
      </c>
      <c r="AC381" s="751">
        <v>50000</v>
      </c>
      <c r="AD381" s="765">
        <v>100000</v>
      </c>
      <c r="AE381" s="765"/>
      <c r="AF381" s="751">
        <v>0</v>
      </c>
      <c r="AG381" s="766"/>
      <c r="AH381" s="751">
        <v>0</v>
      </c>
      <c r="AI381" s="751">
        <v>50000</v>
      </c>
      <c r="AJ381" s="766">
        <v>0</v>
      </c>
      <c r="AK381" s="751">
        <v>50000</v>
      </c>
      <c r="AL381" s="765">
        <v>40000</v>
      </c>
      <c r="AM381" s="765"/>
      <c r="AN381" s="765">
        <v>40000</v>
      </c>
      <c r="AO381" s="765"/>
      <c r="AP381" s="765">
        <v>40000</v>
      </c>
      <c r="AQ381" s="765"/>
      <c r="AR381" s="765">
        <v>40000</v>
      </c>
      <c r="AS381" s="765"/>
      <c r="AT381" s="769">
        <f t="shared" si="27"/>
        <v>150000</v>
      </c>
      <c r="AU381" s="750"/>
      <c r="AV381" s="769">
        <f t="shared" si="28"/>
        <v>0</v>
      </c>
      <c r="AW381" s="752">
        <f t="shared" si="26"/>
        <v>150000</v>
      </c>
      <c r="AY381" s="753"/>
    </row>
    <row r="382" spans="1:51" s="752" customFormat="1" hidden="1">
      <c r="A382" s="743">
        <f t="shared" si="29"/>
        <v>378</v>
      </c>
      <c r="B382" s="764"/>
      <c r="C382" s="767" t="s">
        <v>1835</v>
      </c>
      <c r="D382" s="746" t="s">
        <v>1862</v>
      </c>
      <c r="E382" s="747">
        <f t="shared" si="13"/>
        <v>360000</v>
      </c>
      <c r="F382" s="765">
        <v>0</v>
      </c>
      <c r="G382" s="765"/>
      <c r="H382" s="765">
        <v>0</v>
      </c>
      <c r="I382" s="765"/>
      <c r="J382" s="765">
        <v>0</v>
      </c>
      <c r="K382" s="765"/>
      <c r="L382" s="765">
        <v>0</v>
      </c>
      <c r="M382" s="765"/>
      <c r="N382" s="765">
        <v>0</v>
      </c>
      <c r="O382" s="765"/>
      <c r="P382" s="765">
        <v>0</v>
      </c>
      <c r="Q382" s="765"/>
      <c r="R382" s="765">
        <v>0</v>
      </c>
      <c r="S382" s="765"/>
      <c r="T382" s="765">
        <v>0</v>
      </c>
      <c r="U382" s="765"/>
      <c r="V382" s="765">
        <v>0</v>
      </c>
      <c r="W382" s="765"/>
      <c r="X382" s="765">
        <v>0</v>
      </c>
      <c r="Y382" s="765"/>
      <c r="Z382" s="765">
        <v>0</v>
      </c>
      <c r="AA382" s="765"/>
      <c r="AB382" s="765">
        <v>0</v>
      </c>
      <c r="AC382" s="765"/>
      <c r="AD382" s="765">
        <v>50000</v>
      </c>
      <c r="AE382" s="765"/>
      <c r="AF382" s="751">
        <v>0</v>
      </c>
      <c r="AG382" s="751">
        <v>50000</v>
      </c>
      <c r="AH382" s="751">
        <v>0</v>
      </c>
      <c r="AI382" s="751">
        <v>50000</v>
      </c>
      <c r="AJ382" s="766">
        <v>0</v>
      </c>
      <c r="AK382" s="751">
        <v>50000</v>
      </c>
      <c r="AL382" s="765">
        <v>40000</v>
      </c>
      <c r="AM382" s="765"/>
      <c r="AN382" s="765">
        <v>40000</v>
      </c>
      <c r="AO382" s="765"/>
      <c r="AP382" s="765">
        <v>40000</v>
      </c>
      <c r="AQ382" s="765"/>
      <c r="AR382" s="765">
        <v>40000</v>
      </c>
      <c r="AS382" s="765"/>
      <c r="AT382" s="769">
        <f t="shared" si="27"/>
        <v>150000</v>
      </c>
      <c r="AU382" s="750"/>
      <c r="AV382" s="769">
        <f t="shared" si="28"/>
        <v>0</v>
      </c>
      <c r="AW382" s="752">
        <f t="shared" si="26"/>
        <v>150000</v>
      </c>
      <c r="AY382" s="753"/>
    </row>
    <row r="383" spans="1:51" s="752" customFormat="1" hidden="1">
      <c r="A383" s="743">
        <f t="shared" si="29"/>
        <v>379</v>
      </c>
      <c r="B383" s="764"/>
      <c r="C383" s="767" t="s">
        <v>1836</v>
      </c>
      <c r="D383" s="746" t="s">
        <v>1863</v>
      </c>
      <c r="E383" s="747">
        <f t="shared" si="13"/>
        <v>190000</v>
      </c>
      <c r="F383" s="765">
        <v>0</v>
      </c>
      <c r="G383" s="765"/>
      <c r="H383" s="765">
        <v>0</v>
      </c>
      <c r="I383" s="765"/>
      <c r="J383" s="765">
        <v>0</v>
      </c>
      <c r="K383" s="765"/>
      <c r="L383" s="765">
        <v>0</v>
      </c>
      <c r="M383" s="765"/>
      <c r="N383" s="765">
        <v>0</v>
      </c>
      <c r="O383" s="765"/>
      <c r="P383" s="765">
        <v>0</v>
      </c>
      <c r="Q383" s="765"/>
      <c r="R383" s="765">
        <v>0</v>
      </c>
      <c r="S383" s="765"/>
      <c r="T383" s="765">
        <v>0</v>
      </c>
      <c r="U383" s="765"/>
      <c r="V383" s="765">
        <v>0</v>
      </c>
      <c r="W383" s="765"/>
      <c r="X383" s="765">
        <v>0</v>
      </c>
      <c r="Y383" s="765"/>
      <c r="Z383" s="765">
        <v>0</v>
      </c>
      <c r="AA383" s="765"/>
      <c r="AB383" s="765">
        <v>0</v>
      </c>
      <c r="AC383" s="765"/>
      <c r="AD383" s="765">
        <v>150000</v>
      </c>
      <c r="AE383" s="765"/>
      <c r="AF383" s="751">
        <v>0</v>
      </c>
      <c r="AG383" s="766"/>
      <c r="AH383" s="765"/>
      <c r="AI383" s="765"/>
      <c r="AJ383" s="765">
        <v>0</v>
      </c>
      <c r="AK383" s="765"/>
      <c r="AL383" s="765">
        <v>0</v>
      </c>
      <c r="AM383" s="765"/>
      <c r="AN383" s="765">
        <v>0</v>
      </c>
      <c r="AO383" s="765"/>
      <c r="AP383" s="765">
        <v>0</v>
      </c>
      <c r="AQ383" s="765"/>
      <c r="AR383" s="765">
        <v>40000</v>
      </c>
      <c r="AS383" s="765"/>
      <c r="AT383" s="769">
        <f t="shared" si="27"/>
        <v>0</v>
      </c>
      <c r="AU383" s="750"/>
      <c r="AV383" s="769">
        <f t="shared" si="28"/>
        <v>0</v>
      </c>
      <c r="AW383" s="752">
        <f t="shared" si="26"/>
        <v>0</v>
      </c>
      <c r="AY383" s="753"/>
    </row>
    <row r="384" spans="1:51" s="752" customFormat="1" hidden="1">
      <c r="A384" s="743">
        <f t="shared" si="29"/>
        <v>380</v>
      </c>
      <c r="B384" s="764"/>
      <c r="C384" s="767" t="s">
        <v>1837</v>
      </c>
      <c r="D384" s="746" t="s">
        <v>1864</v>
      </c>
      <c r="E384" s="747">
        <f t="shared" si="13"/>
        <v>220000</v>
      </c>
      <c r="F384" s="765">
        <v>0</v>
      </c>
      <c r="G384" s="765"/>
      <c r="H384" s="765">
        <v>0</v>
      </c>
      <c r="I384" s="765"/>
      <c r="J384" s="765">
        <v>0</v>
      </c>
      <c r="K384" s="765"/>
      <c r="L384" s="765">
        <v>0</v>
      </c>
      <c r="M384" s="765"/>
      <c r="N384" s="765">
        <v>0</v>
      </c>
      <c r="O384" s="765"/>
      <c r="P384" s="765">
        <v>0</v>
      </c>
      <c r="Q384" s="765"/>
      <c r="R384" s="765">
        <v>0</v>
      </c>
      <c r="S384" s="765"/>
      <c r="T384" s="765">
        <v>0</v>
      </c>
      <c r="U384" s="765"/>
      <c r="V384" s="765">
        <v>0</v>
      </c>
      <c r="W384" s="765"/>
      <c r="X384" s="765">
        <v>0</v>
      </c>
      <c r="Y384" s="765"/>
      <c r="Z384" s="765">
        <v>0</v>
      </c>
      <c r="AA384" s="765"/>
      <c r="AB384" s="765">
        <v>0</v>
      </c>
      <c r="AC384" s="765"/>
      <c r="AD384" s="765">
        <v>100000</v>
      </c>
      <c r="AE384" s="765"/>
      <c r="AF384" s="751">
        <v>0</v>
      </c>
      <c r="AG384" s="766"/>
      <c r="AH384" s="765"/>
      <c r="AI384" s="765"/>
      <c r="AJ384" s="765">
        <v>0</v>
      </c>
      <c r="AK384" s="765"/>
      <c r="AL384" s="765">
        <v>40000</v>
      </c>
      <c r="AM384" s="765"/>
      <c r="AN384" s="765">
        <v>0</v>
      </c>
      <c r="AO384" s="765"/>
      <c r="AP384" s="765">
        <v>40000</v>
      </c>
      <c r="AQ384" s="765"/>
      <c r="AR384" s="765">
        <v>40000</v>
      </c>
      <c r="AS384" s="765"/>
      <c r="AT384" s="769">
        <f t="shared" si="27"/>
        <v>0</v>
      </c>
      <c r="AU384" s="750"/>
      <c r="AV384" s="769">
        <f t="shared" si="28"/>
        <v>0</v>
      </c>
      <c r="AW384" s="752">
        <f t="shared" si="26"/>
        <v>0</v>
      </c>
      <c r="AY384" s="753"/>
    </row>
    <row r="385" spans="1:51" s="752" customFormat="1" hidden="1">
      <c r="A385" s="743">
        <f t="shared" si="29"/>
        <v>381</v>
      </c>
      <c r="B385" s="764"/>
      <c r="C385" s="767" t="s">
        <v>1838</v>
      </c>
      <c r="D385" s="746" t="s">
        <v>1865</v>
      </c>
      <c r="E385" s="747">
        <f t="shared" si="13"/>
        <v>180000</v>
      </c>
      <c r="F385" s="765">
        <v>0</v>
      </c>
      <c r="G385" s="765"/>
      <c r="H385" s="765">
        <v>0</v>
      </c>
      <c r="I385" s="765"/>
      <c r="J385" s="765">
        <v>0</v>
      </c>
      <c r="K385" s="765"/>
      <c r="L385" s="765">
        <v>0</v>
      </c>
      <c r="M385" s="765"/>
      <c r="N385" s="765">
        <v>0</v>
      </c>
      <c r="O385" s="765"/>
      <c r="P385" s="765">
        <v>0</v>
      </c>
      <c r="Q385" s="765"/>
      <c r="R385" s="765">
        <v>0</v>
      </c>
      <c r="S385" s="765"/>
      <c r="T385" s="765">
        <v>0</v>
      </c>
      <c r="U385" s="765"/>
      <c r="V385" s="765">
        <v>0</v>
      </c>
      <c r="W385" s="765"/>
      <c r="X385" s="765">
        <v>0</v>
      </c>
      <c r="Y385" s="765"/>
      <c r="Z385" s="765">
        <v>0</v>
      </c>
      <c r="AA385" s="765"/>
      <c r="AB385" s="765">
        <v>0</v>
      </c>
      <c r="AC385" s="765"/>
      <c r="AD385" s="765">
        <v>100000</v>
      </c>
      <c r="AE385" s="765"/>
      <c r="AF385" s="751">
        <v>0</v>
      </c>
      <c r="AG385" s="766"/>
      <c r="AH385" s="765"/>
      <c r="AI385" s="765"/>
      <c r="AJ385" s="765">
        <v>0</v>
      </c>
      <c r="AK385" s="765"/>
      <c r="AL385" s="765">
        <v>0</v>
      </c>
      <c r="AM385" s="765"/>
      <c r="AN385" s="765">
        <v>40000</v>
      </c>
      <c r="AO385" s="765"/>
      <c r="AP385" s="765">
        <v>0</v>
      </c>
      <c r="AQ385" s="765"/>
      <c r="AR385" s="765">
        <v>40000</v>
      </c>
      <c r="AS385" s="765"/>
      <c r="AT385" s="769">
        <f t="shared" si="27"/>
        <v>0</v>
      </c>
      <c r="AU385" s="750"/>
      <c r="AV385" s="769">
        <f t="shared" si="28"/>
        <v>0</v>
      </c>
      <c r="AW385" s="752">
        <f t="shared" si="26"/>
        <v>0</v>
      </c>
      <c r="AY385" s="753"/>
    </row>
    <row r="386" spans="1:51" s="752" customFormat="1">
      <c r="A386" s="743">
        <f t="shared" si="29"/>
        <v>382</v>
      </c>
      <c r="B386" s="764"/>
      <c r="C386" s="768" t="s">
        <v>1839</v>
      </c>
      <c r="D386" s="746" t="s">
        <v>1866</v>
      </c>
      <c r="E386" s="747">
        <f t="shared" si="13"/>
        <v>380000</v>
      </c>
      <c r="F386" s="765">
        <v>0</v>
      </c>
      <c r="G386" s="765"/>
      <c r="H386" s="765">
        <v>0</v>
      </c>
      <c r="I386" s="765"/>
      <c r="J386" s="765">
        <v>0</v>
      </c>
      <c r="K386" s="765"/>
      <c r="L386" s="765">
        <v>0</v>
      </c>
      <c r="M386" s="765"/>
      <c r="N386" s="765">
        <v>0</v>
      </c>
      <c r="O386" s="765"/>
      <c r="P386" s="765">
        <v>0</v>
      </c>
      <c r="Q386" s="765"/>
      <c r="R386" s="765">
        <v>0</v>
      </c>
      <c r="S386" s="765"/>
      <c r="T386" s="765">
        <v>0</v>
      </c>
      <c r="U386" s="765"/>
      <c r="V386" s="765">
        <v>0</v>
      </c>
      <c r="W386" s="765"/>
      <c r="X386" s="765">
        <v>0</v>
      </c>
      <c r="Y386" s="765"/>
      <c r="Z386" s="766">
        <v>0</v>
      </c>
      <c r="AA386" s="751">
        <v>50000</v>
      </c>
      <c r="AB386" s="766">
        <v>0</v>
      </c>
      <c r="AC386" s="751">
        <v>50000</v>
      </c>
      <c r="AD386" s="765">
        <v>150000</v>
      </c>
      <c r="AE386" s="765"/>
      <c r="AF386" s="751">
        <v>0</v>
      </c>
      <c r="AG386" s="766"/>
      <c r="AH386" s="751">
        <v>0</v>
      </c>
      <c r="AI386" s="766"/>
      <c r="AJ386" s="766">
        <v>0</v>
      </c>
      <c r="AK386" s="751">
        <v>50000</v>
      </c>
      <c r="AL386" s="766">
        <v>0</v>
      </c>
      <c r="AM386" s="751">
        <v>40000</v>
      </c>
      <c r="AN386" s="766">
        <v>0</v>
      </c>
      <c r="AO386" s="751">
        <v>40000</v>
      </c>
      <c r="AP386" s="765">
        <v>0</v>
      </c>
      <c r="AQ386" s="765"/>
      <c r="AR386" s="765">
        <v>0</v>
      </c>
      <c r="AS386" s="765"/>
      <c r="AT386" s="769">
        <f t="shared" si="27"/>
        <v>230000</v>
      </c>
      <c r="AU386" s="750"/>
      <c r="AV386" s="771">
        <f t="shared" si="28"/>
        <v>80000</v>
      </c>
      <c r="AW386" s="752">
        <f t="shared" si="26"/>
        <v>150000</v>
      </c>
      <c r="AY386" s="753"/>
    </row>
    <row r="387" spans="1:51" s="752" customFormat="1" hidden="1">
      <c r="A387" s="743">
        <f t="shared" si="29"/>
        <v>383</v>
      </c>
      <c r="B387" s="764"/>
      <c r="C387" s="768" t="s">
        <v>1840</v>
      </c>
      <c r="D387" s="746" t="s">
        <v>1867</v>
      </c>
      <c r="E387" s="747">
        <f t="shared" ref="E387:E450" si="30">+SUM(F387:AR387)</f>
        <v>150000</v>
      </c>
      <c r="F387" s="765">
        <v>0</v>
      </c>
      <c r="G387" s="765"/>
      <c r="H387" s="765">
        <v>0</v>
      </c>
      <c r="I387" s="765"/>
      <c r="J387" s="765">
        <v>0</v>
      </c>
      <c r="K387" s="765"/>
      <c r="L387" s="765">
        <v>0</v>
      </c>
      <c r="M387" s="765"/>
      <c r="N387" s="765">
        <v>0</v>
      </c>
      <c r="O387" s="765"/>
      <c r="P387" s="765">
        <v>0</v>
      </c>
      <c r="Q387" s="765"/>
      <c r="R387" s="765">
        <v>0</v>
      </c>
      <c r="S387" s="765"/>
      <c r="T387" s="765">
        <v>0</v>
      </c>
      <c r="U387" s="765"/>
      <c r="V387" s="765">
        <v>0</v>
      </c>
      <c r="W387" s="765"/>
      <c r="X387" s="765">
        <v>0</v>
      </c>
      <c r="Y387" s="765"/>
      <c r="Z387" s="765">
        <v>0</v>
      </c>
      <c r="AA387" s="765"/>
      <c r="AB387" s="765">
        <v>0</v>
      </c>
      <c r="AC387" s="765"/>
      <c r="AD387" s="765">
        <v>150000</v>
      </c>
      <c r="AE387" s="765"/>
      <c r="AF387" s="750">
        <v>0</v>
      </c>
      <c r="AG387" s="765"/>
      <c r="AH387" s="765"/>
      <c r="AI387" s="765"/>
      <c r="AJ387" s="765">
        <v>0</v>
      </c>
      <c r="AK387" s="765"/>
      <c r="AL387" s="765">
        <v>0</v>
      </c>
      <c r="AM387" s="765"/>
      <c r="AN387" s="765">
        <v>0</v>
      </c>
      <c r="AO387" s="765"/>
      <c r="AP387" s="765">
        <v>0</v>
      </c>
      <c r="AQ387" s="765"/>
      <c r="AR387" s="765">
        <v>0</v>
      </c>
      <c r="AS387" s="765"/>
      <c r="AT387" s="769">
        <f t="shared" si="27"/>
        <v>0</v>
      </c>
      <c r="AU387" s="750"/>
      <c r="AV387" s="769">
        <f t="shared" si="28"/>
        <v>0</v>
      </c>
      <c r="AW387" s="752">
        <f t="shared" si="26"/>
        <v>0</v>
      </c>
      <c r="AY387" s="753"/>
    </row>
    <row r="388" spans="1:51" s="752" customFormat="1" hidden="1">
      <c r="A388" s="743">
        <f t="shared" si="29"/>
        <v>384</v>
      </c>
      <c r="B388" s="764"/>
      <c r="C388" s="768" t="s">
        <v>1841</v>
      </c>
      <c r="D388" s="746" t="s">
        <v>1868</v>
      </c>
      <c r="E388" s="747">
        <f t="shared" si="30"/>
        <v>410000</v>
      </c>
      <c r="F388" s="765">
        <v>0</v>
      </c>
      <c r="G388" s="765"/>
      <c r="H388" s="765">
        <v>0</v>
      </c>
      <c r="I388" s="765"/>
      <c r="J388" s="765">
        <v>0</v>
      </c>
      <c r="K388" s="765"/>
      <c r="L388" s="765">
        <v>0</v>
      </c>
      <c r="M388" s="765"/>
      <c r="N388" s="765">
        <v>0</v>
      </c>
      <c r="O388" s="765"/>
      <c r="P388" s="765">
        <v>0</v>
      </c>
      <c r="Q388" s="765"/>
      <c r="R388" s="765">
        <v>0</v>
      </c>
      <c r="S388" s="765"/>
      <c r="T388" s="765">
        <v>0</v>
      </c>
      <c r="U388" s="765"/>
      <c r="V388" s="765">
        <v>0</v>
      </c>
      <c r="W388" s="765"/>
      <c r="X388" s="765">
        <v>0</v>
      </c>
      <c r="Y388" s="765"/>
      <c r="Z388" s="765">
        <v>0</v>
      </c>
      <c r="AA388" s="765"/>
      <c r="AB388" s="766">
        <v>0</v>
      </c>
      <c r="AC388" s="751">
        <v>50000</v>
      </c>
      <c r="AD388" s="765">
        <v>200000</v>
      </c>
      <c r="AE388" s="765"/>
      <c r="AF388" s="751">
        <v>0</v>
      </c>
      <c r="AG388" s="766"/>
      <c r="AH388" s="751">
        <v>0</v>
      </c>
      <c r="AI388" s="766"/>
      <c r="AJ388" s="766">
        <v>0</v>
      </c>
      <c r="AK388" s="766"/>
      <c r="AL388" s="765">
        <v>40000</v>
      </c>
      <c r="AM388" s="765"/>
      <c r="AN388" s="765">
        <v>40000</v>
      </c>
      <c r="AO388" s="765"/>
      <c r="AP388" s="765">
        <v>40000</v>
      </c>
      <c r="AQ388" s="765"/>
      <c r="AR388" s="765">
        <v>40000</v>
      </c>
      <c r="AS388" s="765"/>
      <c r="AT388" s="769">
        <f t="shared" si="27"/>
        <v>50000</v>
      </c>
      <c r="AU388" s="750"/>
      <c r="AV388" s="769">
        <f t="shared" si="28"/>
        <v>-50000</v>
      </c>
      <c r="AW388" s="752">
        <f t="shared" si="26"/>
        <v>100000</v>
      </c>
      <c r="AY388" s="753"/>
    </row>
    <row r="389" spans="1:51" s="752" customFormat="1" hidden="1">
      <c r="A389" s="743">
        <f t="shared" si="29"/>
        <v>385</v>
      </c>
      <c r="B389" s="764"/>
      <c r="C389" s="768" t="s">
        <v>1842</v>
      </c>
      <c r="D389" s="746" t="s">
        <v>1869</v>
      </c>
      <c r="E389" s="747">
        <f t="shared" si="30"/>
        <v>410000</v>
      </c>
      <c r="F389" s="765">
        <v>0</v>
      </c>
      <c r="G389" s="765"/>
      <c r="H389" s="765">
        <v>0</v>
      </c>
      <c r="I389" s="765"/>
      <c r="J389" s="765">
        <v>0</v>
      </c>
      <c r="K389" s="765"/>
      <c r="L389" s="765">
        <v>0</v>
      </c>
      <c r="M389" s="765"/>
      <c r="N389" s="765">
        <v>0</v>
      </c>
      <c r="O389" s="765"/>
      <c r="P389" s="765">
        <v>0</v>
      </c>
      <c r="Q389" s="765"/>
      <c r="R389" s="765">
        <v>0</v>
      </c>
      <c r="S389" s="765"/>
      <c r="T389" s="765">
        <v>0</v>
      </c>
      <c r="U389" s="765"/>
      <c r="V389" s="765">
        <v>0</v>
      </c>
      <c r="W389" s="765"/>
      <c r="X389" s="765">
        <v>0</v>
      </c>
      <c r="Y389" s="765"/>
      <c r="Z389" s="765">
        <v>0</v>
      </c>
      <c r="AA389" s="765"/>
      <c r="AB389" s="765">
        <v>0</v>
      </c>
      <c r="AC389" s="765"/>
      <c r="AD389" s="765">
        <v>50000</v>
      </c>
      <c r="AE389" s="765"/>
      <c r="AF389" s="751">
        <v>0</v>
      </c>
      <c r="AG389" s="766">
        <v>50000</v>
      </c>
      <c r="AH389" s="751">
        <v>0</v>
      </c>
      <c r="AI389" s="751">
        <v>50000</v>
      </c>
      <c r="AJ389" s="766">
        <v>50000</v>
      </c>
      <c r="AK389" s="766">
        <v>50000</v>
      </c>
      <c r="AL389" s="765">
        <v>40000</v>
      </c>
      <c r="AM389" s="765"/>
      <c r="AN389" s="765">
        <v>40000</v>
      </c>
      <c r="AO389" s="765"/>
      <c r="AP389" s="765">
        <v>40000</v>
      </c>
      <c r="AQ389" s="765"/>
      <c r="AR389" s="765">
        <v>40000</v>
      </c>
      <c r="AS389" s="765"/>
      <c r="AT389" s="769">
        <f t="shared" si="27"/>
        <v>150000</v>
      </c>
      <c r="AU389" s="750"/>
      <c r="AV389" s="769">
        <f t="shared" si="28"/>
        <v>0</v>
      </c>
      <c r="AW389" s="752">
        <f t="shared" ref="AW389:AW452" si="31">SUMIF(AX:AX,C389,AY:AY)</f>
        <v>150000</v>
      </c>
      <c r="AY389" s="753"/>
    </row>
    <row r="390" spans="1:51" s="752" customFormat="1" hidden="1">
      <c r="A390" s="743">
        <f t="shared" si="29"/>
        <v>386</v>
      </c>
      <c r="B390" s="764"/>
      <c r="C390" s="768" t="s">
        <v>1843</v>
      </c>
      <c r="D390" s="746" t="s">
        <v>1870</v>
      </c>
      <c r="E390" s="747">
        <f t="shared" si="30"/>
        <v>360000</v>
      </c>
      <c r="F390" s="765">
        <v>0</v>
      </c>
      <c r="G390" s="765"/>
      <c r="H390" s="765">
        <v>0</v>
      </c>
      <c r="I390" s="765"/>
      <c r="J390" s="765">
        <v>0</v>
      </c>
      <c r="K390" s="765"/>
      <c r="L390" s="765">
        <v>0</v>
      </c>
      <c r="M390" s="765"/>
      <c r="N390" s="765">
        <v>0</v>
      </c>
      <c r="O390" s="765"/>
      <c r="P390" s="765">
        <v>0</v>
      </c>
      <c r="Q390" s="765"/>
      <c r="R390" s="765">
        <v>0</v>
      </c>
      <c r="S390" s="765"/>
      <c r="T390" s="765">
        <v>0</v>
      </c>
      <c r="U390" s="765"/>
      <c r="V390" s="765">
        <v>0</v>
      </c>
      <c r="W390" s="765"/>
      <c r="X390" s="765">
        <v>0</v>
      </c>
      <c r="Y390" s="765"/>
      <c r="Z390" s="765">
        <v>0</v>
      </c>
      <c r="AA390" s="765"/>
      <c r="AB390" s="765">
        <v>0</v>
      </c>
      <c r="AC390" s="765"/>
      <c r="AD390" s="765">
        <v>100000</v>
      </c>
      <c r="AE390" s="765"/>
      <c r="AF390" s="751">
        <v>0</v>
      </c>
      <c r="AG390" s="766"/>
      <c r="AH390" s="751">
        <v>0</v>
      </c>
      <c r="AI390" s="751">
        <v>50000</v>
      </c>
      <c r="AJ390" s="766">
        <v>0</v>
      </c>
      <c r="AK390" s="751">
        <v>50000</v>
      </c>
      <c r="AL390" s="765">
        <v>40000</v>
      </c>
      <c r="AM390" s="765"/>
      <c r="AN390" s="765">
        <v>40000</v>
      </c>
      <c r="AO390" s="765"/>
      <c r="AP390" s="765">
        <v>40000</v>
      </c>
      <c r="AQ390" s="765"/>
      <c r="AR390" s="765">
        <v>40000</v>
      </c>
      <c r="AS390" s="765"/>
      <c r="AT390" s="769">
        <f t="shared" ref="AT390:AT453" si="32">+AS390+AQ390+AO390+AM390+AK390+AI390+AG390+AE390+AC390+AA390+Y390+W390+U390+S390+Q390+O390+M390+K390+I390+G390</f>
        <v>100000</v>
      </c>
      <c r="AU390" s="750"/>
      <c r="AV390" s="769">
        <f t="shared" ref="AV390:AV453" si="33">+AT390-AW390</f>
        <v>0</v>
      </c>
      <c r="AW390" s="752">
        <f t="shared" si="31"/>
        <v>100000</v>
      </c>
      <c r="AY390" s="753"/>
    </row>
    <row r="391" spans="1:51" s="752" customFormat="1" hidden="1">
      <c r="A391" s="743">
        <f t="shared" ref="A391:A454" si="34">+A390+1</f>
        <v>387</v>
      </c>
      <c r="B391" s="764"/>
      <c r="C391" s="768" t="s">
        <v>1844</v>
      </c>
      <c r="D391" s="746" t="s">
        <v>1871</v>
      </c>
      <c r="E391" s="747">
        <f t="shared" si="30"/>
        <v>360000</v>
      </c>
      <c r="F391" s="765">
        <v>0</v>
      </c>
      <c r="G391" s="765"/>
      <c r="H391" s="765">
        <v>0</v>
      </c>
      <c r="I391" s="765"/>
      <c r="J391" s="765">
        <v>0</v>
      </c>
      <c r="K391" s="765"/>
      <c r="L391" s="765">
        <v>0</v>
      </c>
      <c r="M391" s="765"/>
      <c r="N391" s="765">
        <v>0</v>
      </c>
      <c r="O391" s="765"/>
      <c r="P391" s="765">
        <v>0</v>
      </c>
      <c r="Q391" s="765"/>
      <c r="R391" s="765">
        <v>0</v>
      </c>
      <c r="S391" s="765"/>
      <c r="T391" s="765">
        <v>0</v>
      </c>
      <c r="U391" s="765"/>
      <c r="V391" s="765">
        <v>0</v>
      </c>
      <c r="W391" s="765"/>
      <c r="X391" s="765">
        <v>0</v>
      </c>
      <c r="Y391" s="765"/>
      <c r="Z391" s="765">
        <v>0</v>
      </c>
      <c r="AA391" s="765"/>
      <c r="AB391" s="765">
        <v>0</v>
      </c>
      <c r="AC391" s="765"/>
      <c r="AD391" s="765">
        <v>100000</v>
      </c>
      <c r="AE391" s="765"/>
      <c r="AF391" s="751">
        <v>0</v>
      </c>
      <c r="AG391" s="766"/>
      <c r="AH391" s="751">
        <v>0</v>
      </c>
      <c r="AI391" s="751">
        <v>50000</v>
      </c>
      <c r="AJ391" s="766">
        <v>0</v>
      </c>
      <c r="AK391" s="751">
        <v>50000</v>
      </c>
      <c r="AL391" s="765">
        <v>40000</v>
      </c>
      <c r="AM391" s="765"/>
      <c r="AN391" s="765">
        <v>40000</v>
      </c>
      <c r="AO391" s="765"/>
      <c r="AP391" s="765">
        <v>40000</v>
      </c>
      <c r="AQ391" s="765"/>
      <c r="AR391" s="765">
        <v>40000</v>
      </c>
      <c r="AS391" s="765"/>
      <c r="AT391" s="769">
        <f t="shared" si="32"/>
        <v>100000</v>
      </c>
      <c r="AU391" s="750"/>
      <c r="AV391" s="769">
        <f t="shared" si="33"/>
        <v>0</v>
      </c>
      <c r="AW391" s="752">
        <f t="shared" si="31"/>
        <v>100000</v>
      </c>
      <c r="AY391" s="753"/>
    </row>
    <row r="392" spans="1:51" s="752" customFormat="1">
      <c r="A392" s="743">
        <f t="shared" si="34"/>
        <v>388</v>
      </c>
      <c r="B392" s="764"/>
      <c r="C392" s="768" t="s">
        <v>1845</v>
      </c>
      <c r="D392" s="746" t="s">
        <v>1872</v>
      </c>
      <c r="E392" s="747">
        <f t="shared" si="30"/>
        <v>410000</v>
      </c>
      <c r="F392" s="765">
        <v>0</v>
      </c>
      <c r="G392" s="765"/>
      <c r="H392" s="765">
        <v>0</v>
      </c>
      <c r="I392" s="765"/>
      <c r="J392" s="765">
        <v>0</v>
      </c>
      <c r="K392" s="765"/>
      <c r="L392" s="765">
        <v>0</v>
      </c>
      <c r="M392" s="765"/>
      <c r="N392" s="765">
        <v>0</v>
      </c>
      <c r="O392" s="765"/>
      <c r="P392" s="765">
        <v>0</v>
      </c>
      <c r="Q392" s="765"/>
      <c r="R392" s="765">
        <v>0</v>
      </c>
      <c r="S392" s="765"/>
      <c r="T392" s="765">
        <v>0</v>
      </c>
      <c r="U392" s="765"/>
      <c r="V392" s="765">
        <v>0</v>
      </c>
      <c r="W392" s="765"/>
      <c r="X392" s="765">
        <v>0</v>
      </c>
      <c r="Y392" s="765"/>
      <c r="Z392" s="765">
        <v>0</v>
      </c>
      <c r="AA392" s="765"/>
      <c r="AB392" s="766">
        <v>0</v>
      </c>
      <c r="AC392" s="751">
        <v>50000</v>
      </c>
      <c r="AD392" s="765">
        <v>100000</v>
      </c>
      <c r="AE392" s="765"/>
      <c r="AF392" s="751">
        <v>0</v>
      </c>
      <c r="AG392" s="766"/>
      <c r="AH392" s="751">
        <v>0</v>
      </c>
      <c r="AI392" s="751">
        <v>50000</v>
      </c>
      <c r="AJ392" s="766">
        <v>0</v>
      </c>
      <c r="AK392" s="751">
        <v>50000</v>
      </c>
      <c r="AL392" s="765">
        <v>40000</v>
      </c>
      <c r="AM392" s="765"/>
      <c r="AN392" s="765">
        <v>40000</v>
      </c>
      <c r="AO392" s="765"/>
      <c r="AP392" s="765">
        <v>40000</v>
      </c>
      <c r="AQ392" s="765"/>
      <c r="AR392" s="765">
        <v>40000</v>
      </c>
      <c r="AS392" s="765"/>
      <c r="AT392" s="769">
        <f t="shared" si="32"/>
        <v>150000</v>
      </c>
      <c r="AU392" s="750"/>
      <c r="AV392" s="771">
        <f t="shared" si="33"/>
        <v>50000</v>
      </c>
      <c r="AW392" s="752">
        <f t="shared" si="31"/>
        <v>100000</v>
      </c>
      <c r="AY392" s="753"/>
    </row>
    <row r="393" spans="1:51" s="752" customFormat="1">
      <c r="A393" s="743">
        <f t="shared" si="34"/>
        <v>389</v>
      </c>
      <c r="B393" s="764"/>
      <c r="C393" s="768" t="s">
        <v>1846</v>
      </c>
      <c r="D393" s="746" t="s">
        <v>1873</v>
      </c>
      <c r="E393" s="747">
        <f t="shared" si="30"/>
        <v>380000</v>
      </c>
      <c r="F393" s="765">
        <v>0</v>
      </c>
      <c r="G393" s="765"/>
      <c r="H393" s="765">
        <v>0</v>
      </c>
      <c r="I393" s="765"/>
      <c r="J393" s="765">
        <v>0</v>
      </c>
      <c r="K393" s="765"/>
      <c r="L393" s="765">
        <v>0</v>
      </c>
      <c r="M393" s="765"/>
      <c r="N393" s="765">
        <v>0</v>
      </c>
      <c r="O393" s="765"/>
      <c r="P393" s="765">
        <v>0</v>
      </c>
      <c r="Q393" s="765"/>
      <c r="R393" s="765">
        <v>0</v>
      </c>
      <c r="S393" s="765"/>
      <c r="T393" s="765">
        <v>0</v>
      </c>
      <c r="U393" s="765"/>
      <c r="V393" s="765">
        <v>0</v>
      </c>
      <c r="W393" s="765"/>
      <c r="X393" s="765">
        <v>0</v>
      </c>
      <c r="Y393" s="765"/>
      <c r="Z393" s="766">
        <v>0</v>
      </c>
      <c r="AA393" s="751">
        <v>50000</v>
      </c>
      <c r="AB393" s="766">
        <v>0</v>
      </c>
      <c r="AC393" s="751">
        <v>50000</v>
      </c>
      <c r="AD393" s="765">
        <v>150000</v>
      </c>
      <c r="AE393" s="765"/>
      <c r="AF393" s="750">
        <v>0</v>
      </c>
      <c r="AG393" s="765"/>
      <c r="AH393" s="765"/>
      <c r="AI393" s="765"/>
      <c r="AJ393" s="765">
        <v>50000</v>
      </c>
      <c r="AK393" s="765"/>
      <c r="AL393" s="766">
        <v>0</v>
      </c>
      <c r="AM393" s="751">
        <v>40000</v>
      </c>
      <c r="AN393" s="765">
        <v>0</v>
      </c>
      <c r="AO393" s="765"/>
      <c r="AP393" s="765">
        <v>40000</v>
      </c>
      <c r="AQ393" s="765"/>
      <c r="AR393" s="766">
        <v>0</v>
      </c>
      <c r="AS393" s="751">
        <v>40000</v>
      </c>
      <c r="AT393" s="769">
        <f t="shared" si="32"/>
        <v>180000</v>
      </c>
      <c r="AU393" s="750"/>
      <c r="AV393" s="771">
        <f t="shared" si="33"/>
        <v>100000</v>
      </c>
      <c r="AW393" s="752">
        <f t="shared" si="31"/>
        <v>80000</v>
      </c>
      <c r="AY393" s="753"/>
    </row>
    <row r="394" spans="1:51" s="752" customFormat="1">
      <c r="A394" s="743">
        <f t="shared" si="34"/>
        <v>390</v>
      </c>
      <c r="B394" s="764"/>
      <c r="C394" s="768" t="s">
        <v>1847</v>
      </c>
      <c r="D394" s="746" t="s">
        <v>1874</v>
      </c>
      <c r="E394" s="747">
        <f t="shared" si="30"/>
        <v>460000</v>
      </c>
      <c r="F394" s="765">
        <v>0</v>
      </c>
      <c r="G394" s="765"/>
      <c r="H394" s="765">
        <v>0</v>
      </c>
      <c r="I394" s="765"/>
      <c r="J394" s="765">
        <v>0</v>
      </c>
      <c r="K394" s="765"/>
      <c r="L394" s="765">
        <v>0</v>
      </c>
      <c r="M394" s="765"/>
      <c r="N394" s="765">
        <v>0</v>
      </c>
      <c r="O394" s="765"/>
      <c r="P394" s="765">
        <v>0</v>
      </c>
      <c r="Q394" s="765"/>
      <c r="R394" s="765">
        <v>0</v>
      </c>
      <c r="S394" s="765"/>
      <c r="T394" s="765">
        <v>0</v>
      </c>
      <c r="U394" s="765"/>
      <c r="V394" s="765">
        <v>0</v>
      </c>
      <c r="W394" s="765"/>
      <c r="X394" s="765">
        <v>0</v>
      </c>
      <c r="Y394" s="765"/>
      <c r="Z394" s="766">
        <v>0</v>
      </c>
      <c r="AA394" s="751">
        <v>50000</v>
      </c>
      <c r="AB394" s="766">
        <v>0</v>
      </c>
      <c r="AC394" s="751">
        <v>50000</v>
      </c>
      <c r="AD394" s="765">
        <v>100000</v>
      </c>
      <c r="AE394" s="765"/>
      <c r="AF394" s="751">
        <v>0</v>
      </c>
      <c r="AG394" s="766"/>
      <c r="AH394" s="751">
        <v>0</v>
      </c>
      <c r="AI394" s="751">
        <v>50000</v>
      </c>
      <c r="AJ394" s="766">
        <v>0</v>
      </c>
      <c r="AK394" s="751">
        <v>50000</v>
      </c>
      <c r="AL394" s="765">
        <v>40000</v>
      </c>
      <c r="AM394" s="765"/>
      <c r="AN394" s="765">
        <v>40000</v>
      </c>
      <c r="AO394" s="765"/>
      <c r="AP394" s="765">
        <v>40000</v>
      </c>
      <c r="AQ394" s="765"/>
      <c r="AR394" s="765">
        <v>40000</v>
      </c>
      <c r="AS394" s="765"/>
      <c r="AT394" s="769">
        <f t="shared" si="32"/>
        <v>200000</v>
      </c>
      <c r="AU394" s="750"/>
      <c r="AV394" s="771">
        <f t="shared" si="33"/>
        <v>100000</v>
      </c>
      <c r="AW394" s="752">
        <f t="shared" si="31"/>
        <v>100000</v>
      </c>
      <c r="AY394" s="753"/>
    </row>
    <row r="395" spans="1:51">
      <c r="A395" s="715">
        <f t="shared" si="34"/>
        <v>391</v>
      </c>
      <c r="B395" s="718"/>
      <c r="C395" s="719" t="s">
        <v>1848</v>
      </c>
      <c r="D395" s="663" t="s">
        <v>1875</v>
      </c>
      <c r="E395" s="714">
        <f t="shared" si="30"/>
        <v>360000</v>
      </c>
      <c r="F395" s="679">
        <v>0</v>
      </c>
      <c r="G395" s="679"/>
      <c r="H395" s="679">
        <v>0</v>
      </c>
      <c r="I395" s="679"/>
      <c r="J395" s="679">
        <v>0</v>
      </c>
      <c r="K395" s="679"/>
      <c r="L395" s="679">
        <v>0</v>
      </c>
      <c r="M395" s="679"/>
      <c r="N395" s="679">
        <v>0</v>
      </c>
      <c r="O395" s="679"/>
      <c r="P395" s="679">
        <v>0</v>
      </c>
      <c r="Q395" s="679"/>
      <c r="R395" s="679"/>
      <c r="S395" s="679"/>
      <c r="T395" s="679"/>
      <c r="U395" s="679"/>
      <c r="V395" s="679"/>
      <c r="W395" s="679"/>
      <c r="X395" s="679"/>
      <c r="Y395" s="679"/>
      <c r="Z395" s="679"/>
      <c r="AA395" s="679"/>
      <c r="AB395" s="679"/>
      <c r="AC395" s="679"/>
      <c r="AD395" s="679">
        <v>100000</v>
      </c>
      <c r="AE395" s="679"/>
      <c r="AF395" s="722">
        <v>0</v>
      </c>
      <c r="AG395" s="723"/>
      <c r="AH395" s="722">
        <v>0</v>
      </c>
      <c r="AI395" s="751">
        <v>50000</v>
      </c>
      <c r="AJ395" s="723">
        <v>0</v>
      </c>
      <c r="AK395" s="751">
        <v>50000</v>
      </c>
      <c r="AL395" s="679">
        <v>40000</v>
      </c>
      <c r="AM395" s="679"/>
      <c r="AN395" s="679">
        <v>40000</v>
      </c>
      <c r="AO395" s="679"/>
      <c r="AP395" s="679">
        <v>40000</v>
      </c>
      <c r="AQ395" s="679"/>
      <c r="AR395" s="679">
        <v>40000</v>
      </c>
      <c r="AS395" s="679"/>
      <c r="AT395" s="769">
        <f t="shared" si="32"/>
        <v>100000</v>
      </c>
      <c r="AU395" s="677"/>
      <c r="AV395" s="771">
        <f t="shared" si="33"/>
        <v>100000</v>
      </c>
      <c r="AW395" s="696">
        <f t="shared" si="31"/>
        <v>0</v>
      </c>
      <c r="AY395" s="647"/>
    </row>
    <row r="396" spans="1:51">
      <c r="A396" s="715">
        <f t="shared" si="34"/>
        <v>392</v>
      </c>
      <c r="B396" s="718"/>
      <c r="C396" s="719" t="s">
        <v>1849</v>
      </c>
      <c r="D396" s="663" t="s">
        <v>1876</v>
      </c>
      <c r="E396" s="714">
        <f t="shared" si="30"/>
        <v>260000</v>
      </c>
      <c r="F396" s="679">
        <v>0</v>
      </c>
      <c r="G396" s="679"/>
      <c r="H396" s="679">
        <v>0</v>
      </c>
      <c r="I396" s="679"/>
      <c r="J396" s="679">
        <v>0</v>
      </c>
      <c r="K396" s="679"/>
      <c r="L396" s="679">
        <v>0</v>
      </c>
      <c r="M396" s="679"/>
      <c r="N396" s="679">
        <v>0</v>
      </c>
      <c r="O396" s="679"/>
      <c r="P396" s="679">
        <v>0</v>
      </c>
      <c r="Q396" s="679"/>
      <c r="R396" s="679"/>
      <c r="S396" s="679"/>
      <c r="T396" s="679"/>
      <c r="U396" s="679"/>
      <c r="V396" s="679"/>
      <c r="W396" s="679"/>
      <c r="X396" s="679"/>
      <c r="Y396" s="679"/>
      <c r="Z396" s="679"/>
      <c r="AA396" s="679"/>
      <c r="AB396" s="679"/>
      <c r="AC396" s="679"/>
      <c r="AD396" s="679">
        <v>100000</v>
      </c>
      <c r="AE396" s="679"/>
      <c r="AF396" s="722">
        <v>0</v>
      </c>
      <c r="AG396" s="723"/>
      <c r="AH396" s="679"/>
      <c r="AI396" s="679"/>
      <c r="AJ396" s="679">
        <v>0</v>
      </c>
      <c r="AK396" s="679"/>
      <c r="AL396" s="679">
        <v>40000</v>
      </c>
      <c r="AM396" s="679"/>
      <c r="AN396" s="723">
        <v>0</v>
      </c>
      <c r="AO396" s="751">
        <v>40000</v>
      </c>
      <c r="AP396" s="679">
        <v>40000</v>
      </c>
      <c r="AQ396" s="679"/>
      <c r="AR396" s="679">
        <v>40000</v>
      </c>
      <c r="AS396" s="679"/>
      <c r="AT396" s="769">
        <f t="shared" si="32"/>
        <v>40000</v>
      </c>
      <c r="AU396" s="677"/>
      <c r="AV396" s="771">
        <f t="shared" si="33"/>
        <v>40000</v>
      </c>
      <c r="AW396" s="696">
        <f t="shared" si="31"/>
        <v>0</v>
      </c>
      <c r="AY396" s="647"/>
    </row>
    <row r="397" spans="1:51">
      <c r="A397" s="715">
        <f t="shared" si="34"/>
        <v>393</v>
      </c>
      <c r="B397" s="718"/>
      <c r="C397" s="719" t="s">
        <v>1850</v>
      </c>
      <c r="D397" s="663" t="s">
        <v>1877</v>
      </c>
      <c r="E397" s="714">
        <f t="shared" si="30"/>
        <v>140000</v>
      </c>
      <c r="F397" s="679">
        <v>0</v>
      </c>
      <c r="G397" s="679"/>
      <c r="H397" s="679">
        <v>0</v>
      </c>
      <c r="I397" s="679"/>
      <c r="J397" s="679">
        <v>0</v>
      </c>
      <c r="K397" s="679"/>
      <c r="L397" s="679">
        <v>0</v>
      </c>
      <c r="M397" s="679"/>
      <c r="N397" s="679">
        <v>0</v>
      </c>
      <c r="O397" s="679"/>
      <c r="P397" s="679">
        <v>0</v>
      </c>
      <c r="Q397" s="679"/>
      <c r="R397" s="679"/>
      <c r="S397" s="679"/>
      <c r="T397" s="679"/>
      <c r="U397" s="679"/>
      <c r="V397" s="679"/>
      <c r="W397" s="679"/>
      <c r="X397" s="679"/>
      <c r="Y397" s="679"/>
      <c r="Z397" s="679"/>
      <c r="AA397" s="679"/>
      <c r="AB397" s="679"/>
      <c r="AC397" s="679"/>
      <c r="AD397" s="679">
        <v>100000</v>
      </c>
      <c r="AE397" s="679"/>
      <c r="AF397" s="722">
        <v>0</v>
      </c>
      <c r="AG397" s="723"/>
      <c r="AH397" s="679"/>
      <c r="AI397" s="679"/>
      <c r="AJ397" s="679">
        <v>0</v>
      </c>
      <c r="AK397" s="679"/>
      <c r="AL397" s="679">
        <v>0</v>
      </c>
      <c r="AM397" s="679"/>
      <c r="AN397" s="679">
        <v>0</v>
      </c>
      <c r="AO397" s="679"/>
      <c r="AP397" s="723">
        <v>0</v>
      </c>
      <c r="AQ397" s="751">
        <v>40000</v>
      </c>
      <c r="AR397" s="679">
        <v>0</v>
      </c>
      <c r="AS397" s="679"/>
      <c r="AT397" s="769">
        <f t="shared" si="32"/>
        <v>40000</v>
      </c>
      <c r="AU397" s="677"/>
      <c r="AV397" s="771">
        <f t="shared" si="33"/>
        <v>40000</v>
      </c>
      <c r="AW397" s="696">
        <f t="shared" si="31"/>
        <v>0</v>
      </c>
      <c r="AY397" s="647"/>
    </row>
    <row r="398" spans="1:51" hidden="1">
      <c r="A398" s="715">
        <f t="shared" si="34"/>
        <v>394</v>
      </c>
      <c r="B398" s="718"/>
      <c r="C398" s="719" t="s">
        <v>1851</v>
      </c>
      <c r="D398" s="663" t="s">
        <v>1878</v>
      </c>
      <c r="E398" s="714">
        <f t="shared" si="30"/>
        <v>210000</v>
      </c>
      <c r="F398" s="679">
        <v>0</v>
      </c>
      <c r="G398" s="679"/>
      <c r="H398" s="679">
        <v>0</v>
      </c>
      <c r="I398" s="679"/>
      <c r="J398" s="679">
        <v>0</v>
      </c>
      <c r="K398" s="679"/>
      <c r="L398" s="679">
        <v>0</v>
      </c>
      <c r="M398" s="679"/>
      <c r="N398" s="679">
        <v>0</v>
      </c>
      <c r="O398" s="679"/>
      <c r="P398" s="679">
        <v>0</v>
      </c>
      <c r="Q398" s="679"/>
      <c r="R398" s="679"/>
      <c r="S398" s="679"/>
      <c r="T398" s="679"/>
      <c r="U398" s="679"/>
      <c r="V398" s="679"/>
      <c r="W398" s="679"/>
      <c r="X398" s="679"/>
      <c r="Y398" s="679"/>
      <c r="Z398" s="679"/>
      <c r="AA398" s="679"/>
      <c r="AB398" s="679"/>
      <c r="AC398" s="679"/>
      <c r="AD398" s="679">
        <v>50000</v>
      </c>
      <c r="AE398" s="679"/>
      <c r="AF398" s="677">
        <v>0</v>
      </c>
      <c r="AG398" s="679"/>
      <c r="AH398" s="679"/>
      <c r="AI398" s="679"/>
      <c r="AJ398" s="679">
        <v>0</v>
      </c>
      <c r="AK398" s="679"/>
      <c r="AL398" s="679">
        <v>40000</v>
      </c>
      <c r="AM398" s="679"/>
      <c r="AN398" s="679">
        <v>40000</v>
      </c>
      <c r="AO398" s="679"/>
      <c r="AP398" s="679">
        <v>40000</v>
      </c>
      <c r="AQ398" s="679"/>
      <c r="AR398" s="679">
        <v>40000</v>
      </c>
      <c r="AS398" s="679"/>
      <c r="AT398" s="769">
        <f t="shared" si="32"/>
        <v>0</v>
      </c>
      <c r="AU398" s="677"/>
      <c r="AV398" s="769">
        <f t="shared" si="33"/>
        <v>0</v>
      </c>
      <c r="AW398" s="696">
        <f t="shared" si="31"/>
        <v>0</v>
      </c>
      <c r="AY398" s="647"/>
    </row>
    <row r="399" spans="1:51" hidden="1">
      <c r="A399" s="715">
        <f t="shared" si="34"/>
        <v>395</v>
      </c>
      <c r="B399" s="718"/>
      <c r="C399" s="719" t="s">
        <v>1852</v>
      </c>
      <c r="D399" s="663" t="s">
        <v>1879</v>
      </c>
      <c r="E399" s="714">
        <f t="shared" si="30"/>
        <v>100000</v>
      </c>
      <c r="F399" s="679">
        <v>0</v>
      </c>
      <c r="G399" s="679"/>
      <c r="H399" s="679">
        <v>0</v>
      </c>
      <c r="I399" s="679"/>
      <c r="J399" s="679">
        <v>0</v>
      </c>
      <c r="K399" s="679"/>
      <c r="L399" s="679">
        <v>0</v>
      </c>
      <c r="M399" s="679"/>
      <c r="N399" s="679">
        <v>0</v>
      </c>
      <c r="O399" s="679"/>
      <c r="P399" s="679">
        <v>0</v>
      </c>
      <c r="Q399" s="679"/>
      <c r="R399" s="679"/>
      <c r="S399" s="679"/>
      <c r="T399" s="679"/>
      <c r="U399" s="679"/>
      <c r="V399" s="679"/>
      <c r="W399" s="679"/>
      <c r="X399" s="679"/>
      <c r="Y399" s="679"/>
      <c r="Z399" s="679"/>
      <c r="AA399" s="679"/>
      <c r="AB399" s="679"/>
      <c r="AC399" s="679"/>
      <c r="AD399" s="679">
        <v>100000</v>
      </c>
      <c r="AE399" s="679"/>
      <c r="AF399" s="677">
        <v>0</v>
      </c>
      <c r="AG399" s="679"/>
      <c r="AH399" s="679"/>
      <c r="AI399" s="679"/>
      <c r="AJ399" s="679">
        <v>0</v>
      </c>
      <c r="AK399" s="679"/>
      <c r="AL399" s="679">
        <v>0</v>
      </c>
      <c r="AM399" s="679"/>
      <c r="AN399" s="679">
        <v>0</v>
      </c>
      <c r="AO399" s="679"/>
      <c r="AP399" s="679">
        <v>0</v>
      </c>
      <c r="AQ399" s="679"/>
      <c r="AR399" s="679">
        <v>0</v>
      </c>
      <c r="AS399" s="679"/>
      <c r="AT399" s="769">
        <f t="shared" si="32"/>
        <v>0</v>
      </c>
      <c r="AU399" s="677"/>
      <c r="AV399" s="769">
        <f t="shared" si="33"/>
        <v>0</v>
      </c>
      <c r="AW399" s="696">
        <f t="shared" si="31"/>
        <v>0</v>
      </c>
      <c r="AY399" s="647"/>
    </row>
    <row r="400" spans="1:51" hidden="1">
      <c r="A400" s="715">
        <f t="shared" si="34"/>
        <v>396</v>
      </c>
      <c r="B400" s="718"/>
      <c r="C400" s="719" t="s">
        <v>1853</v>
      </c>
      <c r="D400" s="663" t="s">
        <v>1880</v>
      </c>
      <c r="E400" s="714">
        <f t="shared" si="30"/>
        <v>510000</v>
      </c>
      <c r="F400" s="679">
        <v>0</v>
      </c>
      <c r="G400" s="679"/>
      <c r="H400" s="679">
        <v>0</v>
      </c>
      <c r="I400" s="679"/>
      <c r="J400" s="679">
        <v>0</v>
      </c>
      <c r="K400" s="679"/>
      <c r="L400" s="679">
        <v>0</v>
      </c>
      <c r="M400" s="679"/>
      <c r="N400" s="679">
        <v>0</v>
      </c>
      <c r="O400" s="679"/>
      <c r="P400" s="679">
        <v>0</v>
      </c>
      <c r="Q400" s="679"/>
      <c r="R400" s="679"/>
      <c r="S400" s="679"/>
      <c r="T400" s="679"/>
      <c r="U400" s="679"/>
      <c r="V400" s="679"/>
      <c r="W400" s="679"/>
      <c r="X400" s="723">
        <v>0</v>
      </c>
      <c r="Y400" s="751">
        <v>50000</v>
      </c>
      <c r="Z400" s="723">
        <v>0</v>
      </c>
      <c r="AA400" s="751">
        <v>50000</v>
      </c>
      <c r="AB400" s="723">
        <v>0</v>
      </c>
      <c r="AC400" s="751">
        <v>50000</v>
      </c>
      <c r="AD400" s="679">
        <v>150000</v>
      </c>
      <c r="AE400" s="679"/>
      <c r="AF400" s="722">
        <v>0</v>
      </c>
      <c r="AG400" s="723"/>
      <c r="AH400" s="722">
        <v>0</v>
      </c>
      <c r="AI400" s="723"/>
      <c r="AJ400" s="723">
        <v>0</v>
      </c>
      <c r="AK400" s="751">
        <v>50000</v>
      </c>
      <c r="AL400" s="679">
        <v>40000</v>
      </c>
      <c r="AM400" s="679"/>
      <c r="AN400" s="679">
        <v>40000</v>
      </c>
      <c r="AO400" s="679"/>
      <c r="AP400" s="679">
        <v>40000</v>
      </c>
      <c r="AQ400" s="679"/>
      <c r="AR400" s="679">
        <v>40000</v>
      </c>
      <c r="AS400" s="679"/>
      <c r="AT400" s="769">
        <f t="shared" si="32"/>
        <v>200000</v>
      </c>
      <c r="AU400" s="677"/>
      <c r="AV400" s="769">
        <f t="shared" si="33"/>
        <v>0</v>
      </c>
      <c r="AW400" s="696">
        <f t="shared" si="31"/>
        <v>200000</v>
      </c>
      <c r="AY400" s="647"/>
    </row>
    <row r="401" spans="1:51" hidden="1">
      <c r="A401" s="715">
        <f t="shared" si="34"/>
        <v>397</v>
      </c>
      <c r="B401" s="718"/>
      <c r="C401" s="719" t="s">
        <v>1881</v>
      </c>
      <c r="D401" s="663" t="s">
        <v>1882</v>
      </c>
      <c r="E401" s="714">
        <f t="shared" si="30"/>
        <v>90000</v>
      </c>
      <c r="F401" s="679">
        <v>0</v>
      </c>
      <c r="G401" s="679"/>
      <c r="H401" s="679">
        <v>0</v>
      </c>
      <c r="I401" s="679"/>
      <c r="J401" s="679">
        <v>0</v>
      </c>
      <c r="K401" s="679"/>
      <c r="L401" s="679">
        <v>0</v>
      </c>
      <c r="M401" s="679"/>
      <c r="N401" s="679">
        <v>0</v>
      </c>
      <c r="O401" s="679"/>
      <c r="P401" s="679">
        <v>0</v>
      </c>
      <c r="Q401" s="679"/>
      <c r="R401" s="679"/>
      <c r="S401" s="679"/>
      <c r="T401" s="679"/>
      <c r="U401" s="679"/>
      <c r="V401" s="679"/>
      <c r="W401" s="679"/>
      <c r="X401" s="679"/>
      <c r="Y401" s="679"/>
      <c r="Z401" s="679"/>
      <c r="AA401" s="679"/>
      <c r="AB401" s="679"/>
      <c r="AC401" s="679"/>
      <c r="AD401" s="679"/>
      <c r="AE401" s="679"/>
      <c r="AF401" s="677"/>
      <c r="AG401" s="679"/>
      <c r="AH401" s="679"/>
      <c r="AI401" s="679"/>
      <c r="AJ401" s="679">
        <v>50000</v>
      </c>
      <c r="AK401" s="679"/>
      <c r="AL401" s="679">
        <v>0</v>
      </c>
      <c r="AM401" s="679"/>
      <c r="AN401" s="679">
        <v>0</v>
      </c>
      <c r="AO401" s="679"/>
      <c r="AP401" s="723">
        <v>0</v>
      </c>
      <c r="AQ401" s="751">
        <v>40000</v>
      </c>
      <c r="AR401" s="679">
        <v>0</v>
      </c>
      <c r="AS401" s="679"/>
      <c r="AT401" s="769">
        <f t="shared" si="32"/>
        <v>40000</v>
      </c>
      <c r="AU401" s="677"/>
      <c r="AV401" s="769">
        <f t="shared" si="33"/>
        <v>0</v>
      </c>
      <c r="AW401" s="696">
        <f t="shared" si="31"/>
        <v>40000</v>
      </c>
      <c r="AY401" s="647"/>
    </row>
    <row r="402" spans="1:51" hidden="1">
      <c r="A402" s="715">
        <f t="shared" si="34"/>
        <v>398</v>
      </c>
      <c r="B402" s="718"/>
      <c r="C402" s="696" t="s">
        <v>1883</v>
      </c>
      <c r="D402" s="718" t="s">
        <v>1907</v>
      </c>
      <c r="E402" s="714">
        <f t="shared" si="30"/>
        <v>260000</v>
      </c>
      <c r="F402" s="679">
        <v>0</v>
      </c>
      <c r="G402" s="679"/>
      <c r="H402" s="679">
        <v>0</v>
      </c>
      <c r="I402" s="679"/>
      <c r="J402" s="679">
        <v>0</v>
      </c>
      <c r="K402" s="679"/>
      <c r="L402" s="679">
        <v>0</v>
      </c>
      <c r="M402" s="679"/>
      <c r="N402" s="679">
        <v>0</v>
      </c>
      <c r="O402" s="679"/>
      <c r="P402" s="679">
        <v>0</v>
      </c>
      <c r="Q402" s="679"/>
      <c r="R402" s="679"/>
      <c r="S402" s="679"/>
      <c r="T402" s="679"/>
      <c r="U402" s="679"/>
      <c r="V402" s="679"/>
      <c r="W402" s="679"/>
      <c r="X402" s="679"/>
      <c r="Y402" s="679"/>
      <c r="Z402" s="679"/>
      <c r="AA402" s="679"/>
      <c r="AB402" s="679"/>
      <c r="AC402" s="679"/>
      <c r="AD402" s="679"/>
      <c r="AE402" s="679"/>
      <c r="AF402" s="677"/>
      <c r="AG402" s="679"/>
      <c r="AH402" s="722">
        <v>0</v>
      </c>
      <c r="AI402" s="751">
        <v>50000</v>
      </c>
      <c r="AJ402" s="723">
        <v>0</v>
      </c>
      <c r="AK402" s="751">
        <v>50000</v>
      </c>
      <c r="AL402" s="679">
        <v>40000</v>
      </c>
      <c r="AM402" s="679"/>
      <c r="AN402" s="679">
        <v>40000</v>
      </c>
      <c r="AO402" s="679"/>
      <c r="AP402" s="679">
        <v>40000</v>
      </c>
      <c r="AQ402" s="679"/>
      <c r="AR402" s="679">
        <v>40000</v>
      </c>
      <c r="AS402" s="679"/>
      <c r="AT402" s="769">
        <f t="shared" si="32"/>
        <v>100000</v>
      </c>
      <c r="AU402" s="677"/>
      <c r="AV402" s="769">
        <f t="shared" si="33"/>
        <v>0</v>
      </c>
      <c r="AW402" s="696">
        <f t="shared" si="31"/>
        <v>100000</v>
      </c>
      <c r="AY402" s="647"/>
    </row>
    <row r="403" spans="1:51" hidden="1">
      <c r="A403" s="715">
        <f t="shared" si="34"/>
        <v>399</v>
      </c>
      <c r="B403" s="718"/>
      <c r="C403" s="696" t="s">
        <v>1884</v>
      </c>
      <c r="D403" s="718" t="s">
        <v>1908</v>
      </c>
      <c r="E403" s="714">
        <f t="shared" si="30"/>
        <v>160000</v>
      </c>
      <c r="F403" s="679">
        <v>0</v>
      </c>
      <c r="G403" s="679"/>
      <c r="H403" s="679">
        <v>0</v>
      </c>
      <c r="I403" s="679"/>
      <c r="J403" s="679">
        <v>0</v>
      </c>
      <c r="K403" s="679"/>
      <c r="L403" s="679">
        <v>0</v>
      </c>
      <c r="M403" s="679"/>
      <c r="N403" s="679">
        <v>0</v>
      </c>
      <c r="O403" s="679"/>
      <c r="P403" s="679">
        <v>0</v>
      </c>
      <c r="Q403" s="679"/>
      <c r="R403" s="679"/>
      <c r="S403" s="679"/>
      <c r="T403" s="679"/>
      <c r="U403" s="679"/>
      <c r="V403" s="679"/>
      <c r="W403" s="679"/>
      <c r="X403" s="679"/>
      <c r="Y403" s="679"/>
      <c r="Z403" s="679"/>
      <c r="AA403" s="679"/>
      <c r="AB403" s="679"/>
      <c r="AC403" s="679"/>
      <c r="AD403" s="679"/>
      <c r="AE403" s="679"/>
      <c r="AF403" s="677"/>
      <c r="AG403" s="679"/>
      <c r="AH403" s="679"/>
      <c r="AI403" s="679"/>
      <c r="AJ403" s="679">
        <v>0</v>
      </c>
      <c r="AK403" s="679"/>
      <c r="AL403" s="679">
        <v>40000</v>
      </c>
      <c r="AM403" s="679"/>
      <c r="AN403" s="679">
        <v>40000</v>
      </c>
      <c r="AO403" s="679"/>
      <c r="AP403" s="679">
        <v>40000</v>
      </c>
      <c r="AQ403" s="679"/>
      <c r="AR403" s="679">
        <v>40000</v>
      </c>
      <c r="AS403" s="679"/>
      <c r="AT403" s="769">
        <f t="shared" si="32"/>
        <v>0</v>
      </c>
      <c r="AU403" s="677"/>
      <c r="AV403" s="769">
        <f t="shared" si="33"/>
        <v>0</v>
      </c>
      <c r="AW403" s="696">
        <f t="shared" si="31"/>
        <v>0</v>
      </c>
      <c r="AY403" s="647"/>
    </row>
    <row r="404" spans="1:51" hidden="1">
      <c r="A404" s="715">
        <f t="shared" si="34"/>
        <v>400</v>
      </c>
      <c r="B404" s="718"/>
      <c r="C404" s="719" t="s">
        <v>1885</v>
      </c>
      <c r="D404" s="718" t="s">
        <v>1909</v>
      </c>
      <c r="E404" s="714">
        <f t="shared" si="30"/>
        <v>310000</v>
      </c>
      <c r="F404" s="679">
        <v>0</v>
      </c>
      <c r="G404" s="679"/>
      <c r="H404" s="679">
        <v>0</v>
      </c>
      <c r="I404" s="679"/>
      <c r="J404" s="679">
        <v>0</v>
      </c>
      <c r="K404" s="679"/>
      <c r="L404" s="679">
        <v>0</v>
      </c>
      <c r="M404" s="679"/>
      <c r="N404" s="679">
        <v>0</v>
      </c>
      <c r="O404" s="679"/>
      <c r="P404" s="679">
        <v>0</v>
      </c>
      <c r="Q404" s="679"/>
      <c r="R404" s="679"/>
      <c r="S404" s="679"/>
      <c r="T404" s="679"/>
      <c r="U404" s="679"/>
      <c r="V404" s="679"/>
      <c r="W404" s="679"/>
      <c r="X404" s="679"/>
      <c r="Y404" s="679"/>
      <c r="Z404" s="679"/>
      <c r="AA404" s="679"/>
      <c r="AB404" s="679"/>
      <c r="AC404" s="679"/>
      <c r="AD404" s="679"/>
      <c r="AE404" s="679"/>
      <c r="AF404" s="722">
        <v>0</v>
      </c>
      <c r="AG404" s="751">
        <v>50000</v>
      </c>
      <c r="AH404" s="722">
        <v>0</v>
      </c>
      <c r="AI404" s="751">
        <v>50000</v>
      </c>
      <c r="AJ404" s="723">
        <v>0</v>
      </c>
      <c r="AK404" s="751">
        <v>50000</v>
      </c>
      <c r="AL404" s="679">
        <v>40000</v>
      </c>
      <c r="AM404" s="679"/>
      <c r="AN404" s="679">
        <v>40000</v>
      </c>
      <c r="AO404" s="679"/>
      <c r="AP404" s="679">
        <v>40000</v>
      </c>
      <c r="AQ404" s="679"/>
      <c r="AR404" s="679">
        <v>40000</v>
      </c>
      <c r="AS404" s="679"/>
      <c r="AT404" s="769">
        <f t="shared" si="32"/>
        <v>150000</v>
      </c>
      <c r="AU404" s="677"/>
      <c r="AV404" s="769">
        <f t="shared" si="33"/>
        <v>0</v>
      </c>
      <c r="AW404" s="696">
        <f t="shared" si="31"/>
        <v>150000</v>
      </c>
      <c r="AY404" s="647"/>
    </row>
    <row r="405" spans="1:51" hidden="1">
      <c r="A405" s="715">
        <f t="shared" si="34"/>
        <v>401</v>
      </c>
      <c r="B405" s="718"/>
      <c r="C405" s="719" t="s">
        <v>1886</v>
      </c>
      <c r="D405" s="718" t="s">
        <v>1910</v>
      </c>
      <c r="E405" s="714">
        <f t="shared" si="30"/>
        <v>160000</v>
      </c>
      <c r="F405" s="679">
        <v>0</v>
      </c>
      <c r="G405" s="679"/>
      <c r="H405" s="679">
        <v>0</v>
      </c>
      <c r="I405" s="679"/>
      <c r="J405" s="679">
        <v>0</v>
      </c>
      <c r="K405" s="679"/>
      <c r="L405" s="679">
        <v>0</v>
      </c>
      <c r="M405" s="679"/>
      <c r="N405" s="679">
        <v>0</v>
      </c>
      <c r="O405" s="679"/>
      <c r="P405" s="679">
        <v>0</v>
      </c>
      <c r="Q405" s="679"/>
      <c r="R405" s="679"/>
      <c r="S405" s="679"/>
      <c r="T405" s="679"/>
      <c r="U405" s="679"/>
      <c r="V405" s="679"/>
      <c r="W405" s="679"/>
      <c r="X405" s="679"/>
      <c r="Y405" s="679"/>
      <c r="Z405" s="679"/>
      <c r="AA405" s="679"/>
      <c r="AB405" s="679"/>
      <c r="AC405" s="679"/>
      <c r="AD405" s="679"/>
      <c r="AE405" s="679"/>
      <c r="AF405" s="677"/>
      <c r="AG405" s="679"/>
      <c r="AH405" s="679"/>
      <c r="AI405" s="679"/>
      <c r="AJ405" s="679">
        <v>0</v>
      </c>
      <c r="AK405" s="679"/>
      <c r="AL405" s="679">
        <v>40000</v>
      </c>
      <c r="AM405" s="679"/>
      <c r="AN405" s="679">
        <v>40000</v>
      </c>
      <c r="AO405" s="679"/>
      <c r="AP405" s="679">
        <v>40000</v>
      </c>
      <c r="AQ405" s="679"/>
      <c r="AR405" s="679">
        <v>40000</v>
      </c>
      <c r="AS405" s="679"/>
      <c r="AT405" s="769">
        <f t="shared" si="32"/>
        <v>0</v>
      </c>
      <c r="AU405" s="677"/>
      <c r="AV405" s="769">
        <f t="shared" si="33"/>
        <v>0</v>
      </c>
      <c r="AW405" s="696">
        <f t="shared" si="31"/>
        <v>0</v>
      </c>
      <c r="AY405" s="647"/>
    </row>
    <row r="406" spans="1:51" hidden="1">
      <c r="A406" s="715">
        <f t="shared" si="34"/>
        <v>402</v>
      </c>
      <c r="B406" s="718"/>
      <c r="C406" s="696" t="s">
        <v>1887</v>
      </c>
      <c r="D406" s="718" t="s">
        <v>1911</v>
      </c>
      <c r="E406" s="714">
        <f t="shared" si="30"/>
        <v>170000</v>
      </c>
      <c r="F406" s="679">
        <v>0</v>
      </c>
      <c r="G406" s="679"/>
      <c r="H406" s="679">
        <v>0</v>
      </c>
      <c r="I406" s="679"/>
      <c r="J406" s="679">
        <v>0</v>
      </c>
      <c r="K406" s="679"/>
      <c r="L406" s="679">
        <v>0</v>
      </c>
      <c r="M406" s="679"/>
      <c r="N406" s="679">
        <v>0</v>
      </c>
      <c r="O406" s="679"/>
      <c r="P406" s="679">
        <v>0</v>
      </c>
      <c r="Q406" s="679"/>
      <c r="R406" s="679"/>
      <c r="S406" s="679"/>
      <c r="T406" s="679"/>
      <c r="U406" s="679"/>
      <c r="V406" s="679"/>
      <c r="W406" s="679"/>
      <c r="X406" s="679"/>
      <c r="Y406" s="679"/>
      <c r="Z406" s="679"/>
      <c r="AA406" s="679"/>
      <c r="AB406" s="679"/>
      <c r="AC406" s="679"/>
      <c r="AD406" s="679"/>
      <c r="AE406" s="679"/>
      <c r="AF406" s="677"/>
      <c r="AG406" s="679"/>
      <c r="AH406" s="679"/>
      <c r="AI406" s="679"/>
      <c r="AJ406" s="723">
        <v>0</v>
      </c>
      <c r="AK406" s="751">
        <v>50000</v>
      </c>
      <c r="AL406" s="679">
        <v>40000</v>
      </c>
      <c r="AM406" s="679"/>
      <c r="AN406" s="679">
        <v>40000</v>
      </c>
      <c r="AO406" s="679"/>
      <c r="AP406" s="679">
        <v>40000</v>
      </c>
      <c r="AQ406" s="679"/>
      <c r="AR406" s="723">
        <v>0</v>
      </c>
      <c r="AS406" s="751">
        <v>40000</v>
      </c>
      <c r="AT406" s="769">
        <f t="shared" si="32"/>
        <v>90000</v>
      </c>
      <c r="AU406" s="677"/>
      <c r="AV406" s="769">
        <f t="shared" si="33"/>
        <v>0</v>
      </c>
      <c r="AW406" s="696">
        <f t="shared" si="31"/>
        <v>90000</v>
      </c>
      <c r="AY406" s="647"/>
    </row>
    <row r="407" spans="1:51" hidden="1">
      <c r="A407" s="715">
        <f t="shared" si="34"/>
        <v>403</v>
      </c>
      <c r="B407" s="718"/>
      <c r="C407" s="719" t="s">
        <v>1888</v>
      </c>
      <c r="D407" s="718" t="s">
        <v>1912</v>
      </c>
      <c r="E407" s="714">
        <f t="shared" si="30"/>
        <v>160000</v>
      </c>
      <c r="F407" s="679">
        <v>0</v>
      </c>
      <c r="G407" s="679"/>
      <c r="H407" s="679">
        <v>0</v>
      </c>
      <c r="I407" s="679"/>
      <c r="J407" s="679">
        <v>0</v>
      </c>
      <c r="K407" s="679"/>
      <c r="L407" s="679">
        <v>0</v>
      </c>
      <c r="M407" s="679"/>
      <c r="N407" s="679">
        <v>0</v>
      </c>
      <c r="O407" s="679"/>
      <c r="P407" s="679">
        <v>0</v>
      </c>
      <c r="Q407" s="679"/>
      <c r="R407" s="679"/>
      <c r="S407" s="679"/>
      <c r="T407" s="679"/>
      <c r="U407" s="679"/>
      <c r="V407" s="679"/>
      <c r="W407" s="679"/>
      <c r="X407" s="679"/>
      <c r="Y407" s="679"/>
      <c r="Z407" s="679"/>
      <c r="AA407" s="679"/>
      <c r="AB407" s="679"/>
      <c r="AC407" s="679"/>
      <c r="AD407" s="679"/>
      <c r="AE407" s="679"/>
      <c r="AF407" s="677"/>
      <c r="AG407" s="679"/>
      <c r="AH407" s="679"/>
      <c r="AI407" s="679"/>
      <c r="AJ407" s="679">
        <v>0</v>
      </c>
      <c r="AK407" s="679"/>
      <c r="AL407" s="679">
        <v>40000</v>
      </c>
      <c r="AM407" s="679"/>
      <c r="AN407" s="679">
        <v>40000</v>
      </c>
      <c r="AO407" s="679"/>
      <c r="AP407" s="679">
        <v>40000</v>
      </c>
      <c r="AQ407" s="679"/>
      <c r="AR407" s="679">
        <v>40000</v>
      </c>
      <c r="AS407" s="679"/>
      <c r="AT407" s="769">
        <f t="shared" si="32"/>
        <v>0</v>
      </c>
      <c r="AU407" s="677"/>
      <c r="AV407" s="769">
        <f t="shared" si="33"/>
        <v>0</v>
      </c>
      <c r="AW407" s="696">
        <f t="shared" si="31"/>
        <v>0</v>
      </c>
      <c r="AY407" s="647"/>
    </row>
    <row r="408" spans="1:51" hidden="1">
      <c r="A408" s="715">
        <f t="shared" si="34"/>
        <v>404</v>
      </c>
      <c r="B408" s="718"/>
      <c r="C408" s="696" t="s">
        <v>1889</v>
      </c>
      <c r="D408" s="718" t="s">
        <v>1913</v>
      </c>
      <c r="E408" s="714">
        <f t="shared" si="30"/>
        <v>210000</v>
      </c>
      <c r="F408" s="679">
        <v>0</v>
      </c>
      <c r="G408" s="679"/>
      <c r="H408" s="679">
        <v>0</v>
      </c>
      <c r="I408" s="679"/>
      <c r="J408" s="679">
        <v>0</v>
      </c>
      <c r="K408" s="679"/>
      <c r="L408" s="679">
        <v>0</v>
      </c>
      <c r="M408" s="679"/>
      <c r="N408" s="679">
        <v>0</v>
      </c>
      <c r="O408" s="679"/>
      <c r="P408" s="679">
        <v>0</v>
      </c>
      <c r="Q408" s="679"/>
      <c r="R408" s="679"/>
      <c r="S408" s="679"/>
      <c r="T408" s="679"/>
      <c r="U408" s="679"/>
      <c r="V408" s="679"/>
      <c r="W408" s="679"/>
      <c r="X408" s="679"/>
      <c r="Y408" s="679"/>
      <c r="Z408" s="679"/>
      <c r="AA408" s="679"/>
      <c r="AB408" s="679"/>
      <c r="AC408" s="679"/>
      <c r="AD408" s="679"/>
      <c r="AE408" s="679"/>
      <c r="AF408" s="677"/>
      <c r="AG408" s="679"/>
      <c r="AH408" s="679"/>
      <c r="AI408" s="679"/>
      <c r="AJ408" s="723">
        <v>0</v>
      </c>
      <c r="AK408" s="751">
        <v>50000</v>
      </c>
      <c r="AL408" s="679">
        <v>40000</v>
      </c>
      <c r="AM408" s="679"/>
      <c r="AN408" s="679">
        <v>40000</v>
      </c>
      <c r="AO408" s="679"/>
      <c r="AP408" s="679">
        <v>40000</v>
      </c>
      <c r="AQ408" s="679"/>
      <c r="AR408" s="679">
        <v>40000</v>
      </c>
      <c r="AS408" s="679"/>
      <c r="AT408" s="769">
        <f t="shared" si="32"/>
        <v>50000</v>
      </c>
      <c r="AU408" s="677"/>
      <c r="AV408" s="769">
        <f t="shared" si="33"/>
        <v>0</v>
      </c>
      <c r="AW408" s="696">
        <f t="shared" si="31"/>
        <v>50000</v>
      </c>
      <c r="AY408" s="647"/>
    </row>
    <row r="409" spans="1:51" hidden="1">
      <c r="A409" s="715">
        <f t="shared" si="34"/>
        <v>405</v>
      </c>
      <c r="B409" s="718"/>
      <c r="C409" s="696" t="s">
        <v>1890</v>
      </c>
      <c r="D409" s="718" t="s">
        <v>1914</v>
      </c>
      <c r="E409" s="714">
        <f t="shared" si="30"/>
        <v>210000</v>
      </c>
      <c r="F409" s="679">
        <v>0</v>
      </c>
      <c r="G409" s="679"/>
      <c r="H409" s="679">
        <v>0</v>
      </c>
      <c r="I409" s="679"/>
      <c r="J409" s="679">
        <v>0</v>
      </c>
      <c r="K409" s="679"/>
      <c r="L409" s="679">
        <v>0</v>
      </c>
      <c r="M409" s="679"/>
      <c r="N409" s="679">
        <v>0</v>
      </c>
      <c r="O409" s="679"/>
      <c r="P409" s="679">
        <v>0</v>
      </c>
      <c r="Q409" s="679"/>
      <c r="R409" s="679"/>
      <c r="S409" s="679"/>
      <c r="T409" s="679"/>
      <c r="U409" s="679"/>
      <c r="V409" s="679"/>
      <c r="W409" s="679"/>
      <c r="X409" s="679"/>
      <c r="Y409" s="679"/>
      <c r="Z409" s="679"/>
      <c r="AA409" s="679"/>
      <c r="AB409" s="679"/>
      <c r="AC409" s="679"/>
      <c r="AD409" s="679"/>
      <c r="AE409" s="679"/>
      <c r="AF409" s="677"/>
      <c r="AG409" s="679"/>
      <c r="AH409" s="679"/>
      <c r="AI409" s="679"/>
      <c r="AJ409" s="723">
        <v>0</v>
      </c>
      <c r="AK409" s="751">
        <v>50000</v>
      </c>
      <c r="AL409" s="679">
        <v>40000</v>
      </c>
      <c r="AM409" s="679"/>
      <c r="AN409" s="679">
        <v>40000</v>
      </c>
      <c r="AO409" s="679"/>
      <c r="AP409" s="679">
        <v>40000</v>
      </c>
      <c r="AQ409" s="679"/>
      <c r="AR409" s="679">
        <v>40000</v>
      </c>
      <c r="AS409" s="679"/>
      <c r="AT409" s="769">
        <f t="shared" si="32"/>
        <v>50000</v>
      </c>
      <c r="AU409" s="677"/>
      <c r="AV409" s="769">
        <f t="shared" si="33"/>
        <v>0</v>
      </c>
      <c r="AW409" s="696">
        <f t="shared" si="31"/>
        <v>50000</v>
      </c>
      <c r="AY409" s="647"/>
    </row>
    <row r="410" spans="1:51" hidden="1">
      <c r="A410" s="715">
        <f t="shared" si="34"/>
        <v>406</v>
      </c>
      <c r="B410" s="718"/>
      <c r="C410" s="696" t="s">
        <v>1891</v>
      </c>
      <c r="D410" s="718" t="s">
        <v>1915</v>
      </c>
      <c r="E410" s="714">
        <f t="shared" si="30"/>
        <v>310000</v>
      </c>
      <c r="F410" s="679">
        <v>0</v>
      </c>
      <c r="G410" s="679"/>
      <c r="H410" s="679">
        <v>0</v>
      </c>
      <c r="I410" s="679"/>
      <c r="J410" s="679">
        <v>0</v>
      </c>
      <c r="K410" s="679"/>
      <c r="L410" s="679">
        <v>0</v>
      </c>
      <c r="M410" s="679"/>
      <c r="N410" s="679">
        <v>0</v>
      </c>
      <c r="O410" s="679"/>
      <c r="P410" s="679">
        <v>0</v>
      </c>
      <c r="Q410" s="679"/>
      <c r="R410" s="679"/>
      <c r="S410" s="679"/>
      <c r="T410" s="679"/>
      <c r="U410" s="679"/>
      <c r="V410" s="679"/>
      <c r="W410" s="679"/>
      <c r="X410" s="679"/>
      <c r="Y410" s="679"/>
      <c r="Z410" s="679"/>
      <c r="AA410" s="679"/>
      <c r="AB410" s="679"/>
      <c r="AC410" s="679"/>
      <c r="AD410" s="679"/>
      <c r="AE410" s="679"/>
      <c r="AF410" s="722">
        <v>0</v>
      </c>
      <c r="AG410" s="751">
        <v>50000</v>
      </c>
      <c r="AH410" s="722">
        <v>0</v>
      </c>
      <c r="AI410" s="751">
        <v>50000</v>
      </c>
      <c r="AJ410" s="723">
        <v>0</v>
      </c>
      <c r="AK410" s="751">
        <v>50000</v>
      </c>
      <c r="AL410" s="679">
        <v>40000</v>
      </c>
      <c r="AM410" s="679"/>
      <c r="AN410" s="679">
        <v>40000</v>
      </c>
      <c r="AO410" s="679"/>
      <c r="AP410" s="679">
        <v>40000</v>
      </c>
      <c r="AQ410" s="679"/>
      <c r="AR410" s="679">
        <v>40000</v>
      </c>
      <c r="AS410" s="679"/>
      <c r="AT410" s="769">
        <f t="shared" si="32"/>
        <v>150000</v>
      </c>
      <c r="AU410" s="677"/>
      <c r="AV410" s="769">
        <f t="shared" si="33"/>
        <v>0</v>
      </c>
      <c r="AW410" s="696">
        <f t="shared" si="31"/>
        <v>150000</v>
      </c>
      <c r="AY410" s="647"/>
    </row>
    <row r="411" spans="1:51" hidden="1">
      <c r="A411" s="715">
        <f t="shared" si="34"/>
        <v>407</v>
      </c>
      <c r="B411" s="718"/>
      <c r="C411" s="719" t="s">
        <v>1892</v>
      </c>
      <c r="D411" s="718" t="s">
        <v>1916</v>
      </c>
      <c r="E411" s="714">
        <f t="shared" si="30"/>
        <v>160000</v>
      </c>
      <c r="F411" s="679">
        <v>0</v>
      </c>
      <c r="G411" s="679"/>
      <c r="H411" s="679">
        <v>0</v>
      </c>
      <c r="I411" s="679"/>
      <c r="J411" s="679">
        <v>0</v>
      </c>
      <c r="K411" s="679"/>
      <c r="L411" s="679">
        <v>0</v>
      </c>
      <c r="M411" s="679"/>
      <c r="N411" s="679">
        <v>0</v>
      </c>
      <c r="O411" s="679"/>
      <c r="P411" s="679">
        <v>0</v>
      </c>
      <c r="Q411" s="679"/>
      <c r="R411" s="679"/>
      <c r="S411" s="679"/>
      <c r="T411" s="679"/>
      <c r="U411" s="679"/>
      <c r="V411" s="679"/>
      <c r="W411" s="679"/>
      <c r="X411" s="679"/>
      <c r="Y411" s="679"/>
      <c r="Z411" s="679"/>
      <c r="AA411" s="679"/>
      <c r="AB411" s="679"/>
      <c r="AC411" s="679"/>
      <c r="AD411" s="679"/>
      <c r="AE411" s="679"/>
      <c r="AF411" s="677"/>
      <c r="AG411" s="679"/>
      <c r="AH411" s="679"/>
      <c r="AI411" s="679"/>
      <c r="AJ411" s="679"/>
      <c r="AK411" s="679"/>
      <c r="AL411" s="679">
        <v>40000</v>
      </c>
      <c r="AM411" s="679"/>
      <c r="AN411" s="679">
        <v>40000</v>
      </c>
      <c r="AO411" s="679"/>
      <c r="AP411" s="679">
        <v>40000</v>
      </c>
      <c r="AQ411" s="679"/>
      <c r="AR411" s="679">
        <v>40000</v>
      </c>
      <c r="AS411" s="679"/>
      <c r="AT411" s="769">
        <f t="shared" si="32"/>
        <v>0</v>
      </c>
      <c r="AU411" s="677"/>
      <c r="AV411" s="769">
        <f t="shared" si="33"/>
        <v>0</v>
      </c>
      <c r="AW411" s="696">
        <f t="shared" si="31"/>
        <v>0</v>
      </c>
      <c r="AY411" s="647"/>
    </row>
    <row r="412" spans="1:51" hidden="1">
      <c r="A412" s="715">
        <f t="shared" si="34"/>
        <v>408</v>
      </c>
      <c r="B412" s="718"/>
      <c r="C412" s="719" t="s">
        <v>1893</v>
      </c>
      <c r="D412" s="718" t="s">
        <v>1917</v>
      </c>
      <c r="E412" s="714">
        <f t="shared" si="30"/>
        <v>160000</v>
      </c>
      <c r="F412" s="679">
        <v>0</v>
      </c>
      <c r="G412" s="679"/>
      <c r="H412" s="679">
        <v>0</v>
      </c>
      <c r="I412" s="679"/>
      <c r="J412" s="679">
        <v>0</v>
      </c>
      <c r="K412" s="679"/>
      <c r="L412" s="679">
        <v>0</v>
      </c>
      <c r="M412" s="679"/>
      <c r="N412" s="679">
        <v>0</v>
      </c>
      <c r="O412" s="679"/>
      <c r="P412" s="679">
        <v>0</v>
      </c>
      <c r="Q412" s="679"/>
      <c r="R412" s="679"/>
      <c r="S412" s="679"/>
      <c r="T412" s="679"/>
      <c r="U412" s="679"/>
      <c r="V412" s="679"/>
      <c r="W412" s="679"/>
      <c r="X412" s="679"/>
      <c r="Y412" s="679"/>
      <c r="Z412" s="679"/>
      <c r="AA412" s="679"/>
      <c r="AB412" s="679"/>
      <c r="AC412" s="679"/>
      <c r="AD412" s="679"/>
      <c r="AE412" s="679"/>
      <c r="AF412" s="677"/>
      <c r="AG412" s="679"/>
      <c r="AH412" s="679"/>
      <c r="AI412" s="679"/>
      <c r="AJ412" s="679"/>
      <c r="AK412" s="679"/>
      <c r="AL412" s="679">
        <v>40000</v>
      </c>
      <c r="AM412" s="679"/>
      <c r="AN412" s="679">
        <v>40000</v>
      </c>
      <c r="AO412" s="679"/>
      <c r="AP412" s="679">
        <v>40000</v>
      </c>
      <c r="AQ412" s="679"/>
      <c r="AR412" s="679">
        <v>40000</v>
      </c>
      <c r="AS412" s="679"/>
      <c r="AT412" s="769">
        <f t="shared" si="32"/>
        <v>0</v>
      </c>
      <c r="AU412" s="677"/>
      <c r="AV412" s="769">
        <f t="shared" si="33"/>
        <v>0</v>
      </c>
      <c r="AW412" s="696">
        <f t="shared" si="31"/>
        <v>0</v>
      </c>
      <c r="AY412" s="647"/>
    </row>
    <row r="413" spans="1:51" hidden="1">
      <c r="A413" s="715">
        <f t="shared" si="34"/>
        <v>409</v>
      </c>
      <c r="B413" s="718"/>
      <c r="C413" s="696" t="s">
        <v>1894</v>
      </c>
      <c r="D413" s="718" t="s">
        <v>1918</v>
      </c>
      <c r="E413" s="714">
        <f t="shared" si="30"/>
        <v>160000</v>
      </c>
      <c r="F413" s="679">
        <v>0</v>
      </c>
      <c r="G413" s="679"/>
      <c r="H413" s="679">
        <v>0</v>
      </c>
      <c r="I413" s="679"/>
      <c r="J413" s="679">
        <v>0</v>
      </c>
      <c r="K413" s="679"/>
      <c r="L413" s="679">
        <v>0</v>
      </c>
      <c r="M413" s="679"/>
      <c r="N413" s="679">
        <v>0</v>
      </c>
      <c r="O413" s="679"/>
      <c r="P413" s="679">
        <v>0</v>
      </c>
      <c r="Q413" s="679"/>
      <c r="R413" s="679"/>
      <c r="S413" s="679"/>
      <c r="T413" s="679"/>
      <c r="U413" s="679"/>
      <c r="V413" s="679"/>
      <c r="W413" s="679"/>
      <c r="X413" s="679"/>
      <c r="Y413" s="679"/>
      <c r="Z413" s="679"/>
      <c r="AA413" s="679"/>
      <c r="AB413" s="679"/>
      <c r="AC413" s="679"/>
      <c r="AD413" s="679"/>
      <c r="AE413" s="679"/>
      <c r="AF413" s="677"/>
      <c r="AG413" s="679"/>
      <c r="AH413" s="679"/>
      <c r="AI413" s="679"/>
      <c r="AJ413" s="679"/>
      <c r="AK413" s="679"/>
      <c r="AL413" s="679">
        <v>40000</v>
      </c>
      <c r="AM413" s="679"/>
      <c r="AN413" s="679">
        <v>40000</v>
      </c>
      <c r="AO413" s="679"/>
      <c r="AP413" s="679">
        <v>40000</v>
      </c>
      <c r="AQ413" s="679"/>
      <c r="AR413" s="679">
        <v>40000</v>
      </c>
      <c r="AS413" s="679"/>
      <c r="AT413" s="769">
        <f t="shared" si="32"/>
        <v>0</v>
      </c>
      <c r="AU413" s="677"/>
      <c r="AV413" s="769">
        <f t="shared" si="33"/>
        <v>0</v>
      </c>
      <c r="AW413" s="696">
        <f t="shared" si="31"/>
        <v>0</v>
      </c>
      <c r="AY413" s="647"/>
    </row>
    <row r="414" spans="1:51" hidden="1">
      <c r="A414" s="715">
        <f t="shared" si="34"/>
        <v>410</v>
      </c>
      <c r="B414" s="718"/>
      <c r="C414" s="719" t="s">
        <v>1895</v>
      </c>
      <c r="D414" s="718" t="s">
        <v>1919</v>
      </c>
      <c r="E414" s="714">
        <f t="shared" si="30"/>
        <v>310000</v>
      </c>
      <c r="F414" s="679">
        <v>0</v>
      </c>
      <c r="G414" s="679"/>
      <c r="H414" s="679">
        <v>0</v>
      </c>
      <c r="I414" s="679"/>
      <c r="J414" s="679">
        <v>0</v>
      </c>
      <c r="K414" s="679"/>
      <c r="L414" s="679">
        <v>0</v>
      </c>
      <c r="M414" s="679"/>
      <c r="N414" s="679">
        <v>0</v>
      </c>
      <c r="O414" s="679"/>
      <c r="P414" s="679">
        <v>0</v>
      </c>
      <c r="Q414" s="679"/>
      <c r="R414" s="679"/>
      <c r="S414" s="679"/>
      <c r="T414" s="679"/>
      <c r="U414" s="679"/>
      <c r="V414" s="679"/>
      <c r="W414" s="679"/>
      <c r="X414" s="679"/>
      <c r="Y414" s="679"/>
      <c r="Z414" s="679"/>
      <c r="AA414" s="679"/>
      <c r="AB414" s="679"/>
      <c r="AC414" s="679"/>
      <c r="AD414" s="679"/>
      <c r="AE414" s="679"/>
      <c r="AF414" s="722">
        <v>0</v>
      </c>
      <c r="AG414" s="751">
        <v>50000</v>
      </c>
      <c r="AH414" s="722">
        <v>0</v>
      </c>
      <c r="AI414" s="751">
        <v>50000</v>
      </c>
      <c r="AJ414" s="723">
        <v>0</v>
      </c>
      <c r="AK414" s="751">
        <v>50000</v>
      </c>
      <c r="AL414" s="679">
        <v>40000</v>
      </c>
      <c r="AM414" s="679"/>
      <c r="AN414" s="679">
        <v>40000</v>
      </c>
      <c r="AO414" s="679"/>
      <c r="AP414" s="679">
        <v>40000</v>
      </c>
      <c r="AQ414" s="679"/>
      <c r="AR414" s="679">
        <v>40000</v>
      </c>
      <c r="AS414" s="679"/>
      <c r="AT414" s="769">
        <f t="shared" si="32"/>
        <v>150000</v>
      </c>
      <c r="AU414" s="677"/>
      <c r="AV414" s="769">
        <f t="shared" si="33"/>
        <v>0</v>
      </c>
      <c r="AW414" s="696">
        <f t="shared" si="31"/>
        <v>150000</v>
      </c>
      <c r="AY414" s="647"/>
    </row>
    <row r="415" spans="1:51" hidden="1">
      <c r="A415" s="715">
        <f t="shared" si="34"/>
        <v>411</v>
      </c>
      <c r="B415" s="718"/>
      <c r="C415" s="696" t="s">
        <v>1896</v>
      </c>
      <c r="D415" s="718" t="s">
        <v>1920</v>
      </c>
      <c r="E415" s="714">
        <f t="shared" si="30"/>
        <v>210000</v>
      </c>
      <c r="F415" s="679">
        <v>0</v>
      </c>
      <c r="G415" s="679"/>
      <c r="H415" s="679">
        <v>0</v>
      </c>
      <c r="I415" s="679"/>
      <c r="J415" s="679">
        <v>0</v>
      </c>
      <c r="K415" s="679"/>
      <c r="L415" s="679">
        <v>0</v>
      </c>
      <c r="M415" s="679"/>
      <c r="N415" s="679">
        <v>0</v>
      </c>
      <c r="O415" s="679"/>
      <c r="P415" s="679">
        <v>0</v>
      </c>
      <c r="Q415" s="679"/>
      <c r="R415" s="679"/>
      <c r="S415" s="679"/>
      <c r="T415" s="679"/>
      <c r="U415" s="679"/>
      <c r="V415" s="679"/>
      <c r="W415" s="679"/>
      <c r="X415" s="679"/>
      <c r="Y415" s="679"/>
      <c r="Z415" s="679"/>
      <c r="AA415" s="679"/>
      <c r="AB415" s="679"/>
      <c r="AC415" s="679"/>
      <c r="AD415" s="679"/>
      <c r="AE415" s="679"/>
      <c r="AF415" s="677"/>
      <c r="AG415" s="679"/>
      <c r="AH415" s="679"/>
      <c r="AI415" s="679"/>
      <c r="AJ415" s="723">
        <v>0</v>
      </c>
      <c r="AK415" s="751">
        <v>50000</v>
      </c>
      <c r="AL415" s="679">
        <v>40000</v>
      </c>
      <c r="AM415" s="679"/>
      <c r="AN415" s="679">
        <v>40000</v>
      </c>
      <c r="AO415" s="679"/>
      <c r="AP415" s="679">
        <v>40000</v>
      </c>
      <c r="AQ415" s="679"/>
      <c r="AR415" s="679">
        <v>40000</v>
      </c>
      <c r="AS415" s="679"/>
      <c r="AT415" s="769">
        <f t="shared" si="32"/>
        <v>50000</v>
      </c>
      <c r="AU415" s="677"/>
      <c r="AV415" s="769">
        <f t="shared" si="33"/>
        <v>0</v>
      </c>
      <c r="AW415" s="696">
        <f t="shared" si="31"/>
        <v>50000</v>
      </c>
      <c r="AY415" s="647"/>
    </row>
    <row r="416" spans="1:51" hidden="1">
      <c r="A416" s="715">
        <f t="shared" si="34"/>
        <v>412</v>
      </c>
      <c r="B416" s="718"/>
      <c r="C416" s="719" t="s">
        <v>1897</v>
      </c>
      <c r="D416" s="718" t="s">
        <v>1921</v>
      </c>
      <c r="E416" s="714">
        <f t="shared" si="30"/>
        <v>210000</v>
      </c>
      <c r="F416" s="679">
        <v>0</v>
      </c>
      <c r="G416" s="679"/>
      <c r="H416" s="679">
        <v>0</v>
      </c>
      <c r="I416" s="679"/>
      <c r="J416" s="679">
        <v>0</v>
      </c>
      <c r="K416" s="679"/>
      <c r="L416" s="679">
        <v>0</v>
      </c>
      <c r="M416" s="679"/>
      <c r="N416" s="679">
        <v>0</v>
      </c>
      <c r="O416" s="679"/>
      <c r="P416" s="679">
        <v>0</v>
      </c>
      <c r="Q416" s="679"/>
      <c r="R416" s="679"/>
      <c r="S416" s="679"/>
      <c r="T416" s="679"/>
      <c r="U416" s="679"/>
      <c r="V416" s="679"/>
      <c r="W416" s="679"/>
      <c r="X416" s="679"/>
      <c r="Y416" s="679"/>
      <c r="Z416" s="679"/>
      <c r="AA416" s="679"/>
      <c r="AB416" s="679"/>
      <c r="AC416" s="679"/>
      <c r="AD416" s="679"/>
      <c r="AE416" s="679"/>
      <c r="AF416" s="677"/>
      <c r="AG416" s="679"/>
      <c r="AH416" s="679"/>
      <c r="AI416" s="679"/>
      <c r="AJ416" s="723">
        <v>0</v>
      </c>
      <c r="AK416" s="751">
        <v>50000</v>
      </c>
      <c r="AL416" s="679">
        <v>40000</v>
      </c>
      <c r="AM416" s="679"/>
      <c r="AN416" s="679">
        <v>40000</v>
      </c>
      <c r="AO416" s="679"/>
      <c r="AP416" s="679">
        <v>40000</v>
      </c>
      <c r="AQ416" s="679"/>
      <c r="AR416" s="679">
        <v>40000</v>
      </c>
      <c r="AS416" s="679"/>
      <c r="AT416" s="769">
        <f t="shared" si="32"/>
        <v>50000</v>
      </c>
      <c r="AU416" s="677"/>
      <c r="AV416" s="769">
        <f t="shared" si="33"/>
        <v>0</v>
      </c>
      <c r="AW416" s="696">
        <f t="shared" si="31"/>
        <v>50000</v>
      </c>
      <c r="AY416" s="647"/>
    </row>
    <row r="417" spans="1:51" hidden="1">
      <c r="A417" s="715">
        <f t="shared" si="34"/>
        <v>413</v>
      </c>
      <c r="B417" s="718"/>
      <c r="C417" s="719" t="s">
        <v>1898</v>
      </c>
      <c r="D417" s="718" t="s">
        <v>1922</v>
      </c>
      <c r="E417" s="714">
        <f t="shared" si="30"/>
        <v>310000</v>
      </c>
      <c r="F417" s="679">
        <v>0</v>
      </c>
      <c r="G417" s="679"/>
      <c r="H417" s="679">
        <v>0</v>
      </c>
      <c r="I417" s="679"/>
      <c r="J417" s="679">
        <v>0</v>
      </c>
      <c r="K417" s="679"/>
      <c r="L417" s="679">
        <v>0</v>
      </c>
      <c r="M417" s="679"/>
      <c r="N417" s="679">
        <v>0</v>
      </c>
      <c r="O417" s="679"/>
      <c r="P417" s="679">
        <v>0</v>
      </c>
      <c r="Q417" s="679"/>
      <c r="R417" s="679"/>
      <c r="S417" s="679"/>
      <c r="T417" s="679"/>
      <c r="U417" s="679"/>
      <c r="V417" s="679"/>
      <c r="W417" s="679"/>
      <c r="X417" s="679"/>
      <c r="Y417" s="679"/>
      <c r="Z417" s="679"/>
      <c r="AA417" s="679"/>
      <c r="AB417" s="679"/>
      <c r="AC417" s="679"/>
      <c r="AD417" s="679"/>
      <c r="AE417" s="679"/>
      <c r="AF417" s="722">
        <v>0</v>
      </c>
      <c r="AG417" s="751">
        <v>50000</v>
      </c>
      <c r="AH417" s="722">
        <v>0</v>
      </c>
      <c r="AI417" s="751">
        <v>50000</v>
      </c>
      <c r="AJ417" s="723">
        <v>0</v>
      </c>
      <c r="AK417" s="751">
        <v>50000</v>
      </c>
      <c r="AL417" s="679">
        <v>40000</v>
      </c>
      <c r="AM417" s="679"/>
      <c r="AN417" s="679">
        <v>40000</v>
      </c>
      <c r="AO417" s="679"/>
      <c r="AP417" s="679">
        <v>40000</v>
      </c>
      <c r="AQ417" s="679"/>
      <c r="AR417" s="679">
        <v>40000</v>
      </c>
      <c r="AS417" s="679"/>
      <c r="AT417" s="769">
        <f t="shared" si="32"/>
        <v>150000</v>
      </c>
      <c r="AU417" s="677"/>
      <c r="AV417" s="769">
        <f t="shared" si="33"/>
        <v>0</v>
      </c>
      <c r="AW417" s="696">
        <f t="shared" si="31"/>
        <v>150000</v>
      </c>
      <c r="AY417" s="647"/>
    </row>
    <row r="418" spans="1:51" hidden="1">
      <c r="A418" s="715">
        <f t="shared" si="34"/>
        <v>414</v>
      </c>
      <c r="B418" s="718"/>
      <c r="C418" s="696" t="s">
        <v>1899</v>
      </c>
      <c r="D418" s="718" t="s">
        <v>1923</v>
      </c>
      <c r="E418" s="714">
        <f t="shared" si="30"/>
        <v>310000</v>
      </c>
      <c r="F418" s="679">
        <v>0</v>
      </c>
      <c r="G418" s="679"/>
      <c r="H418" s="679">
        <v>0</v>
      </c>
      <c r="I418" s="679"/>
      <c r="J418" s="679">
        <v>0</v>
      </c>
      <c r="K418" s="679"/>
      <c r="L418" s="679">
        <v>0</v>
      </c>
      <c r="M418" s="679"/>
      <c r="N418" s="679">
        <v>0</v>
      </c>
      <c r="O418" s="679"/>
      <c r="P418" s="679">
        <v>0</v>
      </c>
      <c r="Q418" s="679"/>
      <c r="R418" s="679"/>
      <c r="S418" s="679"/>
      <c r="T418" s="679"/>
      <c r="U418" s="679"/>
      <c r="V418" s="679"/>
      <c r="W418" s="679"/>
      <c r="X418" s="679"/>
      <c r="Y418" s="679"/>
      <c r="Z418" s="679"/>
      <c r="AA418" s="679"/>
      <c r="AB418" s="679"/>
      <c r="AC418" s="679"/>
      <c r="AD418" s="679"/>
      <c r="AE418" s="679"/>
      <c r="AF418" s="722">
        <v>0</v>
      </c>
      <c r="AG418" s="751">
        <v>50000</v>
      </c>
      <c r="AH418" s="722">
        <v>0</v>
      </c>
      <c r="AI418" s="751">
        <v>50000</v>
      </c>
      <c r="AJ418" s="723">
        <v>0</v>
      </c>
      <c r="AK418" s="751">
        <v>50000</v>
      </c>
      <c r="AL418" s="679">
        <v>40000</v>
      </c>
      <c r="AM418" s="679"/>
      <c r="AN418" s="679">
        <v>40000</v>
      </c>
      <c r="AO418" s="679"/>
      <c r="AP418" s="679">
        <v>40000</v>
      </c>
      <c r="AQ418" s="679"/>
      <c r="AR418" s="679">
        <v>40000</v>
      </c>
      <c r="AS418" s="679"/>
      <c r="AT418" s="769">
        <f t="shared" si="32"/>
        <v>150000</v>
      </c>
      <c r="AU418" s="677"/>
      <c r="AV418" s="769">
        <f t="shared" si="33"/>
        <v>0</v>
      </c>
      <c r="AW418" s="696">
        <f t="shared" si="31"/>
        <v>150000</v>
      </c>
      <c r="AY418" s="647"/>
    </row>
    <row r="419" spans="1:51" hidden="1">
      <c r="A419" s="715">
        <f t="shared" si="34"/>
        <v>415</v>
      </c>
      <c r="B419" s="718"/>
      <c r="C419" s="719" t="s">
        <v>1900</v>
      </c>
      <c r="D419" s="718" t="s">
        <v>1924</v>
      </c>
      <c r="E419" s="714">
        <f t="shared" si="30"/>
        <v>210000</v>
      </c>
      <c r="F419" s="679">
        <v>0</v>
      </c>
      <c r="G419" s="679"/>
      <c r="H419" s="679">
        <v>0</v>
      </c>
      <c r="I419" s="679"/>
      <c r="J419" s="679">
        <v>0</v>
      </c>
      <c r="K419" s="679"/>
      <c r="L419" s="679">
        <v>0</v>
      </c>
      <c r="M419" s="679"/>
      <c r="N419" s="679">
        <v>0</v>
      </c>
      <c r="O419" s="679"/>
      <c r="P419" s="679">
        <v>0</v>
      </c>
      <c r="Q419" s="679"/>
      <c r="R419" s="679"/>
      <c r="S419" s="679"/>
      <c r="T419" s="679"/>
      <c r="U419" s="679"/>
      <c r="V419" s="679"/>
      <c r="W419" s="679"/>
      <c r="X419" s="679"/>
      <c r="Y419" s="679"/>
      <c r="Z419" s="679"/>
      <c r="AA419" s="679"/>
      <c r="AB419" s="679"/>
      <c r="AC419" s="679"/>
      <c r="AD419" s="679"/>
      <c r="AE419" s="679"/>
      <c r="AF419" s="677"/>
      <c r="AG419" s="679"/>
      <c r="AH419" s="679"/>
      <c r="AI419" s="679"/>
      <c r="AJ419" s="723">
        <v>0</v>
      </c>
      <c r="AK419" s="751">
        <v>50000</v>
      </c>
      <c r="AL419" s="679">
        <v>40000</v>
      </c>
      <c r="AM419" s="679"/>
      <c r="AN419" s="723">
        <v>0</v>
      </c>
      <c r="AO419" s="751">
        <v>40000</v>
      </c>
      <c r="AP419" s="679">
        <v>40000</v>
      </c>
      <c r="AQ419" s="679"/>
      <c r="AR419" s="679">
        <v>40000</v>
      </c>
      <c r="AS419" s="679"/>
      <c r="AT419" s="769">
        <f t="shared" si="32"/>
        <v>90000</v>
      </c>
      <c r="AU419" s="677"/>
      <c r="AV419" s="769">
        <f t="shared" si="33"/>
        <v>0</v>
      </c>
      <c r="AW419" s="696">
        <f t="shared" si="31"/>
        <v>90000</v>
      </c>
      <c r="AY419" s="647"/>
    </row>
    <row r="420" spans="1:51" hidden="1">
      <c r="A420" s="715">
        <f t="shared" si="34"/>
        <v>416</v>
      </c>
      <c r="B420" s="718"/>
      <c r="C420" s="696" t="s">
        <v>1901</v>
      </c>
      <c r="D420" s="718" t="s">
        <v>1925</v>
      </c>
      <c r="E420" s="714">
        <f t="shared" si="30"/>
        <v>210000</v>
      </c>
      <c r="F420" s="679">
        <v>0</v>
      </c>
      <c r="G420" s="679"/>
      <c r="H420" s="679">
        <v>0</v>
      </c>
      <c r="I420" s="679"/>
      <c r="J420" s="679">
        <v>0</v>
      </c>
      <c r="K420" s="679"/>
      <c r="L420" s="679">
        <v>0</v>
      </c>
      <c r="M420" s="679"/>
      <c r="N420" s="679">
        <v>0</v>
      </c>
      <c r="O420" s="679"/>
      <c r="P420" s="679">
        <v>0</v>
      </c>
      <c r="Q420" s="679"/>
      <c r="R420" s="679"/>
      <c r="S420" s="679"/>
      <c r="T420" s="679"/>
      <c r="U420" s="679"/>
      <c r="V420" s="679"/>
      <c r="W420" s="679"/>
      <c r="X420" s="679"/>
      <c r="Y420" s="679"/>
      <c r="Z420" s="679"/>
      <c r="AA420" s="679"/>
      <c r="AB420" s="679"/>
      <c r="AC420" s="679"/>
      <c r="AD420" s="679"/>
      <c r="AE420" s="679"/>
      <c r="AF420" s="677"/>
      <c r="AG420" s="679"/>
      <c r="AH420" s="679"/>
      <c r="AI420" s="679"/>
      <c r="AJ420" s="723">
        <v>0</v>
      </c>
      <c r="AK420" s="751">
        <v>50000</v>
      </c>
      <c r="AL420" s="679">
        <v>40000</v>
      </c>
      <c r="AM420" s="679"/>
      <c r="AN420" s="679">
        <v>40000</v>
      </c>
      <c r="AO420" s="679"/>
      <c r="AP420" s="679">
        <v>40000</v>
      </c>
      <c r="AQ420" s="679"/>
      <c r="AR420" s="679">
        <v>40000</v>
      </c>
      <c r="AS420" s="679"/>
      <c r="AT420" s="769">
        <f t="shared" si="32"/>
        <v>50000</v>
      </c>
      <c r="AU420" s="677"/>
      <c r="AV420" s="769">
        <f t="shared" si="33"/>
        <v>0</v>
      </c>
      <c r="AW420" s="696">
        <f t="shared" si="31"/>
        <v>50000</v>
      </c>
      <c r="AY420" s="647"/>
    </row>
    <row r="421" spans="1:51" hidden="1">
      <c r="A421" s="715">
        <f t="shared" si="34"/>
        <v>417</v>
      </c>
      <c r="B421" s="718"/>
      <c r="C421" s="719" t="s">
        <v>1902</v>
      </c>
      <c r="D421" s="718" t="s">
        <v>1926</v>
      </c>
      <c r="E421" s="714">
        <f t="shared" si="30"/>
        <v>310000</v>
      </c>
      <c r="F421" s="679">
        <v>0</v>
      </c>
      <c r="G421" s="679"/>
      <c r="H421" s="679">
        <v>0</v>
      </c>
      <c r="I421" s="679"/>
      <c r="J421" s="679">
        <v>0</v>
      </c>
      <c r="K421" s="679"/>
      <c r="L421" s="679">
        <v>0</v>
      </c>
      <c r="M421" s="679"/>
      <c r="N421" s="679">
        <v>0</v>
      </c>
      <c r="O421" s="679"/>
      <c r="P421" s="679">
        <v>0</v>
      </c>
      <c r="Q421" s="679"/>
      <c r="R421" s="679"/>
      <c r="S421" s="679"/>
      <c r="T421" s="679"/>
      <c r="U421" s="679"/>
      <c r="V421" s="679"/>
      <c r="W421" s="679"/>
      <c r="X421" s="679"/>
      <c r="Y421" s="679"/>
      <c r="Z421" s="679"/>
      <c r="AA421" s="679"/>
      <c r="AB421" s="679"/>
      <c r="AC421" s="679"/>
      <c r="AD421" s="679"/>
      <c r="AE421" s="679"/>
      <c r="AF421" s="722">
        <v>0</v>
      </c>
      <c r="AG421" s="751">
        <v>50000</v>
      </c>
      <c r="AH421" s="722">
        <v>0</v>
      </c>
      <c r="AI421" s="751">
        <v>50000</v>
      </c>
      <c r="AJ421" s="723">
        <v>0</v>
      </c>
      <c r="AK421" s="751">
        <v>50000</v>
      </c>
      <c r="AL421" s="679">
        <v>40000</v>
      </c>
      <c r="AM421" s="679"/>
      <c r="AN421" s="679">
        <v>40000</v>
      </c>
      <c r="AO421" s="679"/>
      <c r="AP421" s="679">
        <v>40000</v>
      </c>
      <c r="AQ421" s="679"/>
      <c r="AR421" s="679">
        <v>40000</v>
      </c>
      <c r="AS421" s="679"/>
      <c r="AT421" s="769">
        <f t="shared" si="32"/>
        <v>150000</v>
      </c>
      <c r="AU421" s="677"/>
      <c r="AV421" s="769">
        <f t="shared" si="33"/>
        <v>0</v>
      </c>
      <c r="AW421" s="696">
        <f t="shared" si="31"/>
        <v>150000</v>
      </c>
      <c r="AY421" s="647"/>
    </row>
    <row r="422" spans="1:51" hidden="1">
      <c r="A422" s="715">
        <f t="shared" si="34"/>
        <v>418</v>
      </c>
      <c r="B422" s="718"/>
      <c r="C422" s="696" t="s">
        <v>1903</v>
      </c>
      <c r="D422" s="718" t="s">
        <v>1927</v>
      </c>
      <c r="E422" s="714">
        <f t="shared" si="30"/>
        <v>160000</v>
      </c>
      <c r="F422" s="679">
        <v>0</v>
      </c>
      <c r="G422" s="679"/>
      <c r="H422" s="679">
        <v>0</v>
      </c>
      <c r="I422" s="679"/>
      <c r="J422" s="679">
        <v>0</v>
      </c>
      <c r="K422" s="679"/>
      <c r="L422" s="679">
        <v>0</v>
      </c>
      <c r="M422" s="679"/>
      <c r="N422" s="679">
        <v>0</v>
      </c>
      <c r="O422" s="679"/>
      <c r="P422" s="679">
        <v>0</v>
      </c>
      <c r="Q422" s="679"/>
      <c r="R422" s="679"/>
      <c r="S422" s="679"/>
      <c r="T422" s="679"/>
      <c r="U422" s="679"/>
      <c r="V422" s="679"/>
      <c r="W422" s="679"/>
      <c r="X422" s="679"/>
      <c r="Y422" s="679"/>
      <c r="Z422" s="679"/>
      <c r="AA422" s="679"/>
      <c r="AB422" s="679"/>
      <c r="AC422" s="679"/>
      <c r="AD422" s="679"/>
      <c r="AE422" s="679"/>
      <c r="AF422" s="677"/>
      <c r="AG422" s="679"/>
      <c r="AH422" s="679"/>
      <c r="AI422" s="679"/>
      <c r="AJ422" s="679"/>
      <c r="AK422" s="679"/>
      <c r="AL422" s="679">
        <v>40000</v>
      </c>
      <c r="AM422" s="679"/>
      <c r="AN422" s="679">
        <v>40000</v>
      </c>
      <c r="AO422" s="679"/>
      <c r="AP422" s="679">
        <v>40000</v>
      </c>
      <c r="AQ422" s="679"/>
      <c r="AR422" s="679">
        <v>40000</v>
      </c>
      <c r="AS422" s="679"/>
      <c r="AT422" s="769">
        <f t="shared" si="32"/>
        <v>0</v>
      </c>
      <c r="AU422" s="677"/>
      <c r="AV422" s="769">
        <f t="shared" si="33"/>
        <v>0</v>
      </c>
      <c r="AW422" s="696">
        <f t="shared" si="31"/>
        <v>0</v>
      </c>
      <c r="AY422" s="647"/>
    </row>
    <row r="423" spans="1:51" hidden="1">
      <c r="A423" s="715">
        <f t="shared" si="34"/>
        <v>419</v>
      </c>
      <c r="B423" s="718"/>
      <c r="C423" s="719" t="s">
        <v>1904</v>
      </c>
      <c r="D423" s="718" t="s">
        <v>1928</v>
      </c>
      <c r="E423" s="714">
        <f t="shared" si="30"/>
        <v>210000</v>
      </c>
      <c r="F423" s="679">
        <v>0</v>
      </c>
      <c r="G423" s="679"/>
      <c r="H423" s="679">
        <v>0</v>
      </c>
      <c r="I423" s="679"/>
      <c r="J423" s="679">
        <v>0</v>
      </c>
      <c r="K423" s="679"/>
      <c r="L423" s="679">
        <v>0</v>
      </c>
      <c r="M423" s="679"/>
      <c r="N423" s="679">
        <v>0</v>
      </c>
      <c r="O423" s="679"/>
      <c r="P423" s="679">
        <v>0</v>
      </c>
      <c r="Q423" s="679"/>
      <c r="R423" s="679"/>
      <c r="S423" s="679"/>
      <c r="T423" s="679"/>
      <c r="U423" s="679"/>
      <c r="V423" s="679"/>
      <c r="W423" s="679"/>
      <c r="X423" s="679"/>
      <c r="Y423" s="679"/>
      <c r="Z423" s="679"/>
      <c r="AA423" s="679"/>
      <c r="AB423" s="679"/>
      <c r="AC423" s="679"/>
      <c r="AD423" s="679"/>
      <c r="AE423" s="679"/>
      <c r="AF423" s="677"/>
      <c r="AG423" s="679"/>
      <c r="AH423" s="679"/>
      <c r="AI423" s="679"/>
      <c r="AJ423" s="723">
        <v>0</v>
      </c>
      <c r="AK423" s="751">
        <v>50000</v>
      </c>
      <c r="AL423" s="679">
        <v>40000</v>
      </c>
      <c r="AM423" s="679"/>
      <c r="AN423" s="679">
        <v>40000</v>
      </c>
      <c r="AO423" s="679"/>
      <c r="AP423" s="679">
        <v>40000</v>
      </c>
      <c r="AQ423" s="679"/>
      <c r="AR423" s="679">
        <v>40000</v>
      </c>
      <c r="AS423" s="679"/>
      <c r="AT423" s="769">
        <f t="shared" si="32"/>
        <v>50000</v>
      </c>
      <c r="AU423" s="677"/>
      <c r="AV423" s="769">
        <f t="shared" si="33"/>
        <v>0</v>
      </c>
      <c r="AW423" s="696">
        <f t="shared" si="31"/>
        <v>50000</v>
      </c>
      <c r="AY423" s="647"/>
    </row>
    <row r="424" spans="1:51">
      <c r="A424" s="715">
        <f t="shared" si="34"/>
        <v>420</v>
      </c>
      <c r="B424" s="718"/>
      <c r="C424" s="696" t="s">
        <v>1905</v>
      </c>
      <c r="D424" s="718" t="s">
        <v>1929</v>
      </c>
      <c r="E424" s="714">
        <f t="shared" si="30"/>
        <v>130000</v>
      </c>
      <c r="F424" s="679">
        <v>0</v>
      </c>
      <c r="G424" s="679"/>
      <c r="H424" s="679">
        <v>0</v>
      </c>
      <c r="I424" s="679"/>
      <c r="J424" s="679">
        <v>0</v>
      </c>
      <c r="K424" s="679"/>
      <c r="L424" s="679">
        <v>0</v>
      </c>
      <c r="M424" s="679"/>
      <c r="N424" s="679">
        <v>0</v>
      </c>
      <c r="O424" s="679"/>
      <c r="P424" s="679">
        <v>0</v>
      </c>
      <c r="Q424" s="679"/>
      <c r="R424" s="679"/>
      <c r="S424" s="679"/>
      <c r="T424" s="679"/>
      <c r="U424" s="679"/>
      <c r="V424" s="679"/>
      <c r="W424" s="679"/>
      <c r="X424" s="679"/>
      <c r="Y424" s="679"/>
      <c r="Z424" s="679"/>
      <c r="AA424" s="679"/>
      <c r="AB424" s="679"/>
      <c r="AC424" s="679"/>
      <c r="AD424" s="679"/>
      <c r="AE424" s="679"/>
      <c r="AF424" s="677"/>
      <c r="AG424" s="679"/>
      <c r="AH424" s="679"/>
      <c r="AI424" s="679"/>
      <c r="AJ424" s="723">
        <v>0</v>
      </c>
      <c r="AK424" s="751">
        <v>50000</v>
      </c>
      <c r="AL424" s="679">
        <v>40000</v>
      </c>
      <c r="AM424" s="679"/>
      <c r="AN424" s="679">
        <v>0</v>
      </c>
      <c r="AO424" s="679"/>
      <c r="AP424" s="679">
        <v>0</v>
      </c>
      <c r="AQ424" s="679"/>
      <c r="AR424" s="679">
        <v>40000</v>
      </c>
      <c r="AS424" s="679"/>
      <c r="AT424" s="769">
        <f t="shared" si="32"/>
        <v>50000</v>
      </c>
      <c r="AU424" s="677"/>
      <c r="AV424" s="771">
        <f t="shared" si="33"/>
        <v>50000</v>
      </c>
      <c r="AW424" s="696">
        <f t="shared" si="31"/>
        <v>0</v>
      </c>
      <c r="AY424" s="647"/>
    </row>
    <row r="425" spans="1:51" hidden="1">
      <c r="A425" s="715">
        <f t="shared" si="34"/>
        <v>421</v>
      </c>
      <c r="B425" s="718"/>
      <c r="C425" s="719" t="s">
        <v>1906</v>
      </c>
      <c r="D425" s="718" t="s">
        <v>1930</v>
      </c>
      <c r="E425" s="714">
        <f t="shared" si="30"/>
        <v>260000</v>
      </c>
      <c r="F425" s="679">
        <v>0</v>
      </c>
      <c r="G425" s="679"/>
      <c r="H425" s="679">
        <v>0</v>
      </c>
      <c r="I425" s="679"/>
      <c r="J425" s="679">
        <v>0</v>
      </c>
      <c r="K425" s="679"/>
      <c r="L425" s="679">
        <v>0</v>
      </c>
      <c r="M425" s="679"/>
      <c r="N425" s="679">
        <v>0</v>
      </c>
      <c r="O425" s="679"/>
      <c r="P425" s="679">
        <v>0</v>
      </c>
      <c r="Q425" s="679"/>
      <c r="R425" s="679"/>
      <c r="S425" s="679"/>
      <c r="T425" s="679"/>
      <c r="U425" s="679"/>
      <c r="V425" s="679"/>
      <c r="W425" s="679"/>
      <c r="X425" s="679"/>
      <c r="Y425" s="679"/>
      <c r="Z425" s="679"/>
      <c r="AA425" s="679"/>
      <c r="AB425" s="679"/>
      <c r="AC425" s="679"/>
      <c r="AD425" s="679"/>
      <c r="AE425" s="679"/>
      <c r="AF425" s="677"/>
      <c r="AG425" s="679"/>
      <c r="AH425" s="722">
        <v>0</v>
      </c>
      <c r="AI425" s="751">
        <v>50000</v>
      </c>
      <c r="AJ425" s="723">
        <v>0</v>
      </c>
      <c r="AK425" s="751">
        <v>50000</v>
      </c>
      <c r="AL425" s="679">
        <v>40000</v>
      </c>
      <c r="AM425" s="679"/>
      <c r="AN425" s="679">
        <v>40000</v>
      </c>
      <c r="AO425" s="679"/>
      <c r="AP425" s="679">
        <v>40000</v>
      </c>
      <c r="AQ425" s="679"/>
      <c r="AR425" s="679">
        <v>40000</v>
      </c>
      <c r="AS425" s="679"/>
      <c r="AT425" s="769">
        <f t="shared" si="32"/>
        <v>100000</v>
      </c>
      <c r="AU425" s="677"/>
      <c r="AV425" s="769">
        <f t="shared" si="33"/>
        <v>0</v>
      </c>
      <c r="AW425" s="696">
        <f t="shared" si="31"/>
        <v>100000</v>
      </c>
      <c r="AY425" s="647"/>
    </row>
    <row r="426" spans="1:51" hidden="1">
      <c r="A426" s="715">
        <f t="shared" si="34"/>
        <v>422</v>
      </c>
      <c r="B426" s="718"/>
      <c r="C426" s="696" t="s">
        <v>1931</v>
      </c>
      <c r="D426" s="663" t="s">
        <v>1935</v>
      </c>
      <c r="E426" s="714">
        <f t="shared" si="30"/>
        <v>120000</v>
      </c>
      <c r="F426" s="679">
        <v>0</v>
      </c>
      <c r="G426" s="679"/>
      <c r="H426" s="679">
        <v>0</v>
      </c>
      <c r="I426" s="679"/>
      <c r="J426" s="679">
        <v>0</v>
      </c>
      <c r="K426" s="679"/>
      <c r="L426" s="679">
        <v>0</v>
      </c>
      <c r="M426" s="679"/>
      <c r="N426" s="679">
        <v>0</v>
      </c>
      <c r="O426" s="679"/>
      <c r="P426" s="679">
        <v>0</v>
      </c>
      <c r="Q426" s="679"/>
      <c r="R426" s="679"/>
      <c r="S426" s="679"/>
      <c r="T426" s="679"/>
      <c r="U426" s="679"/>
      <c r="V426" s="679"/>
      <c r="W426" s="679"/>
      <c r="X426" s="679"/>
      <c r="Y426" s="679"/>
      <c r="Z426" s="679"/>
      <c r="AA426" s="679"/>
      <c r="AB426" s="679"/>
      <c r="AC426" s="679"/>
      <c r="AD426" s="679"/>
      <c r="AE426" s="679"/>
      <c r="AF426" s="677"/>
      <c r="AG426" s="679"/>
      <c r="AH426" s="679"/>
      <c r="AI426" s="679"/>
      <c r="AJ426" s="679"/>
      <c r="AK426" s="679"/>
      <c r="AL426" s="679"/>
      <c r="AM426" s="679"/>
      <c r="AN426" s="679">
        <v>40000</v>
      </c>
      <c r="AO426" s="679"/>
      <c r="AP426" s="723">
        <v>0</v>
      </c>
      <c r="AQ426" s="751">
        <v>40000</v>
      </c>
      <c r="AR426" s="679">
        <v>40000</v>
      </c>
      <c r="AS426" s="679"/>
      <c r="AT426" s="769">
        <f t="shared" si="32"/>
        <v>40000</v>
      </c>
      <c r="AU426" s="677"/>
      <c r="AV426" s="769">
        <f t="shared" si="33"/>
        <v>0</v>
      </c>
      <c r="AW426" s="696">
        <f t="shared" si="31"/>
        <v>40000</v>
      </c>
      <c r="AY426" s="647"/>
    </row>
    <row r="427" spans="1:51" hidden="1">
      <c r="A427" s="715">
        <f t="shared" si="34"/>
        <v>423</v>
      </c>
      <c r="B427" s="718"/>
      <c r="C427" s="696" t="s">
        <v>1932</v>
      </c>
      <c r="D427" s="663" t="s">
        <v>1936</v>
      </c>
      <c r="E427" s="714">
        <f t="shared" si="30"/>
        <v>80000</v>
      </c>
      <c r="F427" s="679">
        <v>0</v>
      </c>
      <c r="G427" s="679"/>
      <c r="H427" s="679">
        <v>0</v>
      </c>
      <c r="I427" s="679"/>
      <c r="J427" s="679">
        <v>0</v>
      </c>
      <c r="K427" s="679"/>
      <c r="L427" s="679">
        <v>0</v>
      </c>
      <c r="M427" s="679"/>
      <c r="N427" s="679">
        <v>0</v>
      </c>
      <c r="O427" s="679"/>
      <c r="P427" s="679">
        <v>0</v>
      </c>
      <c r="Q427" s="679"/>
      <c r="R427" s="679"/>
      <c r="S427" s="679"/>
      <c r="T427" s="679"/>
      <c r="U427" s="679"/>
      <c r="V427" s="679"/>
      <c r="W427" s="679"/>
      <c r="X427" s="679"/>
      <c r="Y427" s="679"/>
      <c r="Z427" s="679"/>
      <c r="AA427" s="679"/>
      <c r="AB427" s="679"/>
      <c r="AC427" s="679"/>
      <c r="AD427" s="679"/>
      <c r="AE427" s="679"/>
      <c r="AF427" s="677"/>
      <c r="AG427" s="679"/>
      <c r="AH427" s="679"/>
      <c r="AI427" s="679"/>
      <c r="AJ427" s="679"/>
      <c r="AK427" s="679"/>
      <c r="AL427" s="679"/>
      <c r="AM427" s="679"/>
      <c r="AN427" s="679">
        <v>40000</v>
      </c>
      <c r="AO427" s="679"/>
      <c r="AP427" s="679">
        <v>0</v>
      </c>
      <c r="AQ427" s="679"/>
      <c r="AR427" s="679">
        <v>40000</v>
      </c>
      <c r="AS427" s="679"/>
      <c r="AT427" s="769">
        <f t="shared" si="32"/>
        <v>0</v>
      </c>
      <c r="AU427" s="677"/>
      <c r="AV427" s="769">
        <f t="shared" si="33"/>
        <v>0</v>
      </c>
      <c r="AW427" s="696">
        <f t="shared" si="31"/>
        <v>0</v>
      </c>
      <c r="AY427" s="647"/>
    </row>
    <row r="428" spans="1:51" hidden="1">
      <c r="A428" s="715">
        <f t="shared" si="34"/>
        <v>424</v>
      </c>
      <c r="B428" s="718"/>
      <c r="C428" s="696" t="s">
        <v>1933</v>
      </c>
      <c r="D428" s="663" t="s">
        <v>1937</v>
      </c>
      <c r="E428" s="714">
        <f t="shared" si="30"/>
        <v>120000</v>
      </c>
      <c r="F428" s="679">
        <v>0</v>
      </c>
      <c r="G428" s="679"/>
      <c r="H428" s="679">
        <v>0</v>
      </c>
      <c r="I428" s="679"/>
      <c r="J428" s="679">
        <v>0</v>
      </c>
      <c r="K428" s="679"/>
      <c r="L428" s="679">
        <v>0</v>
      </c>
      <c r="M428" s="679"/>
      <c r="N428" s="679">
        <v>0</v>
      </c>
      <c r="O428" s="679"/>
      <c r="P428" s="679">
        <v>0</v>
      </c>
      <c r="Q428" s="679"/>
      <c r="R428" s="679"/>
      <c r="S428" s="679"/>
      <c r="T428" s="679"/>
      <c r="U428" s="679"/>
      <c r="V428" s="679"/>
      <c r="W428" s="679"/>
      <c r="X428" s="679"/>
      <c r="Y428" s="679"/>
      <c r="Z428" s="679"/>
      <c r="AA428" s="679"/>
      <c r="AB428" s="679"/>
      <c r="AC428" s="679"/>
      <c r="AD428" s="679"/>
      <c r="AE428" s="679"/>
      <c r="AF428" s="677"/>
      <c r="AG428" s="679"/>
      <c r="AH428" s="679"/>
      <c r="AI428" s="679"/>
      <c r="AJ428" s="679"/>
      <c r="AK428" s="679"/>
      <c r="AL428" s="679"/>
      <c r="AM428" s="679"/>
      <c r="AN428" s="679">
        <v>40000</v>
      </c>
      <c r="AO428" s="679"/>
      <c r="AP428" s="679">
        <v>40000</v>
      </c>
      <c r="AQ428" s="679"/>
      <c r="AR428" s="679">
        <v>40000</v>
      </c>
      <c r="AS428" s="679"/>
      <c r="AT428" s="769">
        <f t="shared" si="32"/>
        <v>0</v>
      </c>
      <c r="AU428" s="677"/>
      <c r="AV428" s="769">
        <f t="shared" si="33"/>
        <v>0</v>
      </c>
      <c r="AW428" s="696">
        <f t="shared" si="31"/>
        <v>0</v>
      </c>
      <c r="AY428" s="647"/>
    </row>
    <row r="429" spans="1:51" hidden="1">
      <c r="A429" s="715">
        <f t="shared" si="34"/>
        <v>425</v>
      </c>
      <c r="B429" s="718"/>
      <c r="C429" s="696" t="s">
        <v>1934</v>
      </c>
      <c r="D429" s="663" t="s">
        <v>1938</v>
      </c>
      <c r="E429" s="714">
        <f t="shared" si="30"/>
        <v>160000</v>
      </c>
      <c r="F429" s="679">
        <v>0</v>
      </c>
      <c r="G429" s="679"/>
      <c r="H429" s="679">
        <v>0</v>
      </c>
      <c r="I429" s="679"/>
      <c r="J429" s="679">
        <v>0</v>
      </c>
      <c r="K429" s="679"/>
      <c r="L429" s="679">
        <v>0</v>
      </c>
      <c r="M429" s="679"/>
      <c r="N429" s="679">
        <v>0</v>
      </c>
      <c r="O429" s="679"/>
      <c r="P429" s="679">
        <v>0</v>
      </c>
      <c r="Q429" s="679"/>
      <c r="R429" s="679"/>
      <c r="S429" s="679"/>
      <c r="T429" s="679"/>
      <c r="U429" s="679"/>
      <c r="V429" s="679"/>
      <c r="W429" s="679"/>
      <c r="X429" s="679"/>
      <c r="Y429" s="679"/>
      <c r="Z429" s="679"/>
      <c r="AA429" s="679"/>
      <c r="AB429" s="679"/>
      <c r="AC429" s="679"/>
      <c r="AD429" s="679"/>
      <c r="AE429" s="679"/>
      <c r="AF429" s="677"/>
      <c r="AG429" s="679"/>
      <c r="AH429" s="679"/>
      <c r="AI429" s="679"/>
      <c r="AJ429" s="679"/>
      <c r="AK429" s="679"/>
      <c r="AL429" s="723">
        <v>0</v>
      </c>
      <c r="AM429" s="751">
        <v>40000</v>
      </c>
      <c r="AN429" s="679">
        <v>40000</v>
      </c>
      <c r="AO429" s="679"/>
      <c r="AP429" s="679">
        <v>40000</v>
      </c>
      <c r="AQ429" s="679"/>
      <c r="AR429" s="679">
        <v>40000</v>
      </c>
      <c r="AS429" s="679"/>
      <c r="AT429" s="769">
        <f t="shared" si="32"/>
        <v>40000</v>
      </c>
      <c r="AU429" s="677"/>
      <c r="AV429" s="769">
        <f t="shared" si="33"/>
        <v>0</v>
      </c>
      <c r="AW429" s="696">
        <f t="shared" si="31"/>
        <v>40000</v>
      </c>
      <c r="AY429" s="647"/>
    </row>
    <row r="430" spans="1:51" s="725" customFormat="1" hidden="1">
      <c r="A430" s="715">
        <f t="shared" si="34"/>
        <v>426</v>
      </c>
      <c r="B430" s="724"/>
      <c r="C430" s="725" t="s">
        <v>1939</v>
      </c>
      <c r="D430" s="726" t="s">
        <v>1973</v>
      </c>
      <c r="E430" s="727">
        <f t="shared" si="30"/>
        <v>80000</v>
      </c>
      <c r="F430" s="728">
        <v>0</v>
      </c>
      <c r="G430" s="728"/>
      <c r="H430" s="728">
        <v>0</v>
      </c>
      <c r="I430" s="728"/>
      <c r="J430" s="728">
        <v>0</v>
      </c>
      <c r="K430" s="728"/>
      <c r="L430" s="728">
        <v>0</v>
      </c>
      <c r="M430" s="728"/>
      <c r="N430" s="728">
        <v>0</v>
      </c>
      <c r="O430" s="728"/>
      <c r="P430" s="728">
        <v>0</v>
      </c>
      <c r="Q430" s="728"/>
      <c r="R430" s="728"/>
      <c r="S430" s="728"/>
      <c r="T430" s="728"/>
      <c r="U430" s="728"/>
      <c r="V430" s="728"/>
      <c r="W430" s="728"/>
      <c r="X430" s="728"/>
      <c r="Y430" s="728"/>
      <c r="Z430" s="728"/>
      <c r="AA430" s="728"/>
      <c r="AB430" s="728"/>
      <c r="AC430" s="728"/>
      <c r="AD430" s="728"/>
      <c r="AE430" s="728"/>
      <c r="AF430" s="729"/>
      <c r="AG430" s="728"/>
      <c r="AH430" s="728"/>
      <c r="AI430" s="728"/>
      <c r="AJ430" s="728"/>
      <c r="AK430" s="728"/>
      <c r="AL430" s="728"/>
      <c r="AM430" s="728"/>
      <c r="AN430" s="728"/>
      <c r="AO430" s="728"/>
      <c r="AP430" s="728">
        <v>40000</v>
      </c>
      <c r="AQ430" s="728"/>
      <c r="AR430" s="728">
        <v>40000</v>
      </c>
      <c r="AS430" s="728"/>
      <c r="AT430" s="769">
        <f t="shared" si="32"/>
        <v>0</v>
      </c>
      <c r="AU430" s="729"/>
      <c r="AV430" s="769">
        <f t="shared" si="33"/>
        <v>0</v>
      </c>
      <c r="AW430" s="725">
        <f t="shared" si="31"/>
        <v>0</v>
      </c>
      <c r="AY430" s="647"/>
    </row>
    <row r="431" spans="1:51" s="725" customFormat="1" hidden="1">
      <c r="A431" s="715">
        <f t="shared" si="34"/>
        <v>427</v>
      </c>
      <c r="B431" s="724"/>
      <c r="C431" s="730" t="s">
        <v>1940</v>
      </c>
      <c r="D431" s="726" t="s">
        <v>1974</v>
      </c>
      <c r="E431" s="727">
        <f t="shared" si="30"/>
        <v>80000</v>
      </c>
      <c r="F431" s="728">
        <v>0</v>
      </c>
      <c r="G431" s="728"/>
      <c r="H431" s="728">
        <v>0</v>
      </c>
      <c r="I431" s="728"/>
      <c r="J431" s="728">
        <v>0</v>
      </c>
      <c r="K431" s="728"/>
      <c r="L431" s="728">
        <v>0</v>
      </c>
      <c r="M431" s="728"/>
      <c r="N431" s="728">
        <v>0</v>
      </c>
      <c r="O431" s="728"/>
      <c r="P431" s="728">
        <v>0</v>
      </c>
      <c r="Q431" s="728"/>
      <c r="R431" s="728"/>
      <c r="S431" s="728"/>
      <c r="T431" s="728"/>
      <c r="U431" s="728"/>
      <c r="V431" s="728"/>
      <c r="W431" s="728"/>
      <c r="X431" s="728"/>
      <c r="Y431" s="728"/>
      <c r="Z431" s="728"/>
      <c r="AA431" s="728"/>
      <c r="AB431" s="728"/>
      <c r="AC431" s="728"/>
      <c r="AD431" s="728"/>
      <c r="AE431" s="728"/>
      <c r="AF431" s="729"/>
      <c r="AG431" s="728"/>
      <c r="AH431" s="728"/>
      <c r="AI431" s="728"/>
      <c r="AJ431" s="728"/>
      <c r="AK431" s="728"/>
      <c r="AL431" s="728"/>
      <c r="AM431" s="728"/>
      <c r="AN431" s="728"/>
      <c r="AO431" s="728"/>
      <c r="AP431" s="728">
        <v>40000</v>
      </c>
      <c r="AQ431" s="728"/>
      <c r="AR431" s="728">
        <v>40000</v>
      </c>
      <c r="AS431" s="728"/>
      <c r="AT431" s="769">
        <f t="shared" si="32"/>
        <v>0</v>
      </c>
      <c r="AU431" s="729"/>
      <c r="AV431" s="769">
        <f t="shared" si="33"/>
        <v>0</v>
      </c>
      <c r="AW431" s="725">
        <f t="shared" si="31"/>
        <v>0</v>
      </c>
      <c r="AY431" s="647"/>
    </row>
    <row r="432" spans="1:51" hidden="1">
      <c r="A432" s="715">
        <f t="shared" si="34"/>
        <v>428</v>
      </c>
      <c r="B432" s="718"/>
      <c r="C432" s="719" t="s">
        <v>1941</v>
      </c>
      <c r="D432" s="663" t="s">
        <v>1975</v>
      </c>
      <c r="E432" s="714">
        <f t="shared" si="30"/>
        <v>80000</v>
      </c>
      <c r="F432" s="679">
        <v>0</v>
      </c>
      <c r="G432" s="679"/>
      <c r="H432" s="679">
        <v>0</v>
      </c>
      <c r="I432" s="679"/>
      <c r="J432" s="679">
        <v>0</v>
      </c>
      <c r="K432" s="679"/>
      <c r="L432" s="679">
        <v>0</v>
      </c>
      <c r="M432" s="679"/>
      <c r="N432" s="679">
        <v>0</v>
      </c>
      <c r="O432" s="679"/>
      <c r="P432" s="679">
        <v>0</v>
      </c>
      <c r="Q432" s="679"/>
      <c r="R432" s="679"/>
      <c r="S432" s="679"/>
      <c r="T432" s="679"/>
      <c r="U432" s="679"/>
      <c r="V432" s="679"/>
      <c r="W432" s="679"/>
      <c r="X432" s="679"/>
      <c r="Y432" s="679"/>
      <c r="Z432" s="679"/>
      <c r="AA432" s="679"/>
      <c r="AB432" s="679"/>
      <c r="AC432" s="679"/>
      <c r="AD432" s="679"/>
      <c r="AE432" s="679"/>
      <c r="AF432" s="677"/>
      <c r="AG432" s="679"/>
      <c r="AH432" s="679"/>
      <c r="AI432" s="679"/>
      <c r="AJ432" s="679"/>
      <c r="AK432" s="679"/>
      <c r="AL432" s="679"/>
      <c r="AM432" s="679"/>
      <c r="AN432" s="679"/>
      <c r="AO432" s="679"/>
      <c r="AP432" s="679">
        <v>40000</v>
      </c>
      <c r="AQ432" s="679"/>
      <c r="AR432" s="679">
        <v>40000</v>
      </c>
      <c r="AS432" s="679"/>
      <c r="AT432" s="769">
        <f t="shared" si="32"/>
        <v>0</v>
      </c>
      <c r="AU432" s="677"/>
      <c r="AV432" s="769">
        <f t="shared" si="33"/>
        <v>0</v>
      </c>
      <c r="AW432" s="696">
        <f t="shared" si="31"/>
        <v>0</v>
      </c>
      <c r="AY432" s="647"/>
    </row>
    <row r="433" spans="1:51" hidden="1">
      <c r="A433" s="715">
        <f t="shared" si="34"/>
        <v>429</v>
      </c>
      <c r="B433" s="718"/>
      <c r="C433" s="719" t="s">
        <v>1942</v>
      </c>
      <c r="D433" s="663" t="s">
        <v>2017</v>
      </c>
      <c r="E433" s="714">
        <f t="shared" si="30"/>
        <v>80000</v>
      </c>
      <c r="F433" s="679">
        <v>0</v>
      </c>
      <c r="G433" s="679"/>
      <c r="H433" s="679">
        <v>0</v>
      </c>
      <c r="I433" s="679"/>
      <c r="J433" s="679">
        <v>0</v>
      </c>
      <c r="K433" s="679"/>
      <c r="L433" s="679">
        <v>0</v>
      </c>
      <c r="M433" s="679"/>
      <c r="N433" s="679">
        <v>0</v>
      </c>
      <c r="O433" s="679"/>
      <c r="P433" s="679">
        <v>0</v>
      </c>
      <c r="Q433" s="679"/>
      <c r="R433" s="679"/>
      <c r="S433" s="679"/>
      <c r="T433" s="679"/>
      <c r="U433" s="679"/>
      <c r="V433" s="679"/>
      <c r="W433" s="679"/>
      <c r="X433" s="679"/>
      <c r="Y433" s="679"/>
      <c r="Z433" s="679"/>
      <c r="AA433" s="679"/>
      <c r="AB433" s="679"/>
      <c r="AC433" s="679"/>
      <c r="AD433" s="679"/>
      <c r="AE433" s="679"/>
      <c r="AF433" s="677"/>
      <c r="AG433" s="679"/>
      <c r="AH433" s="679"/>
      <c r="AI433" s="679"/>
      <c r="AJ433" s="679"/>
      <c r="AK433" s="679"/>
      <c r="AL433" s="679"/>
      <c r="AM433" s="679"/>
      <c r="AN433" s="679"/>
      <c r="AO433" s="679"/>
      <c r="AP433" s="679">
        <v>40000</v>
      </c>
      <c r="AQ433" s="679"/>
      <c r="AR433" s="679">
        <v>40000</v>
      </c>
      <c r="AS433" s="679"/>
      <c r="AT433" s="769">
        <f t="shared" si="32"/>
        <v>0</v>
      </c>
      <c r="AU433" s="677"/>
      <c r="AV433" s="769">
        <f t="shared" si="33"/>
        <v>0</v>
      </c>
      <c r="AW433" s="696">
        <f t="shared" si="31"/>
        <v>0</v>
      </c>
      <c r="AY433" s="647"/>
    </row>
    <row r="434" spans="1:51" hidden="1">
      <c r="A434" s="715">
        <f t="shared" si="34"/>
        <v>430</v>
      </c>
      <c r="B434" s="718"/>
      <c r="C434" s="719" t="s">
        <v>1943</v>
      </c>
      <c r="D434" s="663" t="s">
        <v>2016</v>
      </c>
      <c r="E434" s="714">
        <f t="shared" si="30"/>
        <v>410000</v>
      </c>
      <c r="F434" s="679">
        <v>0</v>
      </c>
      <c r="G434" s="679"/>
      <c r="H434" s="679">
        <v>0</v>
      </c>
      <c r="I434" s="679"/>
      <c r="J434" s="679">
        <v>0</v>
      </c>
      <c r="K434" s="679"/>
      <c r="L434" s="679">
        <v>0</v>
      </c>
      <c r="M434" s="679"/>
      <c r="N434" s="679">
        <v>0</v>
      </c>
      <c r="O434" s="679"/>
      <c r="P434" s="679">
        <v>0</v>
      </c>
      <c r="Q434" s="679"/>
      <c r="R434" s="679"/>
      <c r="S434" s="679"/>
      <c r="T434" s="679"/>
      <c r="U434" s="679"/>
      <c r="V434" s="679"/>
      <c r="W434" s="679"/>
      <c r="X434" s="728"/>
      <c r="Y434" s="728"/>
      <c r="Z434" s="728"/>
      <c r="AA434" s="728"/>
      <c r="AB434" s="723">
        <v>0</v>
      </c>
      <c r="AC434" s="751">
        <v>50000</v>
      </c>
      <c r="AD434" s="723">
        <v>0</v>
      </c>
      <c r="AE434" s="751">
        <v>50000</v>
      </c>
      <c r="AF434" s="722">
        <v>0</v>
      </c>
      <c r="AG434" s="751">
        <v>50000</v>
      </c>
      <c r="AH434" s="722">
        <v>0</v>
      </c>
      <c r="AI434" s="751">
        <v>50000</v>
      </c>
      <c r="AJ434" s="723">
        <v>0</v>
      </c>
      <c r="AK434" s="751">
        <v>50000</v>
      </c>
      <c r="AL434" s="723">
        <v>0</v>
      </c>
      <c r="AM434" s="751">
        <v>40000</v>
      </c>
      <c r="AN434" s="723">
        <v>0</v>
      </c>
      <c r="AO434" s="751">
        <v>40000</v>
      </c>
      <c r="AP434" s="679">
        <v>40000</v>
      </c>
      <c r="AQ434" s="679"/>
      <c r="AR434" s="679">
        <v>40000</v>
      </c>
      <c r="AS434" s="679"/>
      <c r="AT434" s="769">
        <f t="shared" si="32"/>
        <v>330000</v>
      </c>
      <c r="AU434" s="677"/>
      <c r="AV434" s="769">
        <f t="shared" si="33"/>
        <v>-10000</v>
      </c>
      <c r="AW434" s="696">
        <f t="shared" si="31"/>
        <v>340000</v>
      </c>
      <c r="AY434" s="647"/>
    </row>
    <row r="435" spans="1:51" hidden="1">
      <c r="A435" s="715">
        <f t="shared" si="34"/>
        <v>431</v>
      </c>
      <c r="B435" s="718"/>
      <c r="C435" s="719" t="s">
        <v>1944</v>
      </c>
      <c r="D435" s="663" t="s">
        <v>1976</v>
      </c>
      <c r="E435" s="714">
        <f t="shared" si="30"/>
        <v>80000</v>
      </c>
      <c r="F435" s="679">
        <v>0</v>
      </c>
      <c r="G435" s="679"/>
      <c r="H435" s="679">
        <v>0</v>
      </c>
      <c r="I435" s="679"/>
      <c r="J435" s="679">
        <v>0</v>
      </c>
      <c r="K435" s="679"/>
      <c r="L435" s="679">
        <v>0</v>
      </c>
      <c r="M435" s="679"/>
      <c r="N435" s="679">
        <v>0</v>
      </c>
      <c r="O435" s="679"/>
      <c r="P435" s="679">
        <v>0</v>
      </c>
      <c r="Q435" s="679"/>
      <c r="R435" s="679"/>
      <c r="S435" s="679"/>
      <c r="T435" s="679"/>
      <c r="U435" s="679"/>
      <c r="V435" s="679"/>
      <c r="W435" s="679"/>
      <c r="X435" s="679"/>
      <c r="Y435" s="679"/>
      <c r="Z435" s="679"/>
      <c r="AA435" s="679"/>
      <c r="AB435" s="679"/>
      <c r="AC435" s="679"/>
      <c r="AD435" s="679"/>
      <c r="AE435" s="679"/>
      <c r="AF435" s="677"/>
      <c r="AG435" s="679"/>
      <c r="AH435" s="679"/>
      <c r="AI435" s="679"/>
      <c r="AJ435" s="679"/>
      <c r="AK435" s="679"/>
      <c r="AL435" s="679"/>
      <c r="AM435" s="679"/>
      <c r="AN435" s="679"/>
      <c r="AO435" s="679"/>
      <c r="AP435" s="679">
        <v>40000</v>
      </c>
      <c r="AQ435" s="679"/>
      <c r="AR435" s="679">
        <v>40000</v>
      </c>
      <c r="AS435" s="679"/>
      <c r="AT435" s="769">
        <f t="shared" si="32"/>
        <v>0</v>
      </c>
      <c r="AU435" s="677"/>
      <c r="AV435" s="769">
        <f t="shared" si="33"/>
        <v>0</v>
      </c>
      <c r="AW435" s="696">
        <f t="shared" si="31"/>
        <v>0</v>
      </c>
      <c r="AY435" s="647"/>
    </row>
    <row r="436" spans="1:51" s="725" customFormat="1" hidden="1">
      <c r="A436" s="715">
        <f t="shared" si="34"/>
        <v>432</v>
      </c>
      <c r="B436" s="724"/>
      <c r="C436" s="730" t="s">
        <v>1945</v>
      </c>
      <c r="D436" s="726" t="s">
        <v>1977</v>
      </c>
      <c r="E436" s="727">
        <f t="shared" si="30"/>
        <v>80000</v>
      </c>
      <c r="F436" s="728">
        <v>0</v>
      </c>
      <c r="G436" s="728"/>
      <c r="H436" s="728">
        <v>0</v>
      </c>
      <c r="I436" s="728"/>
      <c r="J436" s="728">
        <v>0</v>
      </c>
      <c r="K436" s="728"/>
      <c r="L436" s="728">
        <v>0</v>
      </c>
      <c r="M436" s="728"/>
      <c r="N436" s="728">
        <v>0</v>
      </c>
      <c r="O436" s="728"/>
      <c r="P436" s="728">
        <v>0</v>
      </c>
      <c r="Q436" s="728"/>
      <c r="R436" s="728"/>
      <c r="S436" s="728"/>
      <c r="T436" s="728"/>
      <c r="U436" s="728"/>
      <c r="V436" s="728"/>
      <c r="W436" s="728"/>
      <c r="X436" s="728"/>
      <c r="Y436" s="728"/>
      <c r="Z436" s="728"/>
      <c r="AA436" s="728"/>
      <c r="AB436" s="728"/>
      <c r="AC436" s="728"/>
      <c r="AD436" s="728"/>
      <c r="AE436" s="728"/>
      <c r="AF436" s="729"/>
      <c r="AG436" s="728"/>
      <c r="AH436" s="728"/>
      <c r="AI436" s="728"/>
      <c r="AJ436" s="728"/>
      <c r="AK436" s="728"/>
      <c r="AL436" s="728"/>
      <c r="AM436" s="728"/>
      <c r="AN436" s="728"/>
      <c r="AO436" s="728"/>
      <c r="AP436" s="728">
        <v>40000</v>
      </c>
      <c r="AQ436" s="728"/>
      <c r="AR436" s="728">
        <v>40000</v>
      </c>
      <c r="AS436" s="728"/>
      <c r="AT436" s="769">
        <f t="shared" si="32"/>
        <v>0</v>
      </c>
      <c r="AU436" s="729"/>
      <c r="AV436" s="769">
        <f t="shared" si="33"/>
        <v>0</v>
      </c>
      <c r="AW436" s="725">
        <f t="shared" si="31"/>
        <v>0</v>
      </c>
      <c r="AY436" s="647"/>
    </row>
    <row r="437" spans="1:51" s="725" customFormat="1" hidden="1">
      <c r="A437" s="715">
        <f t="shared" si="34"/>
        <v>433</v>
      </c>
      <c r="B437" s="724"/>
      <c r="C437" s="730" t="s">
        <v>1946</v>
      </c>
      <c r="D437" s="726" t="s">
        <v>1978</v>
      </c>
      <c r="E437" s="727">
        <f t="shared" si="30"/>
        <v>80000</v>
      </c>
      <c r="F437" s="728">
        <v>0</v>
      </c>
      <c r="G437" s="728"/>
      <c r="H437" s="728">
        <v>0</v>
      </c>
      <c r="I437" s="728"/>
      <c r="J437" s="728">
        <v>0</v>
      </c>
      <c r="K437" s="728"/>
      <c r="L437" s="728">
        <v>0</v>
      </c>
      <c r="M437" s="728"/>
      <c r="N437" s="728">
        <v>0</v>
      </c>
      <c r="O437" s="728"/>
      <c r="P437" s="728">
        <v>0</v>
      </c>
      <c r="Q437" s="728"/>
      <c r="R437" s="728"/>
      <c r="S437" s="728"/>
      <c r="T437" s="728"/>
      <c r="U437" s="728"/>
      <c r="V437" s="728"/>
      <c r="W437" s="728"/>
      <c r="X437" s="728"/>
      <c r="Y437" s="728"/>
      <c r="Z437" s="728"/>
      <c r="AA437" s="728"/>
      <c r="AB437" s="728"/>
      <c r="AC437" s="728"/>
      <c r="AD437" s="728"/>
      <c r="AE437" s="728"/>
      <c r="AF437" s="729"/>
      <c r="AG437" s="728"/>
      <c r="AH437" s="728"/>
      <c r="AI437" s="728"/>
      <c r="AJ437" s="728"/>
      <c r="AK437" s="728"/>
      <c r="AL437" s="728"/>
      <c r="AM437" s="728"/>
      <c r="AN437" s="728"/>
      <c r="AO437" s="728"/>
      <c r="AP437" s="728">
        <v>40000</v>
      </c>
      <c r="AQ437" s="728"/>
      <c r="AR437" s="728">
        <v>40000</v>
      </c>
      <c r="AS437" s="728"/>
      <c r="AT437" s="769">
        <f t="shared" si="32"/>
        <v>0</v>
      </c>
      <c r="AU437" s="729"/>
      <c r="AV437" s="769">
        <f t="shared" si="33"/>
        <v>0</v>
      </c>
      <c r="AW437" s="725">
        <f t="shared" si="31"/>
        <v>0</v>
      </c>
      <c r="AY437" s="647"/>
    </row>
    <row r="438" spans="1:51" s="725" customFormat="1" hidden="1">
      <c r="A438" s="715">
        <f t="shared" si="34"/>
        <v>434</v>
      </c>
      <c r="B438" s="724"/>
      <c r="C438" s="730" t="s">
        <v>1947</v>
      </c>
      <c r="D438" s="731" t="s">
        <v>1979</v>
      </c>
      <c r="E438" s="727">
        <f t="shared" si="30"/>
        <v>40000</v>
      </c>
      <c r="F438" s="728">
        <v>0</v>
      </c>
      <c r="G438" s="728"/>
      <c r="H438" s="728">
        <v>0</v>
      </c>
      <c r="I438" s="728"/>
      <c r="J438" s="728">
        <v>0</v>
      </c>
      <c r="K438" s="728"/>
      <c r="L438" s="728">
        <v>0</v>
      </c>
      <c r="M438" s="728"/>
      <c r="N438" s="728">
        <v>0</v>
      </c>
      <c r="O438" s="728"/>
      <c r="P438" s="728">
        <v>0</v>
      </c>
      <c r="Q438" s="728"/>
      <c r="R438" s="728"/>
      <c r="S438" s="728"/>
      <c r="T438" s="728"/>
      <c r="U438" s="728"/>
      <c r="V438" s="728"/>
      <c r="W438" s="728"/>
      <c r="X438" s="728"/>
      <c r="Y438" s="728"/>
      <c r="Z438" s="728"/>
      <c r="AA438" s="728"/>
      <c r="AB438" s="728"/>
      <c r="AC438" s="728"/>
      <c r="AD438" s="728"/>
      <c r="AE438" s="728"/>
      <c r="AF438" s="729"/>
      <c r="AG438" s="728"/>
      <c r="AH438" s="728"/>
      <c r="AI438" s="728"/>
      <c r="AJ438" s="728"/>
      <c r="AK438" s="728"/>
      <c r="AL438" s="728"/>
      <c r="AM438" s="728"/>
      <c r="AN438" s="728"/>
      <c r="AO438" s="728"/>
      <c r="AP438" s="728">
        <v>40000</v>
      </c>
      <c r="AQ438" s="728"/>
      <c r="AR438" s="728">
        <v>0</v>
      </c>
      <c r="AS438" s="728"/>
      <c r="AT438" s="769">
        <f t="shared" si="32"/>
        <v>0</v>
      </c>
      <c r="AU438" s="729"/>
      <c r="AV438" s="769">
        <f t="shared" si="33"/>
        <v>0</v>
      </c>
      <c r="AW438" s="725">
        <f t="shared" si="31"/>
        <v>0</v>
      </c>
      <c r="AY438" s="647"/>
    </row>
    <row r="439" spans="1:51" s="725" customFormat="1" hidden="1">
      <c r="A439" s="715">
        <f t="shared" si="34"/>
        <v>435</v>
      </c>
      <c r="B439" s="724"/>
      <c r="C439" s="730" t="s">
        <v>1948</v>
      </c>
      <c r="D439" s="726" t="s">
        <v>1980</v>
      </c>
      <c r="E439" s="727">
        <f t="shared" si="30"/>
        <v>80000</v>
      </c>
      <c r="F439" s="728">
        <v>0</v>
      </c>
      <c r="G439" s="728"/>
      <c r="H439" s="728">
        <v>0</v>
      </c>
      <c r="I439" s="728"/>
      <c r="J439" s="728">
        <v>0</v>
      </c>
      <c r="K439" s="728"/>
      <c r="L439" s="728">
        <v>0</v>
      </c>
      <c r="M439" s="728"/>
      <c r="N439" s="728">
        <v>0</v>
      </c>
      <c r="O439" s="728"/>
      <c r="P439" s="728">
        <v>0</v>
      </c>
      <c r="Q439" s="728"/>
      <c r="R439" s="728"/>
      <c r="S439" s="728"/>
      <c r="T439" s="728"/>
      <c r="U439" s="728"/>
      <c r="V439" s="728"/>
      <c r="W439" s="728"/>
      <c r="X439" s="728"/>
      <c r="Y439" s="728"/>
      <c r="Z439" s="728"/>
      <c r="AA439" s="728"/>
      <c r="AB439" s="728"/>
      <c r="AC439" s="728"/>
      <c r="AD439" s="728"/>
      <c r="AE439" s="728"/>
      <c r="AF439" s="729"/>
      <c r="AG439" s="728"/>
      <c r="AH439" s="728"/>
      <c r="AI439" s="728"/>
      <c r="AJ439" s="728"/>
      <c r="AK439" s="728"/>
      <c r="AL439" s="728"/>
      <c r="AM439" s="728"/>
      <c r="AN439" s="728"/>
      <c r="AO439" s="728"/>
      <c r="AP439" s="728">
        <v>40000</v>
      </c>
      <c r="AQ439" s="728"/>
      <c r="AR439" s="728">
        <v>40000</v>
      </c>
      <c r="AS439" s="728"/>
      <c r="AT439" s="769">
        <f t="shared" si="32"/>
        <v>0</v>
      </c>
      <c r="AU439" s="729"/>
      <c r="AV439" s="769">
        <f t="shared" si="33"/>
        <v>0</v>
      </c>
      <c r="AW439" s="725">
        <f t="shared" si="31"/>
        <v>0</v>
      </c>
      <c r="AY439" s="647"/>
    </row>
    <row r="440" spans="1:51" s="725" customFormat="1" hidden="1">
      <c r="A440" s="715">
        <f t="shared" si="34"/>
        <v>436</v>
      </c>
      <c r="B440" s="724"/>
      <c r="C440" s="730" t="s">
        <v>1949</v>
      </c>
      <c r="D440" s="726" t="s">
        <v>1981</v>
      </c>
      <c r="E440" s="727">
        <f t="shared" si="30"/>
        <v>80000</v>
      </c>
      <c r="F440" s="728">
        <v>0</v>
      </c>
      <c r="G440" s="728"/>
      <c r="H440" s="728">
        <v>0</v>
      </c>
      <c r="I440" s="728"/>
      <c r="J440" s="728">
        <v>0</v>
      </c>
      <c r="K440" s="728"/>
      <c r="L440" s="728">
        <v>0</v>
      </c>
      <c r="M440" s="728"/>
      <c r="N440" s="728">
        <v>0</v>
      </c>
      <c r="O440" s="728"/>
      <c r="P440" s="728">
        <v>0</v>
      </c>
      <c r="Q440" s="728"/>
      <c r="R440" s="728"/>
      <c r="S440" s="728"/>
      <c r="T440" s="728"/>
      <c r="U440" s="728"/>
      <c r="V440" s="728"/>
      <c r="W440" s="728"/>
      <c r="X440" s="728"/>
      <c r="Y440" s="728"/>
      <c r="Z440" s="728"/>
      <c r="AA440" s="728"/>
      <c r="AB440" s="728"/>
      <c r="AC440" s="728"/>
      <c r="AD440" s="728"/>
      <c r="AE440" s="728"/>
      <c r="AF440" s="729"/>
      <c r="AG440" s="728"/>
      <c r="AH440" s="728"/>
      <c r="AI440" s="728"/>
      <c r="AJ440" s="728"/>
      <c r="AK440" s="728"/>
      <c r="AL440" s="728"/>
      <c r="AM440" s="728"/>
      <c r="AN440" s="728"/>
      <c r="AO440" s="728"/>
      <c r="AP440" s="728">
        <v>40000</v>
      </c>
      <c r="AQ440" s="728"/>
      <c r="AR440" s="728">
        <v>40000</v>
      </c>
      <c r="AS440" s="728"/>
      <c r="AT440" s="769">
        <f t="shared" si="32"/>
        <v>0</v>
      </c>
      <c r="AU440" s="729"/>
      <c r="AV440" s="769">
        <f t="shared" si="33"/>
        <v>0</v>
      </c>
      <c r="AW440" s="725">
        <f t="shared" si="31"/>
        <v>0</v>
      </c>
      <c r="AY440" s="647"/>
    </row>
    <row r="441" spans="1:51" hidden="1">
      <c r="A441" s="715">
        <f t="shared" si="34"/>
        <v>437</v>
      </c>
      <c r="B441" s="718"/>
      <c r="C441" s="719" t="s">
        <v>1950</v>
      </c>
      <c r="D441" s="663" t="s">
        <v>1982</v>
      </c>
      <c r="E441" s="714">
        <f t="shared" si="30"/>
        <v>80000</v>
      </c>
      <c r="F441" s="679">
        <v>0</v>
      </c>
      <c r="G441" s="679"/>
      <c r="H441" s="679">
        <v>0</v>
      </c>
      <c r="I441" s="679"/>
      <c r="J441" s="679">
        <v>0</v>
      </c>
      <c r="K441" s="679"/>
      <c r="L441" s="679">
        <v>0</v>
      </c>
      <c r="M441" s="679"/>
      <c r="N441" s="679">
        <v>0</v>
      </c>
      <c r="O441" s="679"/>
      <c r="P441" s="679">
        <v>0</v>
      </c>
      <c r="Q441" s="679"/>
      <c r="R441" s="679"/>
      <c r="S441" s="679"/>
      <c r="T441" s="679"/>
      <c r="U441" s="679"/>
      <c r="V441" s="679"/>
      <c r="W441" s="679"/>
      <c r="X441" s="679"/>
      <c r="Y441" s="679"/>
      <c r="Z441" s="679"/>
      <c r="AA441" s="679"/>
      <c r="AB441" s="679"/>
      <c r="AC441" s="679"/>
      <c r="AD441" s="679"/>
      <c r="AE441" s="679"/>
      <c r="AF441" s="677"/>
      <c r="AG441" s="679"/>
      <c r="AH441" s="679"/>
      <c r="AI441" s="679"/>
      <c r="AJ441" s="679"/>
      <c r="AK441" s="679"/>
      <c r="AL441" s="679"/>
      <c r="AM441" s="679"/>
      <c r="AN441" s="679"/>
      <c r="AO441" s="679"/>
      <c r="AP441" s="679">
        <v>40000</v>
      </c>
      <c r="AQ441" s="679"/>
      <c r="AR441" s="679">
        <v>40000</v>
      </c>
      <c r="AS441" s="679"/>
      <c r="AT441" s="769">
        <f t="shared" si="32"/>
        <v>0</v>
      </c>
      <c r="AU441" s="677"/>
      <c r="AV441" s="769">
        <f t="shared" si="33"/>
        <v>0</v>
      </c>
      <c r="AW441" s="696">
        <f t="shared" si="31"/>
        <v>0</v>
      </c>
      <c r="AY441" s="647"/>
    </row>
    <row r="442" spans="1:51" hidden="1">
      <c r="A442" s="715">
        <f t="shared" si="34"/>
        <v>438</v>
      </c>
      <c r="B442" s="718"/>
      <c r="C442" s="719" t="s">
        <v>1951</v>
      </c>
      <c r="D442" s="663" t="s">
        <v>1983</v>
      </c>
      <c r="E442" s="714">
        <f t="shared" si="30"/>
        <v>80000</v>
      </c>
      <c r="F442" s="679">
        <v>0</v>
      </c>
      <c r="G442" s="679"/>
      <c r="H442" s="679">
        <v>0</v>
      </c>
      <c r="I442" s="679"/>
      <c r="J442" s="679">
        <v>0</v>
      </c>
      <c r="K442" s="679"/>
      <c r="L442" s="679">
        <v>0</v>
      </c>
      <c r="M442" s="679"/>
      <c r="N442" s="679">
        <v>0</v>
      </c>
      <c r="O442" s="679"/>
      <c r="P442" s="679">
        <v>0</v>
      </c>
      <c r="Q442" s="679"/>
      <c r="R442" s="679"/>
      <c r="S442" s="679"/>
      <c r="T442" s="679"/>
      <c r="U442" s="679"/>
      <c r="V442" s="679"/>
      <c r="W442" s="679"/>
      <c r="X442" s="679"/>
      <c r="Y442" s="679"/>
      <c r="Z442" s="679"/>
      <c r="AA442" s="679"/>
      <c r="AB442" s="679"/>
      <c r="AC442" s="679"/>
      <c r="AD442" s="679"/>
      <c r="AE442" s="679"/>
      <c r="AF442" s="677"/>
      <c r="AG442" s="679"/>
      <c r="AH442" s="679"/>
      <c r="AI442" s="679"/>
      <c r="AJ442" s="679"/>
      <c r="AK442" s="679"/>
      <c r="AL442" s="679"/>
      <c r="AM442" s="679"/>
      <c r="AN442" s="679"/>
      <c r="AO442" s="679"/>
      <c r="AP442" s="679">
        <v>40000</v>
      </c>
      <c r="AQ442" s="679"/>
      <c r="AR442" s="679">
        <v>40000</v>
      </c>
      <c r="AS442" s="679"/>
      <c r="AT442" s="769">
        <f t="shared" si="32"/>
        <v>0</v>
      </c>
      <c r="AU442" s="677"/>
      <c r="AV442" s="769">
        <f t="shared" si="33"/>
        <v>0</v>
      </c>
      <c r="AW442" s="696">
        <f t="shared" si="31"/>
        <v>0</v>
      </c>
      <c r="AY442" s="647"/>
    </row>
    <row r="443" spans="1:51" hidden="1">
      <c r="A443" s="715">
        <f t="shared" si="34"/>
        <v>439</v>
      </c>
      <c r="B443" s="718"/>
      <c r="C443" s="719" t="s">
        <v>1952</v>
      </c>
      <c r="D443" s="663" t="s">
        <v>1984</v>
      </c>
      <c r="E443" s="714">
        <f t="shared" si="30"/>
        <v>80000</v>
      </c>
      <c r="F443" s="679">
        <v>0</v>
      </c>
      <c r="G443" s="679"/>
      <c r="H443" s="679">
        <v>0</v>
      </c>
      <c r="I443" s="679"/>
      <c r="J443" s="679">
        <v>0</v>
      </c>
      <c r="K443" s="679"/>
      <c r="L443" s="679">
        <v>0</v>
      </c>
      <c r="M443" s="679"/>
      <c r="N443" s="679">
        <v>0</v>
      </c>
      <c r="O443" s="679"/>
      <c r="P443" s="679">
        <v>0</v>
      </c>
      <c r="Q443" s="679"/>
      <c r="R443" s="679"/>
      <c r="S443" s="679"/>
      <c r="T443" s="679"/>
      <c r="U443" s="679"/>
      <c r="V443" s="679"/>
      <c r="W443" s="679"/>
      <c r="X443" s="679"/>
      <c r="Y443" s="679"/>
      <c r="Z443" s="679"/>
      <c r="AA443" s="679"/>
      <c r="AB443" s="679"/>
      <c r="AC443" s="679"/>
      <c r="AD443" s="679"/>
      <c r="AE443" s="679"/>
      <c r="AF443" s="677"/>
      <c r="AG443" s="679"/>
      <c r="AH443" s="679"/>
      <c r="AI443" s="679"/>
      <c r="AJ443" s="679"/>
      <c r="AK443" s="679"/>
      <c r="AL443" s="679"/>
      <c r="AM443" s="679"/>
      <c r="AN443" s="679"/>
      <c r="AO443" s="679"/>
      <c r="AP443" s="679">
        <v>40000</v>
      </c>
      <c r="AQ443" s="679"/>
      <c r="AR443" s="679">
        <v>40000</v>
      </c>
      <c r="AS443" s="679"/>
      <c r="AT443" s="769">
        <f t="shared" si="32"/>
        <v>0</v>
      </c>
      <c r="AU443" s="677"/>
      <c r="AV443" s="769">
        <f t="shared" si="33"/>
        <v>0</v>
      </c>
      <c r="AW443" s="696">
        <f t="shared" si="31"/>
        <v>0</v>
      </c>
      <c r="AY443" s="647"/>
    </row>
    <row r="444" spans="1:51" hidden="1">
      <c r="A444" s="715">
        <f t="shared" si="34"/>
        <v>440</v>
      </c>
      <c r="B444" s="718"/>
      <c r="C444" s="719" t="s">
        <v>1953</v>
      </c>
      <c r="D444" s="663" t="s">
        <v>1985</v>
      </c>
      <c r="E444" s="714">
        <f t="shared" si="30"/>
        <v>80000</v>
      </c>
      <c r="F444" s="679">
        <v>0</v>
      </c>
      <c r="G444" s="679"/>
      <c r="H444" s="679">
        <v>0</v>
      </c>
      <c r="I444" s="679"/>
      <c r="J444" s="679">
        <v>0</v>
      </c>
      <c r="K444" s="679"/>
      <c r="L444" s="679">
        <v>0</v>
      </c>
      <c r="M444" s="679"/>
      <c r="N444" s="679">
        <v>0</v>
      </c>
      <c r="O444" s="679"/>
      <c r="P444" s="679">
        <v>0</v>
      </c>
      <c r="Q444" s="679"/>
      <c r="R444" s="679"/>
      <c r="S444" s="679"/>
      <c r="T444" s="679"/>
      <c r="U444" s="679"/>
      <c r="V444" s="679"/>
      <c r="W444" s="679"/>
      <c r="X444" s="679"/>
      <c r="Y444" s="679"/>
      <c r="Z444" s="679"/>
      <c r="AA444" s="679"/>
      <c r="AB444" s="679"/>
      <c r="AC444" s="679"/>
      <c r="AD444" s="679"/>
      <c r="AE444" s="679"/>
      <c r="AF444" s="677"/>
      <c r="AG444" s="679"/>
      <c r="AH444" s="679"/>
      <c r="AI444" s="679"/>
      <c r="AJ444" s="679"/>
      <c r="AK444" s="679"/>
      <c r="AL444" s="679"/>
      <c r="AM444" s="679"/>
      <c r="AN444" s="679"/>
      <c r="AO444" s="679"/>
      <c r="AP444" s="679">
        <v>40000</v>
      </c>
      <c r="AQ444" s="679"/>
      <c r="AR444" s="679">
        <v>40000</v>
      </c>
      <c r="AS444" s="679"/>
      <c r="AT444" s="769">
        <f t="shared" si="32"/>
        <v>0</v>
      </c>
      <c r="AU444" s="677"/>
      <c r="AV444" s="769">
        <f t="shared" si="33"/>
        <v>0</v>
      </c>
      <c r="AW444" s="696">
        <f t="shared" si="31"/>
        <v>0</v>
      </c>
      <c r="AY444" s="647"/>
    </row>
    <row r="445" spans="1:51" hidden="1">
      <c r="A445" s="715">
        <f t="shared" si="34"/>
        <v>441</v>
      </c>
      <c r="B445" s="718"/>
      <c r="C445" s="719" t="s">
        <v>1954</v>
      </c>
      <c r="D445" s="663" t="s">
        <v>1986</v>
      </c>
      <c r="E445" s="714">
        <f t="shared" si="30"/>
        <v>40000</v>
      </c>
      <c r="F445" s="679">
        <v>0</v>
      </c>
      <c r="G445" s="679"/>
      <c r="H445" s="679">
        <v>0</v>
      </c>
      <c r="I445" s="679"/>
      <c r="J445" s="679">
        <v>0</v>
      </c>
      <c r="K445" s="679"/>
      <c r="L445" s="679">
        <v>0</v>
      </c>
      <c r="M445" s="679"/>
      <c r="N445" s="679">
        <v>0</v>
      </c>
      <c r="O445" s="679"/>
      <c r="P445" s="679">
        <v>0</v>
      </c>
      <c r="Q445" s="679"/>
      <c r="R445" s="679"/>
      <c r="S445" s="679"/>
      <c r="T445" s="679"/>
      <c r="U445" s="679"/>
      <c r="V445" s="679"/>
      <c r="W445" s="679"/>
      <c r="X445" s="679"/>
      <c r="Y445" s="679"/>
      <c r="Z445" s="679"/>
      <c r="AA445" s="679"/>
      <c r="AB445" s="679"/>
      <c r="AC445" s="679"/>
      <c r="AD445" s="679"/>
      <c r="AE445" s="679"/>
      <c r="AF445" s="677"/>
      <c r="AG445" s="679"/>
      <c r="AH445" s="679"/>
      <c r="AI445" s="679"/>
      <c r="AJ445" s="679"/>
      <c r="AK445" s="679"/>
      <c r="AL445" s="679"/>
      <c r="AM445" s="679"/>
      <c r="AN445" s="679"/>
      <c r="AO445" s="679"/>
      <c r="AP445" s="679">
        <v>40000</v>
      </c>
      <c r="AQ445" s="679"/>
      <c r="AR445" s="679">
        <v>0</v>
      </c>
      <c r="AS445" s="679"/>
      <c r="AT445" s="769">
        <f t="shared" si="32"/>
        <v>0</v>
      </c>
      <c r="AU445" s="677"/>
      <c r="AV445" s="769">
        <f t="shared" si="33"/>
        <v>0</v>
      </c>
      <c r="AW445" s="696">
        <f t="shared" si="31"/>
        <v>0</v>
      </c>
      <c r="AY445" s="647"/>
    </row>
    <row r="446" spans="1:51" hidden="1">
      <c r="A446" s="715">
        <f t="shared" si="34"/>
        <v>442</v>
      </c>
      <c r="B446" s="718"/>
      <c r="C446" s="719" t="s">
        <v>1955</v>
      </c>
      <c r="D446" s="663" t="s">
        <v>1987</v>
      </c>
      <c r="E446" s="714">
        <f t="shared" si="30"/>
        <v>80000</v>
      </c>
      <c r="F446" s="679">
        <v>0</v>
      </c>
      <c r="G446" s="679"/>
      <c r="H446" s="679">
        <v>0</v>
      </c>
      <c r="I446" s="679"/>
      <c r="J446" s="679">
        <v>0</v>
      </c>
      <c r="K446" s="679"/>
      <c r="L446" s="679">
        <v>0</v>
      </c>
      <c r="M446" s="679"/>
      <c r="N446" s="679">
        <v>0</v>
      </c>
      <c r="O446" s="679"/>
      <c r="P446" s="679">
        <v>0</v>
      </c>
      <c r="Q446" s="679"/>
      <c r="R446" s="679"/>
      <c r="S446" s="679"/>
      <c r="T446" s="679"/>
      <c r="U446" s="679"/>
      <c r="V446" s="679"/>
      <c r="W446" s="679"/>
      <c r="X446" s="679"/>
      <c r="Y446" s="679"/>
      <c r="Z446" s="679"/>
      <c r="AA446" s="679"/>
      <c r="AB446" s="679"/>
      <c r="AC446" s="679"/>
      <c r="AD446" s="679"/>
      <c r="AE446" s="679"/>
      <c r="AF446" s="677"/>
      <c r="AG446" s="679"/>
      <c r="AH446" s="679"/>
      <c r="AI446" s="679"/>
      <c r="AJ446" s="679"/>
      <c r="AK446" s="679"/>
      <c r="AL446" s="679"/>
      <c r="AM446" s="679"/>
      <c r="AN446" s="679"/>
      <c r="AO446" s="679"/>
      <c r="AP446" s="679">
        <v>40000</v>
      </c>
      <c r="AQ446" s="679"/>
      <c r="AR446" s="679">
        <v>40000</v>
      </c>
      <c r="AS446" s="679"/>
      <c r="AT446" s="769">
        <f t="shared" si="32"/>
        <v>0</v>
      </c>
      <c r="AU446" s="677"/>
      <c r="AV446" s="769">
        <f t="shared" si="33"/>
        <v>0</v>
      </c>
      <c r="AW446" s="696">
        <f t="shared" si="31"/>
        <v>0</v>
      </c>
      <c r="AY446" s="647"/>
    </row>
    <row r="447" spans="1:51" hidden="1">
      <c r="A447" s="715">
        <f t="shared" si="34"/>
        <v>443</v>
      </c>
      <c r="B447" s="718"/>
      <c r="C447" s="719" t="s">
        <v>1956</v>
      </c>
      <c r="D447" s="663" t="s">
        <v>1988</v>
      </c>
      <c r="E447" s="714">
        <f t="shared" si="30"/>
        <v>80000</v>
      </c>
      <c r="F447" s="679">
        <v>0</v>
      </c>
      <c r="G447" s="679"/>
      <c r="H447" s="679">
        <v>0</v>
      </c>
      <c r="I447" s="679"/>
      <c r="J447" s="679">
        <v>0</v>
      </c>
      <c r="K447" s="679"/>
      <c r="L447" s="679">
        <v>0</v>
      </c>
      <c r="M447" s="679"/>
      <c r="N447" s="679">
        <v>0</v>
      </c>
      <c r="O447" s="679"/>
      <c r="P447" s="679">
        <v>0</v>
      </c>
      <c r="Q447" s="679"/>
      <c r="R447" s="679"/>
      <c r="S447" s="679"/>
      <c r="T447" s="679"/>
      <c r="U447" s="679"/>
      <c r="V447" s="679"/>
      <c r="W447" s="679"/>
      <c r="X447" s="679"/>
      <c r="Y447" s="679"/>
      <c r="Z447" s="679"/>
      <c r="AA447" s="679"/>
      <c r="AB447" s="679"/>
      <c r="AC447" s="679"/>
      <c r="AD447" s="679"/>
      <c r="AE447" s="679"/>
      <c r="AF447" s="677"/>
      <c r="AG447" s="679"/>
      <c r="AH447" s="679"/>
      <c r="AI447" s="679"/>
      <c r="AJ447" s="679"/>
      <c r="AK447" s="679"/>
      <c r="AL447" s="679"/>
      <c r="AM447" s="679"/>
      <c r="AN447" s="679"/>
      <c r="AO447" s="679"/>
      <c r="AP447" s="679">
        <v>40000</v>
      </c>
      <c r="AQ447" s="679"/>
      <c r="AR447" s="679">
        <v>40000</v>
      </c>
      <c r="AS447" s="679"/>
      <c r="AT447" s="769">
        <f t="shared" si="32"/>
        <v>0</v>
      </c>
      <c r="AU447" s="677"/>
      <c r="AV447" s="769">
        <f t="shared" si="33"/>
        <v>0</v>
      </c>
      <c r="AW447" s="696">
        <f t="shared" si="31"/>
        <v>0</v>
      </c>
      <c r="AY447" s="647"/>
    </row>
    <row r="448" spans="1:51" hidden="1">
      <c r="A448" s="715">
        <f t="shared" si="34"/>
        <v>444</v>
      </c>
      <c r="B448" s="718"/>
      <c r="C448" s="719" t="s">
        <v>1957</v>
      </c>
      <c r="D448" s="663" t="s">
        <v>1989</v>
      </c>
      <c r="E448" s="714">
        <f t="shared" si="30"/>
        <v>40000</v>
      </c>
      <c r="F448" s="679">
        <v>0</v>
      </c>
      <c r="G448" s="679"/>
      <c r="H448" s="679">
        <v>0</v>
      </c>
      <c r="I448" s="679"/>
      <c r="J448" s="679">
        <v>0</v>
      </c>
      <c r="K448" s="679"/>
      <c r="L448" s="679">
        <v>0</v>
      </c>
      <c r="M448" s="679"/>
      <c r="N448" s="679">
        <v>0</v>
      </c>
      <c r="O448" s="679"/>
      <c r="P448" s="679">
        <v>0</v>
      </c>
      <c r="Q448" s="679"/>
      <c r="R448" s="679"/>
      <c r="S448" s="679"/>
      <c r="T448" s="679"/>
      <c r="U448" s="679"/>
      <c r="V448" s="679"/>
      <c r="W448" s="679"/>
      <c r="X448" s="679"/>
      <c r="Y448" s="679"/>
      <c r="Z448" s="679"/>
      <c r="AA448" s="679"/>
      <c r="AB448" s="679"/>
      <c r="AC448" s="679"/>
      <c r="AD448" s="679"/>
      <c r="AE448" s="679"/>
      <c r="AF448" s="677"/>
      <c r="AG448" s="679"/>
      <c r="AH448" s="679"/>
      <c r="AI448" s="679"/>
      <c r="AJ448" s="679"/>
      <c r="AK448" s="679"/>
      <c r="AL448" s="679"/>
      <c r="AM448" s="679"/>
      <c r="AN448" s="679"/>
      <c r="AO448" s="679"/>
      <c r="AP448" s="679">
        <v>40000</v>
      </c>
      <c r="AQ448" s="679"/>
      <c r="AR448" s="679">
        <v>0</v>
      </c>
      <c r="AS448" s="679"/>
      <c r="AT448" s="769">
        <f t="shared" si="32"/>
        <v>0</v>
      </c>
      <c r="AU448" s="677"/>
      <c r="AV448" s="769">
        <f t="shared" si="33"/>
        <v>0</v>
      </c>
      <c r="AW448" s="696">
        <f t="shared" si="31"/>
        <v>0</v>
      </c>
      <c r="AY448" s="647"/>
    </row>
    <row r="449" spans="1:51" s="725" customFormat="1" hidden="1">
      <c r="A449" s="715">
        <f t="shared" si="34"/>
        <v>445</v>
      </c>
      <c r="B449" s="724"/>
      <c r="C449" s="730" t="s">
        <v>1958</v>
      </c>
      <c r="D449" s="726" t="s">
        <v>2015</v>
      </c>
      <c r="E449" s="727">
        <f t="shared" si="30"/>
        <v>80000</v>
      </c>
      <c r="F449" s="728">
        <v>0</v>
      </c>
      <c r="G449" s="728"/>
      <c r="H449" s="728">
        <v>0</v>
      </c>
      <c r="I449" s="728"/>
      <c r="J449" s="728">
        <v>0</v>
      </c>
      <c r="K449" s="728"/>
      <c r="L449" s="728">
        <v>0</v>
      </c>
      <c r="M449" s="728"/>
      <c r="N449" s="728">
        <v>0</v>
      </c>
      <c r="O449" s="728"/>
      <c r="P449" s="728">
        <v>0</v>
      </c>
      <c r="Q449" s="728"/>
      <c r="R449" s="728"/>
      <c r="S449" s="728"/>
      <c r="T449" s="728"/>
      <c r="U449" s="728"/>
      <c r="V449" s="728"/>
      <c r="W449" s="728"/>
      <c r="X449" s="728"/>
      <c r="Y449" s="728"/>
      <c r="Z449" s="728"/>
      <c r="AA449" s="728"/>
      <c r="AB449" s="728"/>
      <c r="AC449" s="728"/>
      <c r="AD449" s="728"/>
      <c r="AE449" s="728"/>
      <c r="AF449" s="729"/>
      <c r="AG449" s="728"/>
      <c r="AH449" s="728"/>
      <c r="AI449" s="728"/>
      <c r="AJ449" s="728"/>
      <c r="AK449" s="728"/>
      <c r="AL449" s="728"/>
      <c r="AM449" s="728"/>
      <c r="AN449" s="728"/>
      <c r="AO449" s="728"/>
      <c r="AP449" s="728">
        <v>40000</v>
      </c>
      <c r="AQ449" s="728"/>
      <c r="AR449" s="728">
        <v>40000</v>
      </c>
      <c r="AS449" s="728"/>
      <c r="AT449" s="769">
        <f t="shared" si="32"/>
        <v>0</v>
      </c>
      <c r="AU449" s="729"/>
      <c r="AV449" s="769">
        <f t="shared" si="33"/>
        <v>0</v>
      </c>
      <c r="AW449" s="725">
        <f t="shared" si="31"/>
        <v>0</v>
      </c>
      <c r="AY449" s="647"/>
    </row>
    <row r="450" spans="1:51" s="725" customFormat="1" hidden="1">
      <c r="A450" s="715">
        <f t="shared" si="34"/>
        <v>446</v>
      </c>
      <c r="B450" s="724"/>
      <c r="C450" s="730" t="s">
        <v>1959</v>
      </c>
      <c r="D450" s="726" t="s">
        <v>1990</v>
      </c>
      <c r="E450" s="727">
        <f t="shared" si="30"/>
        <v>80000</v>
      </c>
      <c r="F450" s="728">
        <v>0</v>
      </c>
      <c r="G450" s="728"/>
      <c r="H450" s="728">
        <v>0</v>
      </c>
      <c r="I450" s="728"/>
      <c r="J450" s="728">
        <v>0</v>
      </c>
      <c r="K450" s="728"/>
      <c r="L450" s="728">
        <v>0</v>
      </c>
      <c r="M450" s="728"/>
      <c r="N450" s="728">
        <v>0</v>
      </c>
      <c r="O450" s="728"/>
      <c r="P450" s="728">
        <v>0</v>
      </c>
      <c r="Q450" s="728"/>
      <c r="R450" s="728"/>
      <c r="S450" s="728"/>
      <c r="T450" s="728"/>
      <c r="U450" s="728"/>
      <c r="V450" s="728"/>
      <c r="W450" s="728"/>
      <c r="X450" s="728"/>
      <c r="Y450" s="728"/>
      <c r="Z450" s="728"/>
      <c r="AA450" s="728"/>
      <c r="AB450" s="728"/>
      <c r="AC450" s="728"/>
      <c r="AD450" s="728"/>
      <c r="AE450" s="728"/>
      <c r="AF450" s="729"/>
      <c r="AG450" s="728"/>
      <c r="AH450" s="728"/>
      <c r="AI450" s="728"/>
      <c r="AJ450" s="728"/>
      <c r="AK450" s="728"/>
      <c r="AL450" s="728"/>
      <c r="AM450" s="728"/>
      <c r="AN450" s="728"/>
      <c r="AO450" s="728"/>
      <c r="AP450" s="728">
        <v>40000</v>
      </c>
      <c r="AQ450" s="728"/>
      <c r="AR450" s="728">
        <v>40000</v>
      </c>
      <c r="AS450" s="728"/>
      <c r="AT450" s="769">
        <f t="shared" si="32"/>
        <v>0</v>
      </c>
      <c r="AU450" s="729"/>
      <c r="AV450" s="769">
        <f t="shared" si="33"/>
        <v>0</v>
      </c>
      <c r="AW450" s="725">
        <f t="shared" si="31"/>
        <v>0</v>
      </c>
      <c r="AY450" s="647"/>
    </row>
    <row r="451" spans="1:51" s="725" customFormat="1" hidden="1">
      <c r="A451" s="715">
        <f t="shared" si="34"/>
        <v>447</v>
      </c>
      <c r="B451" s="724"/>
      <c r="C451" s="730" t="s">
        <v>1960</v>
      </c>
      <c r="D451" s="726" t="s">
        <v>1991</v>
      </c>
      <c r="E451" s="727">
        <f t="shared" ref="E451:E466" si="35">+SUM(F451:AR451)</f>
        <v>80000</v>
      </c>
      <c r="F451" s="728">
        <v>0</v>
      </c>
      <c r="G451" s="728"/>
      <c r="H451" s="728">
        <v>0</v>
      </c>
      <c r="I451" s="728"/>
      <c r="J451" s="728">
        <v>0</v>
      </c>
      <c r="K451" s="728"/>
      <c r="L451" s="728">
        <v>0</v>
      </c>
      <c r="M451" s="728"/>
      <c r="N451" s="728">
        <v>0</v>
      </c>
      <c r="O451" s="728"/>
      <c r="P451" s="728">
        <v>0</v>
      </c>
      <c r="Q451" s="728"/>
      <c r="R451" s="728"/>
      <c r="S451" s="728"/>
      <c r="T451" s="728"/>
      <c r="U451" s="728"/>
      <c r="V451" s="728"/>
      <c r="W451" s="728"/>
      <c r="X451" s="728"/>
      <c r="Y451" s="728"/>
      <c r="Z451" s="728"/>
      <c r="AA451" s="728"/>
      <c r="AB451" s="728"/>
      <c r="AC451" s="728"/>
      <c r="AD451" s="728"/>
      <c r="AE451" s="728"/>
      <c r="AF451" s="729"/>
      <c r="AG451" s="728"/>
      <c r="AH451" s="728"/>
      <c r="AI451" s="728"/>
      <c r="AJ451" s="728"/>
      <c r="AK451" s="728"/>
      <c r="AL451" s="728"/>
      <c r="AM451" s="728"/>
      <c r="AN451" s="728"/>
      <c r="AO451" s="728"/>
      <c r="AP451" s="728">
        <v>40000</v>
      </c>
      <c r="AQ451" s="728"/>
      <c r="AR451" s="728">
        <v>40000</v>
      </c>
      <c r="AS451" s="728"/>
      <c r="AT451" s="769">
        <f t="shared" si="32"/>
        <v>0</v>
      </c>
      <c r="AU451" s="729"/>
      <c r="AV451" s="769">
        <f t="shared" si="33"/>
        <v>0</v>
      </c>
      <c r="AW451" s="725">
        <f t="shared" si="31"/>
        <v>0</v>
      </c>
      <c r="AY451" s="647"/>
    </row>
    <row r="452" spans="1:51" s="725" customFormat="1" hidden="1">
      <c r="A452" s="715">
        <f t="shared" si="34"/>
        <v>448</v>
      </c>
      <c r="B452" s="724"/>
      <c r="C452" s="730" t="s">
        <v>1961</v>
      </c>
      <c r="D452" s="726" t="s">
        <v>1992</v>
      </c>
      <c r="E452" s="727">
        <f t="shared" si="35"/>
        <v>80000</v>
      </c>
      <c r="F452" s="728">
        <v>0</v>
      </c>
      <c r="G452" s="728"/>
      <c r="H452" s="728">
        <v>0</v>
      </c>
      <c r="I452" s="728"/>
      <c r="J452" s="728">
        <v>0</v>
      </c>
      <c r="K452" s="728"/>
      <c r="L452" s="728">
        <v>0</v>
      </c>
      <c r="M452" s="728"/>
      <c r="N452" s="728">
        <v>0</v>
      </c>
      <c r="O452" s="728"/>
      <c r="P452" s="728">
        <v>0</v>
      </c>
      <c r="Q452" s="728"/>
      <c r="R452" s="728"/>
      <c r="S452" s="728"/>
      <c r="T452" s="728"/>
      <c r="U452" s="728"/>
      <c r="V452" s="728"/>
      <c r="W452" s="728"/>
      <c r="X452" s="728"/>
      <c r="Y452" s="728"/>
      <c r="Z452" s="728"/>
      <c r="AA452" s="728"/>
      <c r="AB452" s="728"/>
      <c r="AC452" s="728"/>
      <c r="AD452" s="728"/>
      <c r="AE452" s="728"/>
      <c r="AF452" s="729"/>
      <c r="AG452" s="728"/>
      <c r="AH452" s="728"/>
      <c r="AI452" s="728"/>
      <c r="AJ452" s="728"/>
      <c r="AK452" s="728"/>
      <c r="AL452" s="728"/>
      <c r="AM452" s="728"/>
      <c r="AN452" s="728"/>
      <c r="AO452" s="728"/>
      <c r="AP452" s="728">
        <v>40000</v>
      </c>
      <c r="AQ452" s="728"/>
      <c r="AR452" s="728">
        <v>40000</v>
      </c>
      <c r="AS452" s="728"/>
      <c r="AT452" s="769">
        <f t="shared" si="32"/>
        <v>0</v>
      </c>
      <c r="AU452" s="729"/>
      <c r="AV452" s="769">
        <f t="shared" si="33"/>
        <v>0</v>
      </c>
      <c r="AW452" s="725">
        <f t="shared" si="31"/>
        <v>0</v>
      </c>
      <c r="AY452" s="647"/>
    </row>
    <row r="453" spans="1:51" s="725" customFormat="1" hidden="1">
      <c r="A453" s="715">
        <f t="shared" si="34"/>
        <v>449</v>
      </c>
      <c r="B453" s="724"/>
      <c r="C453" s="730" t="s">
        <v>1962</v>
      </c>
      <c r="D453" s="726" t="s">
        <v>1993</v>
      </c>
      <c r="E453" s="727">
        <f t="shared" si="35"/>
        <v>80000</v>
      </c>
      <c r="F453" s="728">
        <v>0</v>
      </c>
      <c r="G453" s="728"/>
      <c r="H453" s="728">
        <v>0</v>
      </c>
      <c r="I453" s="728"/>
      <c r="J453" s="728">
        <v>0</v>
      </c>
      <c r="K453" s="728"/>
      <c r="L453" s="728">
        <v>0</v>
      </c>
      <c r="M453" s="728"/>
      <c r="N453" s="728">
        <v>0</v>
      </c>
      <c r="O453" s="728"/>
      <c r="P453" s="728">
        <v>0</v>
      </c>
      <c r="Q453" s="728"/>
      <c r="R453" s="728"/>
      <c r="S453" s="728"/>
      <c r="T453" s="728"/>
      <c r="U453" s="728"/>
      <c r="V453" s="728"/>
      <c r="W453" s="728"/>
      <c r="X453" s="728"/>
      <c r="Y453" s="728"/>
      <c r="Z453" s="728"/>
      <c r="AA453" s="728"/>
      <c r="AB453" s="728"/>
      <c r="AC453" s="728"/>
      <c r="AD453" s="728"/>
      <c r="AE453" s="728"/>
      <c r="AF453" s="729"/>
      <c r="AG453" s="728"/>
      <c r="AH453" s="728"/>
      <c r="AI453" s="728"/>
      <c r="AJ453" s="728"/>
      <c r="AK453" s="728"/>
      <c r="AL453" s="728"/>
      <c r="AM453" s="728"/>
      <c r="AN453" s="728"/>
      <c r="AO453" s="728"/>
      <c r="AP453" s="728">
        <v>40000</v>
      </c>
      <c r="AQ453" s="728"/>
      <c r="AR453" s="728">
        <v>40000</v>
      </c>
      <c r="AS453" s="728"/>
      <c r="AT453" s="769">
        <f t="shared" si="32"/>
        <v>0</v>
      </c>
      <c r="AU453" s="729"/>
      <c r="AV453" s="769">
        <f t="shared" si="33"/>
        <v>0</v>
      </c>
      <c r="AW453" s="725">
        <f t="shared" ref="AW453:AW466" si="36">SUMIF(AX:AX,C453,AY:AY)</f>
        <v>0</v>
      </c>
      <c r="AY453" s="647"/>
    </row>
    <row r="454" spans="1:51" s="725" customFormat="1" hidden="1">
      <c r="A454" s="715">
        <f t="shared" si="34"/>
        <v>450</v>
      </c>
      <c r="B454" s="724"/>
      <c r="C454" s="730" t="s">
        <v>1963</v>
      </c>
      <c r="D454" s="726" t="s">
        <v>2013</v>
      </c>
      <c r="E454" s="727">
        <f t="shared" si="35"/>
        <v>80000</v>
      </c>
      <c r="F454" s="728">
        <v>0</v>
      </c>
      <c r="G454" s="728"/>
      <c r="H454" s="728">
        <v>0</v>
      </c>
      <c r="I454" s="728"/>
      <c r="J454" s="728">
        <v>0</v>
      </c>
      <c r="K454" s="728"/>
      <c r="L454" s="728">
        <v>0</v>
      </c>
      <c r="M454" s="728"/>
      <c r="N454" s="728">
        <v>0</v>
      </c>
      <c r="O454" s="728"/>
      <c r="P454" s="728">
        <v>0</v>
      </c>
      <c r="Q454" s="728"/>
      <c r="R454" s="728"/>
      <c r="S454" s="728"/>
      <c r="T454" s="728"/>
      <c r="U454" s="728"/>
      <c r="V454" s="728"/>
      <c r="W454" s="728"/>
      <c r="X454" s="728"/>
      <c r="Y454" s="728"/>
      <c r="Z454" s="728"/>
      <c r="AA454" s="728"/>
      <c r="AB454" s="728"/>
      <c r="AC454" s="728"/>
      <c r="AD454" s="728"/>
      <c r="AE454" s="728"/>
      <c r="AF454" s="729"/>
      <c r="AG454" s="728"/>
      <c r="AH454" s="728"/>
      <c r="AI454" s="728"/>
      <c r="AJ454" s="728"/>
      <c r="AK454" s="728"/>
      <c r="AL454" s="728"/>
      <c r="AM454" s="728"/>
      <c r="AN454" s="728"/>
      <c r="AO454" s="728"/>
      <c r="AP454" s="728">
        <v>40000</v>
      </c>
      <c r="AQ454" s="728"/>
      <c r="AR454" s="728">
        <v>40000</v>
      </c>
      <c r="AS454" s="728"/>
      <c r="AT454" s="769">
        <f t="shared" ref="AT454:AT466" si="37">+AS454+AQ454+AO454+AM454+AK454+AI454+AG454+AE454+AC454+AA454+Y454+W454+U454+S454+Q454+O454+M454+K454+I454+G454</f>
        <v>0</v>
      </c>
      <c r="AU454" s="729"/>
      <c r="AV454" s="769">
        <f t="shared" ref="AV454:AV466" si="38">+AT454-AW454</f>
        <v>0</v>
      </c>
      <c r="AW454" s="725">
        <f t="shared" si="36"/>
        <v>0</v>
      </c>
      <c r="AY454" s="647"/>
    </row>
    <row r="455" spans="1:51" s="725" customFormat="1" hidden="1">
      <c r="A455" s="715">
        <f t="shared" ref="A455:A466" si="39">+A454+1</f>
        <v>451</v>
      </c>
      <c r="B455" s="724"/>
      <c r="C455" s="730" t="s">
        <v>1964</v>
      </c>
      <c r="D455" s="726" t="s">
        <v>1994</v>
      </c>
      <c r="E455" s="727">
        <f t="shared" si="35"/>
        <v>80000</v>
      </c>
      <c r="F455" s="728">
        <v>0</v>
      </c>
      <c r="G455" s="728"/>
      <c r="H455" s="728">
        <v>0</v>
      </c>
      <c r="I455" s="728"/>
      <c r="J455" s="728">
        <v>0</v>
      </c>
      <c r="K455" s="728"/>
      <c r="L455" s="728">
        <v>0</v>
      </c>
      <c r="M455" s="728"/>
      <c r="N455" s="728">
        <v>0</v>
      </c>
      <c r="O455" s="728"/>
      <c r="P455" s="728">
        <v>0</v>
      </c>
      <c r="Q455" s="728"/>
      <c r="R455" s="728"/>
      <c r="S455" s="728"/>
      <c r="T455" s="728"/>
      <c r="U455" s="728"/>
      <c r="V455" s="728"/>
      <c r="W455" s="728"/>
      <c r="X455" s="728"/>
      <c r="Y455" s="728"/>
      <c r="Z455" s="728"/>
      <c r="AA455" s="728"/>
      <c r="AB455" s="728"/>
      <c r="AC455" s="728"/>
      <c r="AD455" s="728"/>
      <c r="AE455" s="728"/>
      <c r="AF455" s="729"/>
      <c r="AG455" s="728"/>
      <c r="AH455" s="728"/>
      <c r="AI455" s="728"/>
      <c r="AJ455" s="728"/>
      <c r="AK455" s="728"/>
      <c r="AL455" s="728"/>
      <c r="AM455" s="728"/>
      <c r="AN455" s="728"/>
      <c r="AO455" s="728"/>
      <c r="AP455" s="728">
        <v>40000</v>
      </c>
      <c r="AQ455" s="728"/>
      <c r="AR455" s="728">
        <v>40000</v>
      </c>
      <c r="AS455" s="728"/>
      <c r="AT455" s="769">
        <f t="shared" si="37"/>
        <v>0</v>
      </c>
      <c r="AU455" s="729"/>
      <c r="AV455" s="769">
        <f t="shared" si="38"/>
        <v>0</v>
      </c>
      <c r="AW455" s="725">
        <f t="shared" si="36"/>
        <v>0</v>
      </c>
      <c r="AY455" s="647"/>
    </row>
    <row r="456" spans="1:51" s="725" customFormat="1" hidden="1">
      <c r="A456" s="715">
        <f t="shared" si="39"/>
        <v>452</v>
      </c>
      <c r="B456" s="724"/>
      <c r="C456" s="730" t="s">
        <v>1965</v>
      </c>
      <c r="D456" s="731" t="s">
        <v>1995</v>
      </c>
      <c r="E456" s="727">
        <f t="shared" si="35"/>
        <v>80000</v>
      </c>
      <c r="F456" s="728">
        <v>0</v>
      </c>
      <c r="G456" s="728"/>
      <c r="H456" s="728">
        <v>0</v>
      </c>
      <c r="I456" s="728"/>
      <c r="J456" s="728">
        <v>0</v>
      </c>
      <c r="K456" s="728"/>
      <c r="L456" s="728">
        <v>0</v>
      </c>
      <c r="M456" s="728"/>
      <c r="N456" s="728">
        <v>0</v>
      </c>
      <c r="O456" s="728"/>
      <c r="P456" s="728">
        <v>0</v>
      </c>
      <c r="Q456" s="728"/>
      <c r="R456" s="728"/>
      <c r="S456" s="728"/>
      <c r="T456" s="728"/>
      <c r="U456" s="728"/>
      <c r="V456" s="728"/>
      <c r="W456" s="728"/>
      <c r="X456" s="728"/>
      <c r="Y456" s="728"/>
      <c r="Z456" s="728"/>
      <c r="AA456" s="728"/>
      <c r="AB456" s="728"/>
      <c r="AC456" s="728"/>
      <c r="AD456" s="728"/>
      <c r="AE456" s="728"/>
      <c r="AF456" s="729"/>
      <c r="AG456" s="728"/>
      <c r="AH456" s="728"/>
      <c r="AI456" s="728"/>
      <c r="AJ456" s="728"/>
      <c r="AK456" s="728"/>
      <c r="AL456" s="728"/>
      <c r="AM456" s="728"/>
      <c r="AN456" s="728"/>
      <c r="AO456" s="728"/>
      <c r="AP456" s="728">
        <v>40000</v>
      </c>
      <c r="AQ456" s="728"/>
      <c r="AR456" s="728">
        <v>40000</v>
      </c>
      <c r="AS456" s="728"/>
      <c r="AT456" s="769">
        <f t="shared" si="37"/>
        <v>0</v>
      </c>
      <c r="AU456" s="729"/>
      <c r="AV456" s="769">
        <f t="shared" si="38"/>
        <v>0</v>
      </c>
      <c r="AW456" s="725">
        <f t="shared" si="36"/>
        <v>0</v>
      </c>
      <c r="AY456" s="647"/>
    </row>
    <row r="457" spans="1:51" s="725" customFormat="1" hidden="1">
      <c r="A457" s="715">
        <f t="shared" si="39"/>
        <v>453</v>
      </c>
      <c r="B457" s="724"/>
      <c r="C457" s="730" t="s">
        <v>1966</v>
      </c>
      <c r="D457" s="726" t="s">
        <v>1996</v>
      </c>
      <c r="E457" s="727">
        <f t="shared" si="35"/>
        <v>80000</v>
      </c>
      <c r="F457" s="728">
        <v>0</v>
      </c>
      <c r="G457" s="728"/>
      <c r="H457" s="728">
        <v>0</v>
      </c>
      <c r="I457" s="728"/>
      <c r="J457" s="728">
        <v>0</v>
      </c>
      <c r="K457" s="728"/>
      <c r="L457" s="728">
        <v>0</v>
      </c>
      <c r="M457" s="728"/>
      <c r="N457" s="728">
        <v>0</v>
      </c>
      <c r="O457" s="728"/>
      <c r="P457" s="728">
        <v>0</v>
      </c>
      <c r="Q457" s="728"/>
      <c r="R457" s="728"/>
      <c r="S457" s="728"/>
      <c r="T457" s="728"/>
      <c r="U457" s="728"/>
      <c r="V457" s="728"/>
      <c r="W457" s="728"/>
      <c r="X457" s="728"/>
      <c r="Y457" s="728"/>
      <c r="Z457" s="728"/>
      <c r="AA457" s="728"/>
      <c r="AB457" s="728"/>
      <c r="AC457" s="728"/>
      <c r="AD457" s="728"/>
      <c r="AE457" s="728"/>
      <c r="AF457" s="729"/>
      <c r="AG457" s="728"/>
      <c r="AH457" s="728"/>
      <c r="AI457" s="728"/>
      <c r="AJ457" s="728"/>
      <c r="AK457" s="728"/>
      <c r="AL457" s="728"/>
      <c r="AM457" s="728"/>
      <c r="AN457" s="728"/>
      <c r="AO457" s="728"/>
      <c r="AP457" s="728">
        <v>40000</v>
      </c>
      <c r="AQ457" s="728"/>
      <c r="AR457" s="728">
        <v>40000</v>
      </c>
      <c r="AS457" s="728"/>
      <c r="AT457" s="769">
        <f t="shared" si="37"/>
        <v>0</v>
      </c>
      <c r="AU457" s="729"/>
      <c r="AV457" s="769">
        <f t="shared" si="38"/>
        <v>0</v>
      </c>
      <c r="AW457" s="725">
        <f t="shared" si="36"/>
        <v>0</v>
      </c>
      <c r="AY457" s="647"/>
    </row>
    <row r="458" spans="1:51" s="725" customFormat="1" hidden="1">
      <c r="A458" s="715">
        <f t="shared" si="39"/>
        <v>454</v>
      </c>
      <c r="B458" s="724"/>
      <c r="C458" s="730" t="s">
        <v>1967</v>
      </c>
      <c r="D458" s="726" t="s">
        <v>1997</v>
      </c>
      <c r="E458" s="727">
        <f t="shared" si="35"/>
        <v>80000</v>
      </c>
      <c r="F458" s="728">
        <v>0</v>
      </c>
      <c r="G458" s="728"/>
      <c r="H458" s="728">
        <v>0</v>
      </c>
      <c r="I458" s="728"/>
      <c r="J458" s="728">
        <v>0</v>
      </c>
      <c r="K458" s="728"/>
      <c r="L458" s="728">
        <v>0</v>
      </c>
      <c r="M458" s="728"/>
      <c r="N458" s="728">
        <v>0</v>
      </c>
      <c r="O458" s="728"/>
      <c r="P458" s="728">
        <v>0</v>
      </c>
      <c r="Q458" s="728"/>
      <c r="R458" s="728"/>
      <c r="S458" s="728"/>
      <c r="T458" s="728"/>
      <c r="U458" s="728"/>
      <c r="V458" s="728"/>
      <c r="W458" s="728"/>
      <c r="X458" s="728"/>
      <c r="Y458" s="728"/>
      <c r="Z458" s="728"/>
      <c r="AA458" s="728"/>
      <c r="AB458" s="728"/>
      <c r="AC458" s="728"/>
      <c r="AD458" s="728"/>
      <c r="AE458" s="728"/>
      <c r="AF458" s="729"/>
      <c r="AG458" s="728"/>
      <c r="AH458" s="728"/>
      <c r="AI458" s="728"/>
      <c r="AJ458" s="728"/>
      <c r="AK458" s="728"/>
      <c r="AL458" s="728"/>
      <c r="AM458" s="728"/>
      <c r="AN458" s="728"/>
      <c r="AO458" s="728"/>
      <c r="AP458" s="728">
        <v>40000</v>
      </c>
      <c r="AQ458" s="728"/>
      <c r="AR458" s="728">
        <v>40000</v>
      </c>
      <c r="AS458" s="728"/>
      <c r="AT458" s="769">
        <f t="shared" si="37"/>
        <v>0</v>
      </c>
      <c r="AU458" s="729"/>
      <c r="AV458" s="769">
        <f t="shared" si="38"/>
        <v>0</v>
      </c>
      <c r="AW458" s="725">
        <f t="shared" si="36"/>
        <v>0</v>
      </c>
      <c r="AY458" s="647"/>
    </row>
    <row r="459" spans="1:51" s="725" customFormat="1" hidden="1">
      <c r="A459" s="715">
        <f t="shared" si="39"/>
        <v>455</v>
      </c>
      <c r="B459" s="724"/>
      <c r="C459" s="730" t="s">
        <v>1968</v>
      </c>
      <c r="D459" s="726" t="s">
        <v>2014</v>
      </c>
      <c r="E459" s="727">
        <f t="shared" si="35"/>
        <v>80000</v>
      </c>
      <c r="F459" s="728">
        <v>0</v>
      </c>
      <c r="G459" s="728"/>
      <c r="H459" s="728">
        <v>0</v>
      </c>
      <c r="I459" s="728"/>
      <c r="J459" s="728">
        <v>0</v>
      </c>
      <c r="K459" s="728"/>
      <c r="L459" s="728">
        <v>0</v>
      </c>
      <c r="M459" s="728"/>
      <c r="N459" s="728">
        <v>0</v>
      </c>
      <c r="O459" s="728"/>
      <c r="P459" s="728">
        <v>0</v>
      </c>
      <c r="Q459" s="728"/>
      <c r="R459" s="728"/>
      <c r="S459" s="728"/>
      <c r="T459" s="728"/>
      <c r="U459" s="728"/>
      <c r="V459" s="728"/>
      <c r="W459" s="728"/>
      <c r="X459" s="728"/>
      <c r="Y459" s="728"/>
      <c r="Z459" s="728"/>
      <c r="AA459" s="728"/>
      <c r="AB459" s="728"/>
      <c r="AC459" s="728"/>
      <c r="AD459" s="728"/>
      <c r="AE459" s="728"/>
      <c r="AF459" s="729"/>
      <c r="AG459" s="728"/>
      <c r="AH459" s="728"/>
      <c r="AI459" s="728"/>
      <c r="AJ459" s="728"/>
      <c r="AK459" s="728"/>
      <c r="AL459" s="728"/>
      <c r="AM459" s="728"/>
      <c r="AN459" s="728"/>
      <c r="AO459" s="728"/>
      <c r="AP459" s="728">
        <v>40000</v>
      </c>
      <c r="AQ459" s="728"/>
      <c r="AR459" s="728">
        <v>40000</v>
      </c>
      <c r="AS459" s="728"/>
      <c r="AT459" s="769">
        <f t="shared" si="37"/>
        <v>0</v>
      </c>
      <c r="AU459" s="729"/>
      <c r="AV459" s="769">
        <f t="shared" si="38"/>
        <v>0</v>
      </c>
      <c r="AW459" s="725">
        <f t="shared" si="36"/>
        <v>0</v>
      </c>
      <c r="AY459" s="647"/>
    </row>
    <row r="460" spans="1:51" s="725" customFormat="1" hidden="1">
      <c r="A460" s="715">
        <f t="shared" si="39"/>
        <v>456</v>
      </c>
      <c r="B460" s="724"/>
      <c r="C460" s="730" t="s">
        <v>1969</v>
      </c>
      <c r="D460" s="726" t="s">
        <v>1998</v>
      </c>
      <c r="E460" s="727">
        <f t="shared" si="35"/>
        <v>80000</v>
      </c>
      <c r="F460" s="728">
        <v>0</v>
      </c>
      <c r="G460" s="728"/>
      <c r="H460" s="728">
        <v>0</v>
      </c>
      <c r="I460" s="728"/>
      <c r="J460" s="728">
        <v>0</v>
      </c>
      <c r="K460" s="728"/>
      <c r="L460" s="728">
        <v>0</v>
      </c>
      <c r="M460" s="728"/>
      <c r="N460" s="728">
        <v>0</v>
      </c>
      <c r="O460" s="728"/>
      <c r="P460" s="728">
        <v>0</v>
      </c>
      <c r="Q460" s="728"/>
      <c r="R460" s="728"/>
      <c r="S460" s="728"/>
      <c r="T460" s="728"/>
      <c r="U460" s="728"/>
      <c r="V460" s="728"/>
      <c r="W460" s="728"/>
      <c r="X460" s="728"/>
      <c r="Y460" s="728"/>
      <c r="Z460" s="728"/>
      <c r="AA460" s="728"/>
      <c r="AB460" s="728"/>
      <c r="AC460" s="728"/>
      <c r="AD460" s="728"/>
      <c r="AE460" s="728"/>
      <c r="AF460" s="729"/>
      <c r="AG460" s="728"/>
      <c r="AH460" s="728"/>
      <c r="AI460" s="728"/>
      <c r="AJ460" s="728"/>
      <c r="AK460" s="728"/>
      <c r="AL460" s="728"/>
      <c r="AM460" s="728"/>
      <c r="AN460" s="728"/>
      <c r="AO460" s="728"/>
      <c r="AP460" s="728">
        <v>40000</v>
      </c>
      <c r="AQ460" s="728"/>
      <c r="AR460" s="728">
        <v>40000</v>
      </c>
      <c r="AS460" s="728"/>
      <c r="AT460" s="769">
        <f t="shared" si="37"/>
        <v>0</v>
      </c>
      <c r="AU460" s="729"/>
      <c r="AV460" s="769">
        <f t="shared" si="38"/>
        <v>0</v>
      </c>
      <c r="AW460" s="725">
        <f t="shared" si="36"/>
        <v>0</v>
      </c>
      <c r="AY460" s="647"/>
    </row>
    <row r="461" spans="1:51" s="725" customFormat="1" hidden="1">
      <c r="A461" s="715">
        <f t="shared" si="39"/>
        <v>457</v>
      </c>
      <c r="B461" s="724"/>
      <c r="C461" s="730" t="s">
        <v>1970</v>
      </c>
      <c r="D461" s="726" t="s">
        <v>1999</v>
      </c>
      <c r="E461" s="727">
        <f t="shared" si="35"/>
        <v>80000</v>
      </c>
      <c r="F461" s="728">
        <v>0</v>
      </c>
      <c r="G461" s="728"/>
      <c r="H461" s="728">
        <v>0</v>
      </c>
      <c r="I461" s="728"/>
      <c r="J461" s="728">
        <v>0</v>
      </c>
      <c r="K461" s="728"/>
      <c r="L461" s="728">
        <v>0</v>
      </c>
      <c r="M461" s="728"/>
      <c r="N461" s="728">
        <v>0</v>
      </c>
      <c r="O461" s="728"/>
      <c r="P461" s="728">
        <v>0</v>
      </c>
      <c r="Q461" s="728"/>
      <c r="R461" s="728"/>
      <c r="S461" s="728"/>
      <c r="T461" s="728"/>
      <c r="U461" s="728"/>
      <c r="V461" s="728"/>
      <c r="W461" s="728"/>
      <c r="X461" s="728"/>
      <c r="Y461" s="728"/>
      <c r="Z461" s="728"/>
      <c r="AA461" s="728"/>
      <c r="AB461" s="728"/>
      <c r="AC461" s="728"/>
      <c r="AD461" s="728"/>
      <c r="AE461" s="728"/>
      <c r="AF461" s="729"/>
      <c r="AG461" s="728"/>
      <c r="AH461" s="728"/>
      <c r="AI461" s="728"/>
      <c r="AJ461" s="728"/>
      <c r="AK461" s="728"/>
      <c r="AL461" s="728"/>
      <c r="AM461" s="728"/>
      <c r="AN461" s="728"/>
      <c r="AO461" s="728"/>
      <c r="AP461" s="728">
        <v>40000</v>
      </c>
      <c r="AQ461" s="728"/>
      <c r="AR461" s="728">
        <v>40000</v>
      </c>
      <c r="AS461" s="728"/>
      <c r="AT461" s="769">
        <f t="shared" si="37"/>
        <v>0</v>
      </c>
      <c r="AU461" s="729"/>
      <c r="AV461" s="769">
        <f t="shared" si="38"/>
        <v>0</v>
      </c>
      <c r="AW461" s="725">
        <f t="shared" si="36"/>
        <v>0</v>
      </c>
      <c r="AY461" s="647"/>
    </row>
    <row r="462" spans="1:51" s="725" customFormat="1" hidden="1">
      <c r="A462" s="715">
        <f t="shared" si="39"/>
        <v>458</v>
      </c>
      <c r="B462" s="724"/>
      <c r="C462" s="730" t="s">
        <v>1971</v>
      </c>
      <c r="D462" s="726" t="s">
        <v>2000</v>
      </c>
      <c r="E462" s="727">
        <f t="shared" si="35"/>
        <v>80000</v>
      </c>
      <c r="F462" s="728">
        <v>0</v>
      </c>
      <c r="G462" s="728"/>
      <c r="H462" s="728">
        <v>0</v>
      </c>
      <c r="I462" s="728"/>
      <c r="J462" s="728">
        <v>0</v>
      </c>
      <c r="K462" s="728"/>
      <c r="L462" s="728">
        <v>0</v>
      </c>
      <c r="M462" s="728"/>
      <c r="N462" s="728">
        <v>0</v>
      </c>
      <c r="O462" s="728"/>
      <c r="P462" s="728">
        <v>0</v>
      </c>
      <c r="Q462" s="728"/>
      <c r="R462" s="728"/>
      <c r="S462" s="728"/>
      <c r="T462" s="728"/>
      <c r="U462" s="728"/>
      <c r="V462" s="728"/>
      <c r="W462" s="728"/>
      <c r="X462" s="728"/>
      <c r="Y462" s="728"/>
      <c r="Z462" s="728"/>
      <c r="AA462" s="728"/>
      <c r="AB462" s="728"/>
      <c r="AC462" s="728"/>
      <c r="AD462" s="728"/>
      <c r="AE462" s="728"/>
      <c r="AF462" s="729"/>
      <c r="AG462" s="728"/>
      <c r="AH462" s="728"/>
      <c r="AI462" s="728"/>
      <c r="AJ462" s="728"/>
      <c r="AK462" s="728"/>
      <c r="AL462" s="728"/>
      <c r="AM462" s="728"/>
      <c r="AN462" s="728"/>
      <c r="AO462" s="728"/>
      <c r="AP462" s="728">
        <v>40000</v>
      </c>
      <c r="AQ462" s="728"/>
      <c r="AR462" s="728">
        <v>40000</v>
      </c>
      <c r="AS462" s="728"/>
      <c r="AT462" s="769">
        <f t="shared" si="37"/>
        <v>0</v>
      </c>
      <c r="AU462" s="729"/>
      <c r="AV462" s="769">
        <f t="shared" si="38"/>
        <v>0</v>
      </c>
      <c r="AW462" s="725">
        <f t="shared" si="36"/>
        <v>0</v>
      </c>
      <c r="AY462" s="647"/>
    </row>
    <row r="463" spans="1:51" s="725" customFormat="1" hidden="1">
      <c r="A463" s="715">
        <f t="shared" si="39"/>
        <v>459</v>
      </c>
      <c r="B463" s="724"/>
      <c r="C463" s="730" t="s">
        <v>1972</v>
      </c>
      <c r="D463" s="726" t="s">
        <v>2001</v>
      </c>
      <c r="E463" s="727">
        <f t="shared" si="35"/>
        <v>80000</v>
      </c>
      <c r="F463" s="728">
        <v>0</v>
      </c>
      <c r="G463" s="728"/>
      <c r="H463" s="728">
        <v>0</v>
      </c>
      <c r="I463" s="728"/>
      <c r="J463" s="728">
        <v>0</v>
      </c>
      <c r="K463" s="728"/>
      <c r="L463" s="728">
        <v>0</v>
      </c>
      <c r="M463" s="728"/>
      <c r="N463" s="728">
        <v>0</v>
      </c>
      <c r="O463" s="728"/>
      <c r="P463" s="728">
        <v>0</v>
      </c>
      <c r="Q463" s="728"/>
      <c r="R463" s="728"/>
      <c r="S463" s="728"/>
      <c r="T463" s="728"/>
      <c r="U463" s="728"/>
      <c r="V463" s="728"/>
      <c r="W463" s="728"/>
      <c r="X463" s="728"/>
      <c r="Y463" s="728"/>
      <c r="Z463" s="728"/>
      <c r="AA463" s="728"/>
      <c r="AB463" s="728"/>
      <c r="AC463" s="728"/>
      <c r="AD463" s="728"/>
      <c r="AE463" s="728"/>
      <c r="AF463" s="729"/>
      <c r="AG463" s="728"/>
      <c r="AH463" s="728"/>
      <c r="AI463" s="728"/>
      <c r="AJ463" s="728"/>
      <c r="AK463" s="728"/>
      <c r="AL463" s="728"/>
      <c r="AM463" s="728"/>
      <c r="AN463" s="728"/>
      <c r="AO463" s="728"/>
      <c r="AP463" s="728">
        <v>40000</v>
      </c>
      <c r="AQ463" s="728"/>
      <c r="AR463" s="728">
        <v>40000</v>
      </c>
      <c r="AS463" s="728"/>
      <c r="AT463" s="769">
        <f t="shared" si="37"/>
        <v>0</v>
      </c>
      <c r="AU463" s="729"/>
      <c r="AV463" s="769">
        <f t="shared" si="38"/>
        <v>0</v>
      </c>
      <c r="AW463" s="725">
        <f t="shared" si="36"/>
        <v>0</v>
      </c>
      <c r="AY463" s="647"/>
    </row>
    <row r="464" spans="1:51" hidden="1">
      <c r="A464" s="715">
        <f t="shared" si="39"/>
        <v>460</v>
      </c>
      <c r="B464" s="718"/>
      <c r="C464" s="719" t="s">
        <v>2002</v>
      </c>
      <c r="D464" s="663" t="s">
        <v>2005</v>
      </c>
      <c r="E464" s="714">
        <f t="shared" si="35"/>
        <v>40000</v>
      </c>
      <c r="F464" s="679">
        <v>0</v>
      </c>
      <c r="G464" s="679"/>
      <c r="H464" s="679">
        <v>0</v>
      </c>
      <c r="I464" s="679"/>
      <c r="J464" s="679">
        <v>0</v>
      </c>
      <c r="K464" s="679"/>
      <c r="L464" s="679">
        <v>0</v>
      </c>
      <c r="M464" s="679"/>
      <c r="N464" s="679">
        <v>0</v>
      </c>
      <c r="O464" s="679"/>
      <c r="P464" s="679">
        <v>0</v>
      </c>
      <c r="Q464" s="679"/>
      <c r="R464" s="679"/>
      <c r="S464" s="679"/>
      <c r="T464" s="679"/>
      <c r="U464" s="679"/>
      <c r="V464" s="679"/>
      <c r="W464" s="679"/>
      <c r="X464" s="679"/>
      <c r="Y464" s="679"/>
      <c r="Z464" s="679"/>
      <c r="AA464" s="679"/>
      <c r="AB464" s="679"/>
      <c r="AC464" s="679"/>
      <c r="AD464" s="679"/>
      <c r="AE464" s="679"/>
      <c r="AF464" s="677"/>
      <c r="AG464" s="679"/>
      <c r="AH464" s="679"/>
      <c r="AI464" s="679"/>
      <c r="AJ464" s="679"/>
      <c r="AK464" s="679"/>
      <c r="AL464" s="679"/>
      <c r="AM464" s="679"/>
      <c r="AN464" s="679"/>
      <c r="AO464" s="679"/>
      <c r="AP464" s="679">
        <v>0</v>
      </c>
      <c r="AQ464" s="679"/>
      <c r="AR464" s="679">
        <v>40000</v>
      </c>
      <c r="AS464" s="679"/>
      <c r="AT464" s="769">
        <f t="shared" si="37"/>
        <v>0</v>
      </c>
      <c r="AU464" s="677"/>
      <c r="AV464" s="769">
        <f t="shared" si="38"/>
        <v>0</v>
      </c>
      <c r="AW464" s="696">
        <f t="shared" si="36"/>
        <v>0</v>
      </c>
      <c r="AY464" s="647"/>
    </row>
    <row r="465" spans="1:51" hidden="1">
      <c r="A465" s="715">
        <f t="shared" si="39"/>
        <v>461</v>
      </c>
      <c r="B465" s="718"/>
      <c r="C465" s="719" t="s">
        <v>2003</v>
      </c>
      <c r="D465" s="663" t="s">
        <v>2006</v>
      </c>
      <c r="E465" s="714">
        <f t="shared" si="35"/>
        <v>40000</v>
      </c>
      <c r="F465" s="679">
        <v>0</v>
      </c>
      <c r="G465" s="679"/>
      <c r="H465" s="679">
        <v>0</v>
      </c>
      <c r="I465" s="679"/>
      <c r="J465" s="679">
        <v>0</v>
      </c>
      <c r="K465" s="679"/>
      <c r="L465" s="679">
        <v>0</v>
      </c>
      <c r="M465" s="679"/>
      <c r="N465" s="679">
        <v>0</v>
      </c>
      <c r="O465" s="679"/>
      <c r="P465" s="679">
        <v>0</v>
      </c>
      <c r="Q465" s="679"/>
      <c r="R465" s="679"/>
      <c r="S465" s="679"/>
      <c r="T465" s="679"/>
      <c r="U465" s="679"/>
      <c r="V465" s="679"/>
      <c r="W465" s="679"/>
      <c r="X465" s="679"/>
      <c r="Y465" s="679"/>
      <c r="Z465" s="679"/>
      <c r="AA465" s="679"/>
      <c r="AB465" s="679"/>
      <c r="AC465" s="679"/>
      <c r="AD465" s="679"/>
      <c r="AE465" s="679"/>
      <c r="AF465" s="677"/>
      <c r="AG465" s="679"/>
      <c r="AH465" s="679"/>
      <c r="AI465" s="679"/>
      <c r="AJ465" s="679"/>
      <c r="AK465" s="679"/>
      <c r="AL465" s="679"/>
      <c r="AM465" s="679"/>
      <c r="AN465" s="679"/>
      <c r="AO465" s="679"/>
      <c r="AP465" s="679">
        <v>0</v>
      </c>
      <c r="AQ465" s="679"/>
      <c r="AR465" s="679">
        <v>40000</v>
      </c>
      <c r="AS465" s="679"/>
      <c r="AT465" s="769">
        <f t="shared" si="37"/>
        <v>0</v>
      </c>
      <c r="AU465" s="677"/>
      <c r="AV465" s="769">
        <f t="shared" si="38"/>
        <v>0</v>
      </c>
      <c r="AW465" s="696">
        <f t="shared" si="36"/>
        <v>0</v>
      </c>
      <c r="AY465" s="647"/>
    </row>
    <row r="466" spans="1:51" hidden="1">
      <c r="A466" s="715">
        <f t="shared" si="39"/>
        <v>462</v>
      </c>
      <c r="B466" s="718"/>
      <c r="C466" s="719" t="s">
        <v>2004</v>
      </c>
      <c r="D466" s="663" t="s">
        <v>2007</v>
      </c>
      <c r="E466" s="714">
        <f t="shared" si="35"/>
        <v>130000</v>
      </c>
      <c r="F466" s="679">
        <v>0</v>
      </c>
      <c r="G466" s="679"/>
      <c r="H466" s="679">
        <v>0</v>
      </c>
      <c r="I466" s="679"/>
      <c r="J466" s="679">
        <v>0</v>
      </c>
      <c r="K466" s="679"/>
      <c r="L466" s="679">
        <v>0</v>
      </c>
      <c r="M466" s="679"/>
      <c r="N466" s="679">
        <v>0</v>
      </c>
      <c r="O466" s="679"/>
      <c r="P466" s="679">
        <v>0</v>
      </c>
      <c r="Q466" s="679"/>
      <c r="R466" s="679"/>
      <c r="S466" s="679"/>
      <c r="T466" s="679"/>
      <c r="U466" s="679"/>
      <c r="V466" s="679"/>
      <c r="W466" s="679"/>
      <c r="X466" s="679"/>
      <c r="Y466" s="679"/>
      <c r="Z466" s="679"/>
      <c r="AA466" s="679"/>
      <c r="AB466" s="679"/>
      <c r="AC466" s="679"/>
      <c r="AD466" s="679"/>
      <c r="AE466" s="679"/>
      <c r="AF466" s="722">
        <v>0</v>
      </c>
      <c r="AG466" s="751">
        <v>50000</v>
      </c>
      <c r="AH466" s="679"/>
      <c r="AI466" s="679"/>
      <c r="AJ466" s="679"/>
      <c r="AK466" s="679"/>
      <c r="AL466" s="679"/>
      <c r="AM466" s="679"/>
      <c r="AN466" s="679"/>
      <c r="AO466" s="679"/>
      <c r="AP466" s="723">
        <v>0</v>
      </c>
      <c r="AQ466" s="751">
        <v>40000</v>
      </c>
      <c r="AR466" s="679">
        <v>40000</v>
      </c>
      <c r="AS466" s="679"/>
      <c r="AT466" s="769">
        <f t="shared" si="37"/>
        <v>90000</v>
      </c>
      <c r="AU466" s="677"/>
      <c r="AV466" s="769">
        <f t="shared" si="38"/>
        <v>0</v>
      </c>
      <c r="AW466" s="696">
        <f t="shared" si="36"/>
        <v>90000</v>
      </c>
      <c r="AY466" s="647"/>
    </row>
    <row r="467" spans="1:51" hidden="1">
      <c r="A467" s="677"/>
      <c r="B467" s="677"/>
      <c r="C467" s="720"/>
      <c r="D467" s="677" t="s">
        <v>1049</v>
      </c>
      <c r="E467" s="677">
        <f t="shared" ref="E467:AU467" si="40">SUM(E5:E466)</f>
        <v>240180000</v>
      </c>
      <c r="F467" s="677">
        <f t="shared" si="40"/>
        <v>11850000</v>
      </c>
      <c r="G467" s="677">
        <f t="shared" si="40"/>
        <v>250000</v>
      </c>
      <c r="H467" s="677">
        <f t="shared" si="40"/>
        <v>12150000</v>
      </c>
      <c r="I467" s="677">
        <f t="shared" si="40"/>
        <v>900000</v>
      </c>
      <c r="J467" s="677">
        <f t="shared" si="40"/>
        <v>11700000</v>
      </c>
      <c r="K467" s="677">
        <f t="shared" si="40"/>
        <v>800000</v>
      </c>
      <c r="L467" s="677">
        <f t="shared" si="40"/>
        <v>11650000</v>
      </c>
      <c r="M467" s="677">
        <f t="shared" si="40"/>
        <v>700000</v>
      </c>
      <c r="N467" s="677">
        <f t="shared" si="40"/>
        <v>11500000</v>
      </c>
      <c r="O467" s="677">
        <f t="shared" si="40"/>
        <v>1300000</v>
      </c>
      <c r="P467" s="677">
        <f t="shared" si="40"/>
        <v>16650000</v>
      </c>
      <c r="Q467" s="677">
        <f t="shared" si="40"/>
        <v>450000</v>
      </c>
      <c r="R467" s="677">
        <f t="shared" si="40"/>
        <v>16900000</v>
      </c>
      <c r="S467" s="677">
        <f t="shared" si="40"/>
        <v>600000</v>
      </c>
      <c r="T467" s="677">
        <f t="shared" si="40"/>
        <v>14850000</v>
      </c>
      <c r="U467" s="677">
        <f t="shared" si="40"/>
        <v>700000</v>
      </c>
      <c r="V467" s="677">
        <f t="shared" si="40"/>
        <v>7500000</v>
      </c>
      <c r="W467" s="677">
        <f t="shared" si="40"/>
        <v>4400000</v>
      </c>
      <c r="X467" s="677">
        <f t="shared" si="40"/>
        <v>7800000</v>
      </c>
      <c r="Y467" s="677">
        <f t="shared" si="40"/>
        <v>3950000</v>
      </c>
      <c r="Z467" s="677">
        <f t="shared" si="40"/>
        <v>10350000</v>
      </c>
      <c r="AA467" s="677">
        <f t="shared" si="40"/>
        <v>3350000</v>
      </c>
      <c r="AB467" s="677">
        <f t="shared" si="40"/>
        <v>8850000</v>
      </c>
      <c r="AC467" s="677">
        <f t="shared" si="40"/>
        <v>3450000</v>
      </c>
      <c r="AD467" s="677">
        <f t="shared" si="40"/>
        <v>15200000</v>
      </c>
      <c r="AE467" s="677">
        <f t="shared" si="40"/>
        <v>4900000</v>
      </c>
      <c r="AF467" s="677">
        <f t="shared" si="40"/>
        <v>4400000</v>
      </c>
      <c r="AG467" s="677">
        <f t="shared" si="40"/>
        <v>4750000</v>
      </c>
      <c r="AH467" s="677">
        <f t="shared" si="40"/>
        <v>0</v>
      </c>
      <c r="AI467" s="677">
        <f t="shared" si="40"/>
        <v>5450000</v>
      </c>
      <c r="AJ467" s="677">
        <f t="shared" si="40"/>
        <v>1600000</v>
      </c>
      <c r="AK467" s="677">
        <f t="shared" si="40"/>
        <v>6900000</v>
      </c>
      <c r="AL467" s="677">
        <f t="shared" si="40"/>
        <v>5560000</v>
      </c>
      <c r="AM467" s="677">
        <f t="shared" si="40"/>
        <v>3300000</v>
      </c>
      <c r="AN467" s="677">
        <f t="shared" si="40"/>
        <v>5600000</v>
      </c>
      <c r="AO467" s="677">
        <f t="shared" si="40"/>
        <v>3700000</v>
      </c>
      <c r="AP467" s="677">
        <f t="shared" si="40"/>
        <v>7280000</v>
      </c>
      <c r="AQ467" s="677">
        <f t="shared" si="40"/>
        <v>1620000</v>
      </c>
      <c r="AR467" s="677">
        <f t="shared" si="40"/>
        <v>7320000</v>
      </c>
      <c r="AS467" s="677">
        <f t="shared" si="40"/>
        <v>3220000</v>
      </c>
      <c r="AT467" s="677">
        <f t="shared" si="40"/>
        <v>54690000</v>
      </c>
      <c r="AU467" s="677">
        <f t="shared" si="40"/>
        <v>108920000</v>
      </c>
      <c r="AV467" s="677">
        <f>+AS467+AQ467+AO467+AM467+AK467+AI467+AG467+AE467+AC467+AA467+Y467+W467+U467+S467+Q467+O467+M467+K467++I467+G467</f>
        <v>54690000</v>
      </c>
      <c r="AY467" s="647"/>
    </row>
    <row r="468" spans="1:51" hidden="1">
      <c r="AS468" s="696">
        <f>+AS467/40000</f>
        <v>80.5</v>
      </c>
      <c r="AT468" s="682"/>
      <c r="AY468" s="647"/>
    </row>
    <row r="469" spans="1:51" hidden="1">
      <c r="F469" s="696">
        <f>5*50</f>
        <v>250</v>
      </c>
      <c r="H469" s="696">
        <f>9*50</f>
        <v>450</v>
      </c>
      <c r="J469" s="696">
        <f>16*50</f>
        <v>800</v>
      </c>
      <c r="L469" s="696">
        <f>14*50</f>
        <v>700</v>
      </c>
      <c r="N469" s="696">
        <f>26*50</f>
        <v>1300</v>
      </c>
      <c r="P469" s="696">
        <f>9*50</f>
        <v>450</v>
      </c>
      <c r="R469" s="696">
        <f>12*50</f>
        <v>600</v>
      </c>
      <c r="T469" s="696">
        <f>14*50</f>
        <v>700</v>
      </c>
      <c r="V469" s="696">
        <f>90*50</f>
        <v>4500</v>
      </c>
      <c r="X469" s="696">
        <f>82*50</f>
        <v>4100</v>
      </c>
      <c r="Z469" s="696">
        <f>68*50</f>
        <v>3400</v>
      </c>
      <c r="AB469" s="696">
        <f>69*50</f>
        <v>3450</v>
      </c>
      <c r="AD469" s="696">
        <f>99*50</f>
        <v>4950</v>
      </c>
      <c r="AF469" s="696">
        <f>117*50</f>
        <v>5850</v>
      </c>
      <c r="AH469" s="696">
        <f>202*50</f>
        <v>10100</v>
      </c>
      <c r="AJ469" s="696">
        <f>178*50</f>
        <v>8900</v>
      </c>
      <c r="AL469" s="696">
        <f>81*40</f>
        <v>3240</v>
      </c>
      <c r="AN469" s="696">
        <f>91*50</f>
        <v>4550</v>
      </c>
      <c r="AP469" s="696">
        <f>39*40</f>
        <v>1560</v>
      </c>
      <c r="AR469" s="696">
        <f>80*40</f>
        <v>3200</v>
      </c>
      <c r="AV469" s="683"/>
      <c r="AY469" s="647"/>
    </row>
    <row r="470" spans="1:51" hidden="1">
      <c r="AV470" s="683"/>
      <c r="AY470" s="647"/>
    </row>
    <row r="471" spans="1:51" ht="13.8" hidden="1">
      <c r="D471" s="36" t="s">
        <v>1050</v>
      </c>
      <c r="E471" s="29"/>
      <c r="F471" s="29">
        <f>55*30*3</f>
        <v>4950</v>
      </c>
      <c r="G471" s="29">
        <f>1100*3</f>
        <v>3300</v>
      </c>
      <c r="H471" s="29">
        <f>+G471*25/100</f>
        <v>825</v>
      </c>
      <c r="I471" s="29"/>
      <c r="J471" s="36">
        <f>12000+4000+3000</f>
        <v>19000</v>
      </c>
      <c r="K471" s="36"/>
      <c r="AV471" s="683"/>
      <c r="AY471" s="647"/>
    </row>
    <row r="472" spans="1:51" ht="13.8" hidden="1">
      <c r="D472" s="36" t="s">
        <v>1109</v>
      </c>
      <c r="E472" s="29"/>
      <c r="F472" s="29"/>
      <c r="G472" s="29"/>
      <c r="H472" s="36"/>
      <c r="I472" s="36"/>
      <c r="J472" s="36"/>
      <c r="K472" s="36"/>
      <c r="L472" s="36"/>
      <c r="M472" s="36"/>
      <c r="N472" s="36"/>
      <c r="O472" s="36"/>
      <c r="P472" s="36"/>
      <c r="Q472" s="36"/>
      <c r="R472" s="36"/>
      <c r="S472" s="36"/>
      <c r="T472" s="36" t="str">
        <f>+'2,1.Мол.ёр.22203-1'!F103</f>
        <v>А.Ҳазратқулов</v>
      </c>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V472" s="683"/>
      <c r="AY472" s="647"/>
    </row>
    <row r="473" spans="1:51" ht="13.8" hidden="1">
      <c r="D473" s="36"/>
      <c r="E473" s="29"/>
      <c r="F473" s="29"/>
      <c r="G473" s="29"/>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Y473" s="647"/>
    </row>
    <row r="474" spans="1:51" ht="13.8" hidden="1">
      <c r="D474" s="36" t="str">
        <f>+'2,1.Мол.ёр.22203-1'!B105</f>
        <v>АТ "Халқ банк" Фаргона вилояти</v>
      </c>
      <c r="E474" s="29"/>
      <c r="F474" s="29"/>
      <c r="G474" s="29"/>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Y474" s="647"/>
    </row>
    <row r="475" spans="1:51" ht="13.8" hidden="1">
      <c r="D475" s="36" t="str">
        <f>+'2,1.Мол.ёр.22203-1'!B106</f>
        <v>Бешариқ филиали бошқарувчиси:</v>
      </c>
      <c r="E475" s="29"/>
      <c r="F475" s="29"/>
      <c r="G475" s="29"/>
      <c r="H475" s="36"/>
      <c r="I475" s="36"/>
      <c r="J475" s="36"/>
      <c r="K475" s="36"/>
      <c r="L475" s="36"/>
      <c r="M475" s="36"/>
      <c r="N475" s="36"/>
      <c r="O475" s="36"/>
      <c r="P475" s="36"/>
      <c r="Q475" s="36"/>
      <c r="R475" s="36"/>
      <c r="S475" s="36"/>
      <c r="T475" s="36" t="str">
        <f>+'2,1.Мол.ёр.22203-1'!F106</f>
        <v>_____________</v>
      </c>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f>11880/40</f>
        <v>297</v>
      </c>
      <c r="AS475" s="36"/>
      <c r="AY475" s="647"/>
    </row>
    <row r="476" spans="1:51" ht="13.8" hidden="1">
      <c r="D476" s="36"/>
      <c r="E476" s="29"/>
      <c r="F476" s="29"/>
      <c r="G476" s="29"/>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v>126</v>
      </c>
      <c r="AS476" s="36">
        <f>+AR476*40</f>
        <v>5040</v>
      </c>
      <c r="AY476" s="647"/>
    </row>
    <row r="477" spans="1:51" ht="13.8" hidden="1">
      <c r="D477" s="36" t="str">
        <f>+'2,1.Мол.ёр.22203-1'!B108</f>
        <v>Бош бухгалтери:</v>
      </c>
      <c r="E477" s="29"/>
      <c r="F477" s="29"/>
      <c r="G477" s="29"/>
      <c r="H477" s="36"/>
      <c r="I477" s="36"/>
      <c r="J477" s="36"/>
      <c r="K477" s="36"/>
      <c r="L477" s="36"/>
      <c r="M477" s="36"/>
      <c r="N477" s="36"/>
      <c r="O477" s="36"/>
      <c r="P477" s="36"/>
      <c r="Q477" s="36"/>
      <c r="R477" s="36"/>
      <c r="S477" s="36"/>
      <c r="T477" s="36" t="str">
        <f>+'2,1.Мол.ёр.22203-1'!F108</f>
        <v>_____________</v>
      </c>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v>226</v>
      </c>
      <c r="AS477" s="36">
        <f>+AR477*50</f>
        <v>11300</v>
      </c>
      <c r="AY477" s="647"/>
    </row>
    <row r="478" spans="1:51" ht="13.8" hidden="1">
      <c r="D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Y478" s="647"/>
    </row>
    <row r="479" spans="1:51" hidden="1">
      <c r="AY479" s="647"/>
    </row>
    <row r="480" spans="1:51" hidden="1">
      <c r="AY480" s="647"/>
    </row>
    <row r="481" spans="51:51" hidden="1">
      <c r="AY481" s="647"/>
    </row>
    <row r="482" spans="51:51" hidden="1">
      <c r="AY482" s="647"/>
    </row>
    <row r="483" spans="51:51" hidden="1">
      <c r="AY483" s="647"/>
    </row>
    <row r="484" spans="51:51" hidden="1">
      <c r="AY484" s="647"/>
    </row>
    <row r="485" spans="51:51" hidden="1">
      <c r="AY485" s="647"/>
    </row>
    <row r="486" spans="51:51" hidden="1">
      <c r="AY486" s="647"/>
    </row>
    <row r="487" spans="51:51" hidden="1">
      <c r="AY487" s="647"/>
    </row>
    <row r="488" spans="51:51" hidden="1">
      <c r="AY488" s="647"/>
    </row>
    <row r="489" spans="51:51" hidden="1">
      <c r="AY489" s="647"/>
    </row>
    <row r="490" spans="51:51" hidden="1">
      <c r="AY490" s="647"/>
    </row>
    <row r="491" spans="51:51" hidden="1">
      <c r="AY491" s="647"/>
    </row>
    <row r="492" spans="51:51" hidden="1">
      <c r="AY492" s="647"/>
    </row>
    <row r="493" spans="51:51" hidden="1">
      <c r="AY493" s="647"/>
    </row>
    <row r="494" spans="51:51" hidden="1">
      <c r="AY494" s="647"/>
    </row>
    <row r="495" spans="51:51" hidden="1">
      <c r="AY495" s="647"/>
    </row>
    <row r="496" spans="51:51" hidden="1">
      <c r="AY496" s="647"/>
    </row>
    <row r="497" spans="51:51" hidden="1">
      <c r="AY497" s="647"/>
    </row>
    <row r="498" spans="51:51" hidden="1">
      <c r="AY498" s="647"/>
    </row>
    <row r="499" spans="51:51" hidden="1">
      <c r="AY499" s="647"/>
    </row>
    <row r="500" spans="51:51" hidden="1">
      <c r="AY500" s="647"/>
    </row>
    <row r="501" spans="51:51" hidden="1">
      <c r="AY501" s="647"/>
    </row>
    <row r="502" spans="51:51" hidden="1">
      <c r="AY502" s="647"/>
    </row>
    <row r="503" spans="51:51" hidden="1">
      <c r="AY503" s="647"/>
    </row>
    <row r="504" spans="51:51" hidden="1">
      <c r="AY504" s="647"/>
    </row>
    <row r="505" spans="51:51" hidden="1">
      <c r="AY505" s="647"/>
    </row>
    <row r="506" spans="51:51" hidden="1">
      <c r="AY506" s="647"/>
    </row>
    <row r="507" spans="51:51" hidden="1">
      <c r="AY507" s="647"/>
    </row>
    <row r="508" spans="51:51" hidden="1">
      <c r="AY508" s="647"/>
    </row>
    <row r="509" spans="51:51" hidden="1">
      <c r="AY509" s="647"/>
    </row>
    <row r="510" spans="51:51" hidden="1">
      <c r="AY510" s="647"/>
    </row>
    <row r="511" spans="51:51" hidden="1">
      <c r="AY511" s="647"/>
    </row>
    <row r="512" spans="51:51" hidden="1">
      <c r="AY512" s="647"/>
    </row>
    <row r="513" spans="51:51" hidden="1">
      <c r="AY513" s="647"/>
    </row>
    <row r="514" spans="51:51" hidden="1">
      <c r="AY514" s="647"/>
    </row>
    <row r="515" spans="51:51" hidden="1">
      <c r="AY515" s="647"/>
    </row>
    <row r="516" spans="51:51" hidden="1">
      <c r="AY516" s="647"/>
    </row>
    <row r="517" spans="51:51" hidden="1">
      <c r="AY517" s="647"/>
    </row>
    <row r="518" spans="51:51" hidden="1">
      <c r="AY518" s="647"/>
    </row>
    <row r="519" spans="51:51" hidden="1">
      <c r="AY519" s="647"/>
    </row>
    <row r="520" spans="51:51" hidden="1">
      <c r="AY520" s="647"/>
    </row>
    <row r="521" spans="51:51" hidden="1">
      <c r="AY521" s="647"/>
    </row>
    <row r="522" spans="51:51" hidden="1">
      <c r="AY522" s="647"/>
    </row>
    <row r="523" spans="51:51" hidden="1">
      <c r="AY523" s="647"/>
    </row>
    <row r="524" spans="51:51" hidden="1">
      <c r="AY524" s="647"/>
    </row>
    <row r="525" spans="51:51" hidden="1">
      <c r="AY525" s="647"/>
    </row>
    <row r="526" spans="51:51" hidden="1">
      <c r="AY526" s="647"/>
    </row>
    <row r="527" spans="51:51" hidden="1">
      <c r="AY527" s="647"/>
    </row>
    <row r="528" spans="51:51" hidden="1">
      <c r="AY528" s="647"/>
    </row>
    <row r="529" spans="51:51" hidden="1">
      <c r="AY529" s="647"/>
    </row>
    <row r="530" spans="51:51" hidden="1">
      <c r="AY530" s="647"/>
    </row>
    <row r="531" spans="51:51" hidden="1">
      <c r="AY531" s="647"/>
    </row>
    <row r="532" spans="51:51" hidden="1">
      <c r="AY532" s="647"/>
    </row>
    <row r="533" spans="51:51" hidden="1">
      <c r="AY533" s="647"/>
    </row>
    <row r="534" spans="51:51" hidden="1">
      <c r="AY534" s="647"/>
    </row>
    <row r="535" spans="51:51" hidden="1">
      <c r="AY535" s="647"/>
    </row>
    <row r="536" spans="51:51" hidden="1">
      <c r="AY536" s="647"/>
    </row>
    <row r="537" spans="51:51" hidden="1">
      <c r="AY537" s="647"/>
    </row>
    <row r="538" spans="51:51" hidden="1">
      <c r="AY538" s="647"/>
    </row>
    <row r="539" spans="51:51" hidden="1">
      <c r="AY539" s="647"/>
    </row>
    <row r="540" spans="51:51" hidden="1">
      <c r="AY540" s="647"/>
    </row>
    <row r="541" spans="51:51" hidden="1">
      <c r="AY541" s="647"/>
    </row>
    <row r="542" spans="51:51" hidden="1">
      <c r="AY542" s="647"/>
    </row>
    <row r="543" spans="51:51" hidden="1">
      <c r="AY543" s="647"/>
    </row>
    <row r="544" spans="51:51" hidden="1">
      <c r="AY544" s="647"/>
    </row>
    <row r="545" spans="51:51" hidden="1">
      <c r="AY545" s="647"/>
    </row>
    <row r="546" spans="51:51" hidden="1">
      <c r="AY546" s="647"/>
    </row>
    <row r="547" spans="51:51" hidden="1">
      <c r="AY547" s="647"/>
    </row>
    <row r="548" spans="51:51" hidden="1">
      <c r="AY548" s="647"/>
    </row>
    <row r="549" spans="51:51" hidden="1">
      <c r="AY549" s="647"/>
    </row>
    <row r="550" spans="51:51" hidden="1">
      <c r="AY550" s="647"/>
    </row>
    <row r="551" spans="51:51" hidden="1">
      <c r="AY551" s="647"/>
    </row>
    <row r="552" spans="51:51" hidden="1">
      <c r="AY552" s="647"/>
    </row>
    <row r="553" spans="51:51" hidden="1">
      <c r="AY553" s="647"/>
    </row>
    <row r="554" spans="51:51" hidden="1">
      <c r="AY554" s="647"/>
    </row>
    <row r="555" spans="51:51" hidden="1">
      <c r="AY555" s="647"/>
    </row>
    <row r="556" spans="51:51" hidden="1">
      <c r="AY556" s="647"/>
    </row>
    <row r="557" spans="51:51" hidden="1">
      <c r="AY557" s="647"/>
    </row>
    <row r="558" spans="51:51" hidden="1">
      <c r="AY558" s="647"/>
    </row>
    <row r="559" spans="51:51" hidden="1">
      <c r="AY559" s="647"/>
    </row>
    <row r="560" spans="51:51" hidden="1">
      <c r="AY560" s="647"/>
    </row>
    <row r="561" spans="51:51" hidden="1">
      <c r="AY561" s="647"/>
    </row>
    <row r="562" spans="51:51" hidden="1">
      <c r="AY562" s="647"/>
    </row>
    <row r="563" spans="51:51" hidden="1">
      <c r="AY563" s="647"/>
    </row>
    <row r="564" spans="51:51" hidden="1">
      <c r="AY564" s="647"/>
    </row>
    <row r="565" spans="51:51" hidden="1">
      <c r="AY565" s="647"/>
    </row>
    <row r="566" spans="51:51" hidden="1">
      <c r="AY566" s="647"/>
    </row>
    <row r="567" spans="51:51" hidden="1">
      <c r="AY567" s="647"/>
    </row>
    <row r="568" spans="51:51" hidden="1">
      <c r="AY568" s="647"/>
    </row>
    <row r="569" spans="51:51" hidden="1">
      <c r="AY569" s="647"/>
    </row>
    <row r="570" spans="51:51" hidden="1">
      <c r="AY570" s="647"/>
    </row>
    <row r="571" spans="51:51" hidden="1">
      <c r="AY571" s="647"/>
    </row>
    <row r="572" spans="51:51" hidden="1">
      <c r="AY572" s="647"/>
    </row>
    <row r="573" spans="51:51" hidden="1">
      <c r="AY573" s="647"/>
    </row>
    <row r="574" spans="51:51" hidden="1">
      <c r="AY574" s="647"/>
    </row>
    <row r="575" spans="51:51" hidden="1">
      <c r="AY575" s="647"/>
    </row>
    <row r="576" spans="51:51" hidden="1">
      <c r="AY576" s="647"/>
    </row>
    <row r="577" spans="51:51" hidden="1">
      <c r="AY577" s="647"/>
    </row>
    <row r="578" spans="51:51" hidden="1">
      <c r="AY578" s="647"/>
    </row>
    <row r="579" spans="51:51" hidden="1">
      <c r="AY579" s="647"/>
    </row>
    <row r="580" spans="51:51" hidden="1">
      <c r="AY580" s="647"/>
    </row>
    <row r="581" spans="51:51" hidden="1">
      <c r="AY581" s="647"/>
    </row>
    <row r="582" spans="51:51" hidden="1">
      <c r="AY582" s="647"/>
    </row>
    <row r="583" spans="51:51" hidden="1">
      <c r="AY583" s="647"/>
    </row>
    <row r="584" spans="51:51" hidden="1">
      <c r="AY584" s="647"/>
    </row>
    <row r="585" spans="51:51" hidden="1">
      <c r="AY585" s="647"/>
    </row>
    <row r="586" spans="51:51" hidden="1">
      <c r="AY586" s="647"/>
    </row>
    <row r="587" spans="51:51" hidden="1">
      <c r="AY587" s="647"/>
    </row>
    <row r="588" spans="51:51" hidden="1">
      <c r="AY588" s="647"/>
    </row>
    <row r="589" spans="51:51" hidden="1">
      <c r="AY589" s="647"/>
    </row>
    <row r="590" spans="51:51" hidden="1">
      <c r="AY590" s="647"/>
    </row>
    <row r="591" spans="51:51" hidden="1">
      <c r="AY591" s="647"/>
    </row>
    <row r="592" spans="51:51" hidden="1">
      <c r="AY592" s="647"/>
    </row>
    <row r="593" spans="51:51" hidden="1">
      <c r="AY593" s="647"/>
    </row>
    <row r="594" spans="51:51" hidden="1">
      <c r="AY594" s="647"/>
    </row>
    <row r="595" spans="51:51" hidden="1">
      <c r="AY595" s="647"/>
    </row>
    <row r="596" spans="51:51" hidden="1">
      <c r="AY596" s="647"/>
    </row>
    <row r="597" spans="51:51" hidden="1">
      <c r="AY597" s="647"/>
    </row>
    <row r="598" spans="51:51" hidden="1">
      <c r="AY598" s="647"/>
    </row>
    <row r="599" spans="51:51" hidden="1">
      <c r="AY599" s="647"/>
    </row>
    <row r="600" spans="51:51" hidden="1">
      <c r="AY600" s="647"/>
    </row>
    <row r="601" spans="51:51" hidden="1">
      <c r="AY601" s="647"/>
    </row>
    <row r="602" spans="51:51" hidden="1">
      <c r="AY602" s="647"/>
    </row>
    <row r="603" spans="51:51" hidden="1">
      <c r="AY603" s="647"/>
    </row>
    <row r="604" spans="51:51" hidden="1">
      <c r="AY604" s="647"/>
    </row>
    <row r="605" spans="51:51" hidden="1">
      <c r="AY605" s="647"/>
    </row>
    <row r="606" spans="51:51" hidden="1">
      <c r="AY606" s="647"/>
    </row>
    <row r="607" spans="51:51" hidden="1">
      <c r="AY607" s="647"/>
    </row>
    <row r="608" spans="51:51" hidden="1">
      <c r="AY608" s="647"/>
    </row>
    <row r="609" spans="51:51" hidden="1">
      <c r="AY609" s="647"/>
    </row>
    <row r="610" spans="51:51" hidden="1">
      <c r="AY610" s="647"/>
    </row>
    <row r="611" spans="51:51" hidden="1">
      <c r="AY611" s="647"/>
    </row>
    <row r="612" spans="51:51" hidden="1">
      <c r="AY612" s="647"/>
    </row>
    <row r="613" spans="51:51" hidden="1">
      <c r="AY613" s="647"/>
    </row>
    <row r="614" spans="51:51" hidden="1">
      <c r="AY614" s="647"/>
    </row>
    <row r="615" spans="51:51" hidden="1">
      <c r="AY615" s="647"/>
    </row>
    <row r="616" spans="51:51" hidden="1">
      <c r="AY616" s="647"/>
    </row>
    <row r="617" spans="51:51" hidden="1">
      <c r="AY617" s="647"/>
    </row>
    <row r="618" spans="51:51" hidden="1">
      <c r="AY618" s="647"/>
    </row>
    <row r="619" spans="51:51" hidden="1">
      <c r="AY619" s="647"/>
    </row>
    <row r="620" spans="51:51" hidden="1">
      <c r="AY620" s="647"/>
    </row>
    <row r="621" spans="51:51" hidden="1">
      <c r="AY621" s="647"/>
    </row>
    <row r="622" spans="51:51" hidden="1">
      <c r="AY622" s="647"/>
    </row>
    <row r="623" spans="51:51" hidden="1">
      <c r="AY623" s="647"/>
    </row>
    <row r="624" spans="51:51" hidden="1">
      <c r="AY624" s="647"/>
    </row>
    <row r="625" spans="51:51" hidden="1">
      <c r="AY625" s="647"/>
    </row>
    <row r="626" spans="51:51" hidden="1">
      <c r="AY626" s="647"/>
    </row>
    <row r="627" spans="51:51" hidden="1">
      <c r="AY627" s="647"/>
    </row>
    <row r="628" spans="51:51" hidden="1">
      <c r="AY628" s="647"/>
    </row>
    <row r="629" spans="51:51" hidden="1">
      <c r="AY629" s="647"/>
    </row>
    <row r="630" spans="51:51" hidden="1">
      <c r="AY630" s="647"/>
    </row>
    <row r="631" spans="51:51" hidden="1">
      <c r="AY631" s="647"/>
    </row>
    <row r="632" spans="51:51" hidden="1">
      <c r="AY632" s="647"/>
    </row>
    <row r="633" spans="51:51" hidden="1">
      <c r="AY633" s="647"/>
    </row>
    <row r="634" spans="51:51" hidden="1">
      <c r="AY634" s="647"/>
    </row>
    <row r="635" spans="51:51" hidden="1">
      <c r="AY635" s="647"/>
    </row>
    <row r="636" spans="51:51" hidden="1">
      <c r="AY636" s="647"/>
    </row>
    <row r="637" spans="51:51" hidden="1">
      <c r="AY637" s="647"/>
    </row>
    <row r="638" spans="51:51" hidden="1">
      <c r="AY638" s="647"/>
    </row>
    <row r="639" spans="51:51" hidden="1">
      <c r="AY639" s="647"/>
    </row>
    <row r="640" spans="51:51" hidden="1">
      <c r="AY640" s="647"/>
    </row>
    <row r="641" spans="51:51" hidden="1">
      <c r="AY641" s="647"/>
    </row>
    <row r="642" spans="51:51" hidden="1">
      <c r="AY642" s="647"/>
    </row>
    <row r="643" spans="51:51" hidden="1">
      <c r="AY643" s="647"/>
    </row>
    <row r="644" spans="51:51" hidden="1">
      <c r="AY644" s="647"/>
    </row>
    <row r="645" spans="51:51" hidden="1">
      <c r="AY645" s="647"/>
    </row>
    <row r="646" spans="51:51" hidden="1">
      <c r="AY646" s="647"/>
    </row>
    <row r="647" spans="51:51" hidden="1">
      <c r="AY647" s="647"/>
    </row>
    <row r="648" spans="51:51" hidden="1">
      <c r="AY648" s="647"/>
    </row>
    <row r="649" spans="51:51" hidden="1">
      <c r="AY649" s="647"/>
    </row>
    <row r="650" spans="51:51" hidden="1">
      <c r="AY650" s="647"/>
    </row>
    <row r="651" spans="51:51" hidden="1">
      <c r="AY651" s="647"/>
    </row>
    <row r="652" spans="51:51" hidden="1">
      <c r="AY652" s="647"/>
    </row>
    <row r="653" spans="51:51" hidden="1">
      <c r="AY653" s="647"/>
    </row>
    <row r="654" spans="51:51" hidden="1">
      <c r="AY654" s="647"/>
    </row>
    <row r="655" spans="51:51" hidden="1">
      <c r="AY655" s="647"/>
    </row>
    <row r="656" spans="51:51" hidden="1">
      <c r="AY656" s="647"/>
    </row>
    <row r="657" spans="51:51" hidden="1">
      <c r="AY657" s="647"/>
    </row>
    <row r="658" spans="51:51" hidden="1">
      <c r="AY658" s="647"/>
    </row>
    <row r="659" spans="51:51" hidden="1">
      <c r="AY659" s="647"/>
    </row>
    <row r="660" spans="51:51" hidden="1">
      <c r="AY660" s="647"/>
    </row>
    <row r="661" spans="51:51" hidden="1">
      <c r="AY661" s="647"/>
    </row>
    <row r="662" spans="51:51" hidden="1">
      <c r="AY662" s="647"/>
    </row>
    <row r="663" spans="51:51" hidden="1">
      <c r="AY663" s="647"/>
    </row>
    <row r="664" spans="51:51" hidden="1">
      <c r="AY664" s="647"/>
    </row>
    <row r="665" spans="51:51" hidden="1">
      <c r="AY665" s="647"/>
    </row>
    <row r="666" spans="51:51" hidden="1">
      <c r="AY666" s="647"/>
    </row>
    <row r="667" spans="51:51" hidden="1">
      <c r="AY667" s="647"/>
    </row>
    <row r="668" spans="51:51" hidden="1">
      <c r="AY668" s="647"/>
    </row>
    <row r="669" spans="51:51" hidden="1">
      <c r="AY669" s="647"/>
    </row>
    <row r="670" spans="51:51" hidden="1">
      <c r="AY670" s="647"/>
    </row>
    <row r="671" spans="51:51" hidden="1">
      <c r="AY671" s="647"/>
    </row>
    <row r="672" spans="51:51" hidden="1">
      <c r="AY672" s="647"/>
    </row>
    <row r="673" spans="51:51" hidden="1">
      <c r="AY673" s="647"/>
    </row>
    <row r="674" spans="51:51" hidden="1">
      <c r="AY674" s="647"/>
    </row>
    <row r="675" spans="51:51" hidden="1">
      <c r="AY675" s="647"/>
    </row>
    <row r="676" spans="51:51" hidden="1">
      <c r="AY676" s="647"/>
    </row>
    <row r="677" spans="51:51" hidden="1">
      <c r="AY677" s="647"/>
    </row>
    <row r="678" spans="51:51" hidden="1">
      <c r="AY678" s="647"/>
    </row>
    <row r="679" spans="51:51" hidden="1">
      <c r="AY679" s="647"/>
    </row>
    <row r="680" spans="51:51" hidden="1">
      <c r="AY680" s="647"/>
    </row>
    <row r="681" spans="51:51" hidden="1">
      <c r="AY681" s="647"/>
    </row>
    <row r="682" spans="51:51" hidden="1">
      <c r="AY682" s="647"/>
    </row>
    <row r="683" spans="51:51" hidden="1">
      <c r="AY683" s="647"/>
    </row>
    <row r="684" spans="51:51" hidden="1">
      <c r="AY684" s="647"/>
    </row>
    <row r="685" spans="51:51" hidden="1">
      <c r="AY685" s="647"/>
    </row>
    <row r="686" spans="51:51" hidden="1">
      <c r="AY686" s="647"/>
    </row>
    <row r="687" spans="51:51" hidden="1">
      <c r="AY687" s="647"/>
    </row>
    <row r="688" spans="51:51" hidden="1">
      <c r="AY688" s="647"/>
    </row>
    <row r="689" spans="51:51" hidden="1">
      <c r="AY689" s="647"/>
    </row>
    <row r="690" spans="51:51" hidden="1">
      <c r="AY690" s="647"/>
    </row>
    <row r="691" spans="51:51" hidden="1">
      <c r="AY691" s="647"/>
    </row>
    <row r="692" spans="51:51" hidden="1">
      <c r="AY692" s="647"/>
    </row>
    <row r="693" spans="51:51" hidden="1">
      <c r="AY693" s="647"/>
    </row>
    <row r="694" spans="51:51" hidden="1">
      <c r="AY694" s="647"/>
    </row>
    <row r="695" spans="51:51" hidden="1">
      <c r="AY695" s="647"/>
    </row>
    <row r="696" spans="51:51" hidden="1">
      <c r="AY696" s="647"/>
    </row>
    <row r="697" spans="51:51" hidden="1">
      <c r="AY697" s="647"/>
    </row>
    <row r="698" spans="51:51" hidden="1">
      <c r="AY698" s="647"/>
    </row>
    <row r="699" spans="51:51" hidden="1">
      <c r="AY699" s="647"/>
    </row>
    <row r="700" spans="51:51" hidden="1">
      <c r="AY700" s="647"/>
    </row>
    <row r="701" spans="51:51" hidden="1">
      <c r="AY701" s="647"/>
    </row>
    <row r="702" spans="51:51" hidden="1">
      <c r="AY702" s="647"/>
    </row>
    <row r="703" spans="51:51" hidden="1">
      <c r="AY703" s="647"/>
    </row>
    <row r="704" spans="51:51" hidden="1">
      <c r="AY704" s="647"/>
    </row>
    <row r="705" spans="51:51" hidden="1">
      <c r="AY705" s="647"/>
    </row>
    <row r="706" spans="51:51" hidden="1">
      <c r="AY706" s="647"/>
    </row>
    <row r="707" spans="51:51" hidden="1">
      <c r="AY707" s="647"/>
    </row>
    <row r="708" spans="51:51" hidden="1">
      <c r="AY708" s="647"/>
    </row>
    <row r="709" spans="51:51" hidden="1">
      <c r="AY709" s="647"/>
    </row>
    <row r="710" spans="51:51" hidden="1">
      <c r="AY710" s="647"/>
    </row>
    <row r="711" spans="51:51" hidden="1">
      <c r="AY711" s="647"/>
    </row>
    <row r="712" spans="51:51" hidden="1">
      <c r="AY712" s="647"/>
    </row>
    <row r="713" spans="51:51" hidden="1">
      <c r="AY713" s="647"/>
    </row>
    <row r="714" spans="51:51" hidden="1">
      <c r="AY714" s="647"/>
    </row>
    <row r="715" spans="51:51" hidden="1">
      <c r="AY715" s="647"/>
    </row>
    <row r="716" spans="51:51" hidden="1">
      <c r="AY716" s="647"/>
    </row>
    <row r="717" spans="51:51" hidden="1">
      <c r="AY717" s="647"/>
    </row>
    <row r="718" spans="51:51" hidden="1">
      <c r="AY718" s="647"/>
    </row>
    <row r="719" spans="51:51" hidden="1">
      <c r="AY719" s="647"/>
    </row>
    <row r="720" spans="51:51" hidden="1">
      <c r="AY720" s="647"/>
    </row>
    <row r="721" spans="51:51" hidden="1">
      <c r="AY721" s="647"/>
    </row>
    <row r="722" spans="51:51" hidden="1">
      <c r="AY722" s="647"/>
    </row>
    <row r="723" spans="51:51" hidden="1">
      <c r="AY723" s="647"/>
    </row>
    <row r="724" spans="51:51" hidden="1">
      <c r="AY724" s="647"/>
    </row>
    <row r="725" spans="51:51" hidden="1">
      <c r="AY725" s="647"/>
    </row>
    <row r="726" spans="51:51" hidden="1">
      <c r="AY726" s="647"/>
    </row>
    <row r="727" spans="51:51" hidden="1">
      <c r="AY727" s="647"/>
    </row>
    <row r="728" spans="51:51" hidden="1">
      <c r="AY728" s="647"/>
    </row>
    <row r="729" spans="51:51" hidden="1">
      <c r="AY729" s="647"/>
    </row>
    <row r="730" spans="51:51" hidden="1">
      <c r="AY730" s="647"/>
    </row>
    <row r="731" spans="51:51" hidden="1">
      <c r="AY731" s="647"/>
    </row>
    <row r="732" spans="51:51" hidden="1">
      <c r="AY732" s="647"/>
    </row>
    <row r="733" spans="51:51" hidden="1">
      <c r="AY733" s="647"/>
    </row>
    <row r="734" spans="51:51" hidden="1">
      <c r="AY734" s="647"/>
    </row>
    <row r="735" spans="51:51" hidden="1">
      <c r="AY735" s="647"/>
    </row>
    <row r="736" spans="51:51" hidden="1">
      <c r="AY736" s="647"/>
    </row>
    <row r="737" spans="51:51" hidden="1">
      <c r="AY737" s="647"/>
    </row>
    <row r="738" spans="51:51" hidden="1">
      <c r="AY738" s="647"/>
    </row>
    <row r="739" spans="51:51" hidden="1">
      <c r="AY739" s="647"/>
    </row>
    <row r="740" spans="51:51" hidden="1">
      <c r="AY740" s="647"/>
    </row>
    <row r="741" spans="51:51" hidden="1">
      <c r="AY741" s="647"/>
    </row>
    <row r="742" spans="51:51" hidden="1">
      <c r="AY742" s="647"/>
    </row>
    <row r="743" spans="51:51" hidden="1">
      <c r="AY743" s="647"/>
    </row>
    <row r="744" spans="51:51" hidden="1">
      <c r="AY744" s="647"/>
    </row>
    <row r="745" spans="51:51" hidden="1">
      <c r="AY745" s="647"/>
    </row>
    <row r="746" spans="51:51" hidden="1">
      <c r="AY746" s="647"/>
    </row>
    <row r="747" spans="51:51" hidden="1">
      <c r="AY747" s="647"/>
    </row>
    <row r="748" spans="51:51" hidden="1">
      <c r="AY748" s="647"/>
    </row>
    <row r="749" spans="51:51" hidden="1">
      <c r="AY749" s="647"/>
    </row>
    <row r="750" spans="51:51" hidden="1">
      <c r="AY750" s="647"/>
    </row>
    <row r="751" spans="51:51" hidden="1">
      <c r="AY751" s="647"/>
    </row>
    <row r="752" spans="51:51" hidden="1">
      <c r="AY752" s="647"/>
    </row>
    <row r="753" spans="51:51" hidden="1">
      <c r="AY753" s="647"/>
    </row>
    <row r="754" spans="51:51" hidden="1">
      <c r="AY754" s="647"/>
    </row>
    <row r="755" spans="51:51" hidden="1">
      <c r="AY755" s="647"/>
    </row>
    <row r="756" spans="51:51" hidden="1">
      <c r="AY756" s="647"/>
    </row>
    <row r="757" spans="51:51" hidden="1">
      <c r="AY757" s="647"/>
    </row>
    <row r="758" spans="51:51" hidden="1">
      <c r="AY758" s="647"/>
    </row>
    <row r="759" spans="51:51" hidden="1">
      <c r="AY759" s="647"/>
    </row>
    <row r="760" spans="51:51" hidden="1">
      <c r="AY760" s="647"/>
    </row>
    <row r="761" spans="51:51" hidden="1">
      <c r="AY761" s="647"/>
    </row>
    <row r="762" spans="51:51" hidden="1">
      <c r="AY762" s="647"/>
    </row>
    <row r="763" spans="51:51" hidden="1">
      <c r="AY763" s="647"/>
    </row>
    <row r="764" spans="51:51" hidden="1">
      <c r="AY764" s="647"/>
    </row>
    <row r="765" spans="51:51" hidden="1">
      <c r="AY765" s="647"/>
    </row>
    <row r="766" spans="51:51" hidden="1">
      <c r="AY766" s="647"/>
    </row>
    <row r="767" spans="51:51" hidden="1">
      <c r="AY767" s="647"/>
    </row>
    <row r="768" spans="51:51" hidden="1">
      <c r="AY768" s="647"/>
    </row>
    <row r="769" spans="51:51" hidden="1">
      <c r="AY769" s="647"/>
    </row>
    <row r="770" spans="51:51" hidden="1">
      <c r="AY770" s="647"/>
    </row>
    <row r="771" spans="51:51" hidden="1">
      <c r="AY771" s="647"/>
    </row>
    <row r="772" spans="51:51" hidden="1">
      <c r="AY772" s="647"/>
    </row>
    <row r="773" spans="51:51" hidden="1">
      <c r="AY773" s="647"/>
    </row>
    <row r="774" spans="51:51" hidden="1">
      <c r="AY774" s="647"/>
    </row>
    <row r="775" spans="51:51" hidden="1">
      <c r="AY775" s="647"/>
    </row>
    <row r="776" spans="51:51" hidden="1">
      <c r="AY776" s="647"/>
    </row>
    <row r="777" spans="51:51" hidden="1">
      <c r="AY777" s="647"/>
    </row>
    <row r="778" spans="51:51" hidden="1">
      <c r="AY778" s="647"/>
    </row>
    <row r="779" spans="51:51" hidden="1">
      <c r="AY779" s="647"/>
    </row>
    <row r="780" spans="51:51" hidden="1">
      <c r="AY780" s="647"/>
    </row>
    <row r="781" spans="51:51" hidden="1">
      <c r="AY781" s="647"/>
    </row>
    <row r="782" spans="51:51" hidden="1">
      <c r="AY782" s="647"/>
    </row>
    <row r="783" spans="51:51" hidden="1">
      <c r="AY783" s="647"/>
    </row>
    <row r="784" spans="51:51" hidden="1">
      <c r="AY784" s="647"/>
    </row>
    <row r="785" spans="51:51" hidden="1">
      <c r="AY785" s="647"/>
    </row>
    <row r="786" spans="51:51" hidden="1">
      <c r="AY786" s="647"/>
    </row>
    <row r="787" spans="51:51" hidden="1">
      <c r="AY787" s="647"/>
    </row>
    <row r="788" spans="51:51" hidden="1">
      <c r="AY788" s="647"/>
    </row>
    <row r="789" spans="51:51" hidden="1">
      <c r="AY789" s="647"/>
    </row>
    <row r="790" spans="51:51" hidden="1">
      <c r="AY790" s="647"/>
    </row>
    <row r="791" spans="51:51" hidden="1">
      <c r="AY791" s="647"/>
    </row>
    <row r="792" spans="51:51" hidden="1">
      <c r="AY792" s="647"/>
    </row>
    <row r="793" spans="51:51" hidden="1">
      <c r="AY793" s="647"/>
    </row>
    <row r="794" spans="51:51" hidden="1">
      <c r="AY794" s="647"/>
    </row>
    <row r="795" spans="51:51" hidden="1">
      <c r="AY795" s="647"/>
    </row>
    <row r="796" spans="51:51" hidden="1">
      <c r="AY796" s="647"/>
    </row>
    <row r="797" spans="51:51" hidden="1">
      <c r="AY797" s="647"/>
    </row>
    <row r="798" spans="51:51" hidden="1">
      <c r="AY798" s="647"/>
    </row>
    <row r="799" spans="51:51" hidden="1">
      <c r="AY799" s="647"/>
    </row>
    <row r="800" spans="51:51" hidden="1">
      <c r="AY800" s="647"/>
    </row>
    <row r="801" spans="51:51" hidden="1">
      <c r="AY801" s="647"/>
    </row>
    <row r="802" spans="51:51" hidden="1">
      <c r="AY802" s="647"/>
    </row>
    <row r="803" spans="51:51" hidden="1">
      <c r="AY803" s="647"/>
    </row>
    <row r="804" spans="51:51" hidden="1">
      <c r="AY804" s="647"/>
    </row>
    <row r="805" spans="51:51" hidden="1">
      <c r="AY805" s="647"/>
    </row>
    <row r="806" spans="51:51" hidden="1">
      <c r="AY806" s="647"/>
    </row>
    <row r="807" spans="51:51" hidden="1">
      <c r="AY807" s="647"/>
    </row>
    <row r="808" spans="51:51" hidden="1">
      <c r="AY808" s="647"/>
    </row>
    <row r="809" spans="51:51" hidden="1">
      <c r="AY809" s="647"/>
    </row>
    <row r="810" spans="51:51" hidden="1">
      <c r="AY810" s="647"/>
    </row>
    <row r="811" spans="51:51" hidden="1">
      <c r="AY811" s="647"/>
    </row>
    <row r="812" spans="51:51" hidden="1">
      <c r="AY812" s="647"/>
    </row>
    <row r="813" spans="51:51" hidden="1">
      <c r="AY813" s="647"/>
    </row>
    <row r="814" spans="51:51" hidden="1">
      <c r="AY814" s="647"/>
    </row>
    <row r="815" spans="51:51" hidden="1">
      <c r="AY815" s="647"/>
    </row>
    <row r="816" spans="51:51" hidden="1">
      <c r="AY816" s="647"/>
    </row>
    <row r="817" spans="51:51" hidden="1">
      <c r="AY817" s="647"/>
    </row>
    <row r="818" spans="51:51" hidden="1">
      <c r="AY818" s="647"/>
    </row>
    <row r="819" spans="51:51" hidden="1">
      <c r="AY819" s="647"/>
    </row>
    <row r="820" spans="51:51" hidden="1">
      <c r="AY820" s="647"/>
    </row>
    <row r="821" spans="51:51" hidden="1">
      <c r="AY821" s="647"/>
    </row>
    <row r="822" spans="51:51" hidden="1">
      <c r="AY822" s="647"/>
    </row>
    <row r="823" spans="51:51" hidden="1">
      <c r="AY823" s="647"/>
    </row>
    <row r="824" spans="51:51" hidden="1">
      <c r="AY824" s="647"/>
    </row>
    <row r="825" spans="51:51" hidden="1">
      <c r="AY825" s="647"/>
    </row>
    <row r="826" spans="51:51" hidden="1">
      <c r="AY826" s="647"/>
    </row>
    <row r="827" spans="51:51" hidden="1">
      <c r="AY827" s="647"/>
    </row>
    <row r="828" spans="51:51" hidden="1">
      <c r="AY828" s="647"/>
    </row>
    <row r="829" spans="51:51" hidden="1">
      <c r="AY829" s="647"/>
    </row>
    <row r="830" spans="51:51" hidden="1">
      <c r="AY830" s="647"/>
    </row>
    <row r="831" spans="51:51" hidden="1">
      <c r="AY831" s="647"/>
    </row>
    <row r="832" spans="51:51" hidden="1">
      <c r="AY832" s="647"/>
    </row>
    <row r="833" spans="51:51" hidden="1">
      <c r="AY833" s="647"/>
    </row>
    <row r="834" spans="51:51" hidden="1">
      <c r="AY834" s="647"/>
    </row>
    <row r="835" spans="51:51" hidden="1">
      <c r="AY835" s="647"/>
    </row>
    <row r="836" spans="51:51" hidden="1">
      <c r="AY836" s="647"/>
    </row>
    <row r="837" spans="51:51" hidden="1">
      <c r="AY837" s="647"/>
    </row>
    <row r="838" spans="51:51" hidden="1">
      <c r="AY838" s="647"/>
    </row>
    <row r="839" spans="51:51" hidden="1">
      <c r="AY839" s="647"/>
    </row>
    <row r="840" spans="51:51" hidden="1">
      <c r="AY840" s="647"/>
    </row>
    <row r="841" spans="51:51" hidden="1">
      <c r="AY841" s="647"/>
    </row>
    <row r="842" spans="51:51" hidden="1">
      <c r="AY842" s="647"/>
    </row>
    <row r="843" spans="51:51" hidden="1">
      <c r="AY843" s="647"/>
    </row>
    <row r="844" spans="51:51" hidden="1">
      <c r="AY844" s="647"/>
    </row>
    <row r="845" spans="51:51" hidden="1">
      <c r="AY845" s="647"/>
    </row>
    <row r="846" spans="51:51" hidden="1">
      <c r="AY846" s="647"/>
    </row>
    <row r="847" spans="51:51" hidden="1">
      <c r="AY847" s="647"/>
    </row>
    <row r="848" spans="51:51" hidden="1">
      <c r="AY848" s="647"/>
    </row>
    <row r="849" spans="51:51" hidden="1">
      <c r="AY849" s="647"/>
    </row>
    <row r="850" spans="51:51" hidden="1">
      <c r="AY850" s="647"/>
    </row>
    <row r="851" spans="51:51" hidden="1">
      <c r="AY851" s="647"/>
    </row>
    <row r="852" spans="51:51" hidden="1">
      <c r="AY852" s="647"/>
    </row>
    <row r="853" spans="51:51" hidden="1">
      <c r="AY853" s="647"/>
    </row>
    <row r="854" spans="51:51" hidden="1">
      <c r="AY854" s="647"/>
    </row>
    <row r="855" spans="51:51" hidden="1">
      <c r="AY855" s="647"/>
    </row>
    <row r="856" spans="51:51" hidden="1">
      <c r="AY856" s="647"/>
    </row>
    <row r="857" spans="51:51" hidden="1">
      <c r="AY857" s="647"/>
    </row>
    <row r="858" spans="51:51" hidden="1">
      <c r="AY858" s="647"/>
    </row>
    <row r="859" spans="51:51" hidden="1">
      <c r="AY859" s="647"/>
    </row>
    <row r="860" spans="51:51" hidden="1">
      <c r="AY860" s="647"/>
    </row>
    <row r="861" spans="51:51" hidden="1">
      <c r="AY861" s="647"/>
    </row>
    <row r="862" spans="51:51" hidden="1">
      <c r="AY862" s="647"/>
    </row>
    <row r="863" spans="51:51" hidden="1">
      <c r="AY863" s="647"/>
    </row>
    <row r="864" spans="51:51" hidden="1">
      <c r="AY864" s="647"/>
    </row>
    <row r="865" spans="51:51" hidden="1">
      <c r="AY865" s="647"/>
    </row>
    <row r="866" spans="51:51" hidden="1">
      <c r="AY866" s="647"/>
    </row>
    <row r="867" spans="51:51" hidden="1">
      <c r="AY867" s="647"/>
    </row>
    <row r="868" spans="51:51" hidden="1">
      <c r="AY868" s="647"/>
    </row>
    <row r="869" spans="51:51" hidden="1">
      <c r="AY869" s="647"/>
    </row>
    <row r="870" spans="51:51" hidden="1">
      <c r="AY870" s="647"/>
    </row>
    <row r="871" spans="51:51" hidden="1">
      <c r="AY871" s="647"/>
    </row>
    <row r="872" spans="51:51" hidden="1">
      <c r="AY872" s="647"/>
    </row>
    <row r="873" spans="51:51" hidden="1">
      <c r="AY873" s="647"/>
    </row>
    <row r="874" spans="51:51" hidden="1">
      <c r="AY874" s="647"/>
    </row>
    <row r="875" spans="51:51" hidden="1">
      <c r="AY875" s="647"/>
    </row>
    <row r="876" spans="51:51" hidden="1">
      <c r="AY876" s="647"/>
    </row>
    <row r="877" spans="51:51" hidden="1">
      <c r="AY877" s="647"/>
    </row>
    <row r="878" spans="51:51" hidden="1">
      <c r="AY878" s="647"/>
    </row>
    <row r="879" spans="51:51" hidden="1">
      <c r="AY879" s="647"/>
    </row>
    <row r="880" spans="51:51" hidden="1">
      <c r="AY880" s="647"/>
    </row>
    <row r="881" spans="51:51" hidden="1">
      <c r="AY881" s="647"/>
    </row>
    <row r="882" spans="51:51" hidden="1">
      <c r="AY882" s="647"/>
    </row>
    <row r="883" spans="51:51" hidden="1">
      <c r="AY883" s="647"/>
    </row>
    <row r="884" spans="51:51" hidden="1">
      <c r="AY884" s="647"/>
    </row>
    <row r="885" spans="51:51" hidden="1">
      <c r="AY885" s="647"/>
    </row>
    <row r="886" spans="51:51" hidden="1">
      <c r="AY886" s="647"/>
    </row>
    <row r="887" spans="51:51" hidden="1">
      <c r="AY887" s="647"/>
    </row>
    <row r="888" spans="51:51" hidden="1">
      <c r="AY888" s="647"/>
    </row>
    <row r="889" spans="51:51" hidden="1">
      <c r="AY889" s="647"/>
    </row>
    <row r="890" spans="51:51" hidden="1">
      <c r="AY890" s="647"/>
    </row>
    <row r="891" spans="51:51" hidden="1">
      <c r="AY891" s="647"/>
    </row>
    <row r="892" spans="51:51" hidden="1">
      <c r="AY892" s="647"/>
    </row>
    <row r="893" spans="51:51" hidden="1">
      <c r="AY893" s="647"/>
    </row>
    <row r="894" spans="51:51" hidden="1">
      <c r="AY894" s="647"/>
    </row>
    <row r="895" spans="51:51" hidden="1">
      <c r="AY895" s="647"/>
    </row>
    <row r="896" spans="51:51" hidden="1">
      <c r="AY896" s="647"/>
    </row>
    <row r="897" spans="51:51" hidden="1">
      <c r="AY897" s="647"/>
    </row>
    <row r="898" spans="51:51" hidden="1">
      <c r="AY898" s="647"/>
    </row>
    <row r="899" spans="51:51" hidden="1">
      <c r="AY899" s="647"/>
    </row>
    <row r="900" spans="51:51" hidden="1">
      <c r="AY900" s="647"/>
    </row>
    <row r="901" spans="51:51" hidden="1">
      <c r="AY901" s="647"/>
    </row>
    <row r="902" spans="51:51" hidden="1">
      <c r="AY902" s="647"/>
    </row>
    <row r="903" spans="51:51" hidden="1">
      <c r="AY903" s="647"/>
    </row>
    <row r="904" spans="51:51" hidden="1">
      <c r="AY904" s="647"/>
    </row>
    <row r="905" spans="51:51" hidden="1">
      <c r="AY905" s="647"/>
    </row>
    <row r="906" spans="51:51" hidden="1">
      <c r="AY906" s="647"/>
    </row>
    <row r="907" spans="51:51" hidden="1">
      <c r="AY907" s="647"/>
    </row>
    <row r="908" spans="51:51" hidden="1">
      <c r="AY908" s="647"/>
    </row>
    <row r="909" spans="51:51" hidden="1">
      <c r="AY909" s="647"/>
    </row>
    <row r="910" spans="51:51" hidden="1">
      <c r="AY910" s="647"/>
    </row>
    <row r="911" spans="51:51" hidden="1">
      <c r="AY911" s="647"/>
    </row>
    <row r="912" spans="51:51" hidden="1">
      <c r="AY912" s="647"/>
    </row>
    <row r="913" spans="51:51" hidden="1">
      <c r="AY913" s="647"/>
    </row>
    <row r="914" spans="51:51" hidden="1">
      <c r="AY914" s="647"/>
    </row>
    <row r="915" spans="51:51" hidden="1">
      <c r="AY915" s="647"/>
    </row>
    <row r="916" spans="51:51" hidden="1">
      <c r="AY916" s="647"/>
    </row>
    <row r="917" spans="51:51" hidden="1">
      <c r="AY917" s="647"/>
    </row>
    <row r="918" spans="51:51" hidden="1">
      <c r="AY918" s="647"/>
    </row>
    <row r="919" spans="51:51" hidden="1">
      <c r="AY919" s="647"/>
    </row>
    <row r="920" spans="51:51" hidden="1">
      <c r="AY920" s="647"/>
    </row>
    <row r="921" spans="51:51" hidden="1">
      <c r="AY921" s="647"/>
    </row>
    <row r="922" spans="51:51" hidden="1">
      <c r="AY922" s="647"/>
    </row>
    <row r="923" spans="51:51" hidden="1">
      <c r="AY923" s="647"/>
    </row>
    <row r="924" spans="51:51" hidden="1">
      <c r="AY924" s="647"/>
    </row>
    <row r="925" spans="51:51" hidden="1">
      <c r="AY925" s="647"/>
    </row>
    <row r="926" spans="51:51" hidden="1">
      <c r="AY926" s="647"/>
    </row>
    <row r="927" spans="51:51" hidden="1">
      <c r="AY927" s="647"/>
    </row>
    <row r="928" spans="51:51" hidden="1">
      <c r="AY928" s="647"/>
    </row>
    <row r="929" spans="51:51" hidden="1">
      <c r="AY929" s="647"/>
    </row>
    <row r="930" spans="51:51" hidden="1">
      <c r="AY930" s="647"/>
    </row>
    <row r="931" spans="51:51" hidden="1">
      <c r="AY931" s="647"/>
    </row>
    <row r="932" spans="51:51" hidden="1">
      <c r="AY932" s="647"/>
    </row>
    <row r="933" spans="51:51" hidden="1">
      <c r="AY933" s="647"/>
    </row>
    <row r="934" spans="51:51" hidden="1">
      <c r="AY934" s="647"/>
    </row>
    <row r="935" spans="51:51" hidden="1">
      <c r="AY935" s="647"/>
    </row>
    <row r="936" spans="51:51" hidden="1">
      <c r="AY936" s="647"/>
    </row>
    <row r="937" spans="51:51" hidden="1">
      <c r="AY937" s="647"/>
    </row>
    <row r="938" spans="51:51" hidden="1">
      <c r="AY938" s="647"/>
    </row>
    <row r="939" spans="51:51" hidden="1">
      <c r="AY939" s="647"/>
    </row>
    <row r="940" spans="51:51" hidden="1">
      <c r="AY940" s="647"/>
    </row>
    <row r="941" spans="51:51" hidden="1">
      <c r="AY941" s="647"/>
    </row>
    <row r="942" spans="51:51" hidden="1">
      <c r="AY942" s="647"/>
    </row>
    <row r="943" spans="51:51" hidden="1">
      <c r="AY943" s="647"/>
    </row>
    <row r="944" spans="51:51" hidden="1">
      <c r="AY944" s="647"/>
    </row>
    <row r="945" spans="51:51" hidden="1">
      <c r="AY945" s="647"/>
    </row>
    <row r="946" spans="51:51" hidden="1">
      <c r="AY946" s="647"/>
    </row>
    <row r="947" spans="51:51" hidden="1">
      <c r="AY947" s="647"/>
    </row>
    <row r="948" spans="51:51" hidden="1">
      <c r="AY948" s="647"/>
    </row>
    <row r="949" spans="51:51" hidden="1">
      <c r="AY949" s="647"/>
    </row>
    <row r="950" spans="51:51" hidden="1">
      <c r="AY950" s="647"/>
    </row>
    <row r="951" spans="51:51" hidden="1">
      <c r="AY951" s="647"/>
    </row>
    <row r="952" spans="51:51" hidden="1">
      <c r="AY952" s="647"/>
    </row>
    <row r="953" spans="51:51" hidden="1">
      <c r="AY953" s="647"/>
    </row>
    <row r="954" spans="51:51" hidden="1">
      <c r="AY954" s="647"/>
    </row>
    <row r="955" spans="51:51" hidden="1">
      <c r="AY955" s="647"/>
    </row>
    <row r="956" spans="51:51" hidden="1">
      <c r="AY956" s="647"/>
    </row>
    <row r="957" spans="51:51" hidden="1">
      <c r="AY957" s="647"/>
    </row>
    <row r="958" spans="51:51" hidden="1">
      <c r="AY958" s="647"/>
    </row>
    <row r="959" spans="51:51" hidden="1">
      <c r="AY959" s="647"/>
    </row>
    <row r="960" spans="51:51" hidden="1">
      <c r="AY960" s="647"/>
    </row>
    <row r="961" spans="51:51" hidden="1">
      <c r="AY961" s="647"/>
    </row>
    <row r="962" spans="51:51" hidden="1">
      <c r="AY962" s="647"/>
    </row>
    <row r="963" spans="51:51" hidden="1">
      <c r="AY963" s="647"/>
    </row>
    <row r="964" spans="51:51" hidden="1">
      <c r="AY964" s="647"/>
    </row>
    <row r="965" spans="51:51" hidden="1">
      <c r="AY965" s="647"/>
    </row>
    <row r="966" spans="51:51" hidden="1">
      <c r="AY966" s="647"/>
    </row>
    <row r="967" spans="51:51" hidden="1">
      <c r="AY967" s="647"/>
    </row>
    <row r="968" spans="51:51" hidden="1">
      <c r="AY968" s="647"/>
    </row>
    <row r="969" spans="51:51" hidden="1">
      <c r="AY969" s="647"/>
    </row>
    <row r="970" spans="51:51" hidden="1">
      <c r="AY970" s="647"/>
    </row>
    <row r="971" spans="51:51" hidden="1">
      <c r="AY971" s="647"/>
    </row>
    <row r="972" spans="51:51" hidden="1">
      <c r="AY972" s="647"/>
    </row>
    <row r="973" spans="51:51" hidden="1">
      <c r="AY973" s="647"/>
    </row>
    <row r="974" spans="51:51" hidden="1">
      <c r="AY974" s="647"/>
    </row>
    <row r="975" spans="51:51" hidden="1">
      <c r="AY975" s="647"/>
    </row>
    <row r="976" spans="51:51" hidden="1">
      <c r="AY976" s="647"/>
    </row>
    <row r="977" spans="51:51" hidden="1">
      <c r="AY977" s="647"/>
    </row>
    <row r="978" spans="51:51" hidden="1">
      <c r="AY978" s="647"/>
    </row>
    <row r="979" spans="51:51" hidden="1">
      <c r="AY979" s="647"/>
    </row>
    <row r="980" spans="51:51" hidden="1">
      <c r="AY980" s="647"/>
    </row>
    <row r="981" spans="51:51" hidden="1">
      <c r="AY981" s="647"/>
    </row>
    <row r="982" spans="51:51" hidden="1">
      <c r="AY982" s="647"/>
    </row>
    <row r="983" spans="51:51" hidden="1">
      <c r="AY983" s="647"/>
    </row>
    <row r="984" spans="51:51" hidden="1">
      <c r="AY984" s="647"/>
    </row>
    <row r="985" spans="51:51" hidden="1">
      <c r="AY985" s="647"/>
    </row>
    <row r="986" spans="51:51" hidden="1">
      <c r="AY986" s="647"/>
    </row>
    <row r="987" spans="51:51" hidden="1">
      <c r="AY987" s="647"/>
    </row>
    <row r="988" spans="51:51" hidden="1">
      <c r="AY988" s="647"/>
    </row>
    <row r="989" spans="51:51" hidden="1">
      <c r="AY989" s="647"/>
    </row>
    <row r="990" spans="51:51" hidden="1">
      <c r="AY990" s="647"/>
    </row>
    <row r="991" spans="51:51" hidden="1">
      <c r="AY991" s="647"/>
    </row>
    <row r="992" spans="51:51" hidden="1">
      <c r="AY992" s="647"/>
    </row>
    <row r="993" spans="51:51" hidden="1">
      <c r="AY993" s="647"/>
    </row>
    <row r="994" spans="51:51" hidden="1">
      <c r="AY994" s="647"/>
    </row>
    <row r="995" spans="51:51" hidden="1">
      <c r="AY995" s="647"/>
    </row>
    <row r="996" spans="51:51" hidden="1">
      <c r="AY996" s="647"/>
    </row>
    <row r="997" spans="51:51" hidden="1">
      <c r="AY997" s="647"/>
    </row>
    <row r="998" spans="51:51" hidden="1">
      <c r="AY998" s="647"/>
    </row>
    <row r="999" spans="51:51" hidden="1">
      <c r="AY999" s="647"/>
    </row>
    <row r="1000" spans="51:51" hidden="1">
      <c r="AY1000" s="647"/>
    </row>
    <row r="1001" spans="51:51" hidden="1">
      <c r="AY1001" s="647"/>
    </row>
    <row r="1002" spans="51:51" hidden="1">
      <c r="AY1002" s="647"/>
    </row>
    <row r="1003" spans="51:51" hidden="1">
      <c r="AY1003" s="647"/>
    </row>
    <row r="1004" spans="51:51" hidden="1">
      <c r="AY1004" s="647"/>
    </row>
    <row r="1005" spans="51:51" hidden="1">
      <c r="AY1005" s="647"/>
    </row>
    <row r="1006" spans="51:51" hidden="1">
      <c r="AY1006" s="647"/>
    </row>
    <row r="1007" spans="51:51" hidden="1">
      <c r="AY1007" s="647"/>
    </row>
    <row r="1008" spans="51:51" hidden="1">
      <c r="AY1008" s="647"/>
    </row>
    <row r="1009" spans="51:51" hidden="1">
      <c r="AY1009" s="647"/>
    </row>
    <row r="1010" spans="51:51" hidden="1">
      <c r="AY1010" s="647"/>
    </row>
    <row r="1011" spans="51:51" hidden="1">
      <c r="AY1011" s="647"/>
    </row>
    <row r="1012" spans="51:51" hidden="1">
      <c r="AY1012" s="647"/>
    </row>
    <row r="1013" spans="51:51" hidden="1">
      <c r="AY1013" s="647"/>
    </row>
    <row r="1014" spans="51:51" hidden="1">
      <c r="AY1014" s="647"/>
    </row>
    <row r="1015" spans="51:51" hidden="1">
      <c r="AY1015" s="647"/>
    </row>
    <row r="1016" spans="51:51" hidden="1">
      <c r="AY1016" s="647"/>
    </row>
    <row r="1017" spans="51:51" hidden="1">
      <c r="AY1017" s="647"/>
    </row>
    <row r="1018" spans="51:51" hidden="1">
      <c r="AY1018" s="647"/>
    </row>
    <row r="1019" spans="51:51" hidden="1">
      <c r="AY1019" s="647"/>
    </row>
    <row r="1020" spans="51:51" hidden="1">
      <c r="AY1020" s="647"/>
    </row>
    <row r="1021" spans="51:51" hidden="1">
      <c r="AY1021" s="647"/>
    </row>
    <row r="1022" spans="51:51" hidden="1">
      <c r="AY1022" s="647"/>
    </row>
    <row r="1023" spans="51:51" hidden="1">
      <c r="AY1023" s="647"/>
    </row>
    <row r="1024" spans="51:51" hidden="1">
      <c r="AY1024" s="647"/>
    </row>
    <row r="1025" spans="51:51" hidden="1">
      <c r="AY1025" s="647"/>
    </row>
    <row r="1026" spans="51:51" hidden="1">
      <c r="AY1026" s="647"/>
    </row>
    <row r="1027" spans="51:51" hidden="1">
      <c r="AY1027" s="647"/>
    </row>
    <row r="1028" spans="51:51" hidden="1">
      <c r="AY1028" s="647"/>
    </row>
    <row r="1029" spans="51:51" hidden="1">
      <c r="AY1029" s="647"/>
    </row>
    <row r="1030" spans="51:51" hidden="1">
      <c r="AY1030" s="647"/>
    </row>
    <row r="1031" spans="51:51" hidden="1">
      <c r="AY1031" s="647"/>
    </row>
    <row r="1032" spans="51:51" hidden="1">
      <c r="AY1032" s="647"/>
    </row>
    <row r="1033" spans="51:51" hidden="1">
      <c r="AY1033" s="647"/>
    </row>
    <row r="1034" spans="51:51" hidden="1">
      <c r="AY1034" s="647"/>
    </row>
    <row r="1035" spans="51:51" hidden="1">
      <c r="AY1035" s="647"/>
    </row>
    <row r="1036" spans="51:51" hidden="1">
      <c r="AY1036" s="647"/>
    </row>
    <row r="1037" spans="51:51" hidden="1">
      <c r="AY1037" s="647"/>
    </row>
    <row r="1038" spans="51:51" hidden="1">
      <c r="AY1038" s="647"/>
    </row>
    <row r="1039" spans="51:51" hidden="1">
      <c r="AY1039" s="647"/>
    </row>
    <row r="1040" spans="51:51" hidden="1">
      <c r="AY1040" s="647"/>
    </row>
    <row r="1041" spans="51:51" hidden="1">
      <c r="AY1041" s="647"/>
    </row>
    <row r="1042" spans="51:51" hidden="1">
      <c r="AY1042" s="647"/>
    </row>
    <row r="1043" spans="51:51" hidden="1">
      <c r="AY1043" s="647"/>
    </row>
    <row r="1044" spans="51:51" hidden="1">
      <c r="AY1044" s="647"/>
    </row>
    <row r="1045" spans="51:51" hidden="1">
      <c r="AY1045" s="647"/>
    </row>
    <row r="1046" spans="51:51" hidden="1">
      <c r="AY1046" s="647"/>
    </row>
    <row r="1047" spans="51:51" hidden="1">
      <c r="AY1047" s="647"/>
    </row>
    <row r="1048" spans="51:51" hidden="1">
      <c r="AY1048" s="647"/>
    </row>
    <row r="1049" spans="51:51" hidden="1">
      <c r="AY1049" s="647"/>
    </row>
    <row r="1050" spans="51:51" hidden="1">
      <c r="AY1050" s="647"/>
    </row>
    <row r="1051" spans="51:51" hidden="1">
      <c r="AY1051" s="647"/>
    </row>
    <row r="1052" spans="51:51" hidden="1">
      <c r="AY1052" s="647"/>
    </row>
    <row r="1053" spans="51:51" hidden="1">
      <c r="AY1053" s="647"/>
    </row>
    <row r="1054" spans="51:51" hidden="1">
      <c r="AY1054" s="647"/>
    </row>
    <row r="1055" spans="51:51" hidden="1">
      <c r="AY1055" s="647"/>
    </row>
    <row r="1056" spans="51:51" hidden="1">
      <c r="AY1056" s="647"/>
    </row>
    <row r="1057" spans="51:51" hidden="1">
      <c r="AY1057" s="647"/>
    </row>
    <row r="1058" spans="51:51" hidden="1">
      <c r="AY1058" s="647"/>
    </row>
    <row r="1059" spans="51:51" hidden="1">
      <c r="AY1059" s="647"/>
    </row>
    <row r="1060" spans="51:51" hidden="1">
      <c r="AY1060" s="647"/>
    </row>
    <row r="1061" spans="51:51" hidden="1">
      <c r="AY1061" s="647"/>
    </row>
    <row r="1062" spans="51:51" hidden="1">
      <c r="AY1062" s="647"/>
    </row>
    <row r="1063" spans="51:51" hidden="1">
      <c r="AY1063" s="647"/>
    </row>
    <row r="1064" spans="51:51" hidden="1">
      <c r="AY1064" s="647"/>
    </row>
    <row r="1065" spans="51:51" hidden="1">
      <c r="AY1065" s="647"/>
    </row>
    <row r="1066" spans="51:51" hidden="1">
      <c r="AY1066" s="647"/>
    </row>
    <row r="1067" spans="51:51" hidden="1">
      <c r="AY1067" s="647"/>
    </row>
    <row r="1068" spans="51:51" hidden="1">
      <c r="AY1068" s="647"/>
    </row>
    <row r="1069" spans="51:51" hidden="1">
      <c r="AY1069" s="647"/>
    </row>
    <row r="1070" spans="51:51" hidden="1">
      <c r="AY1070" s="647"/>
    </row>
    <row r="1071" spans="51:51" hidden="1">
      <c r="AY1071" s="647"/>
    </row>
    <row r="1072" spans="51:51" hidden="1">
      <c r="AY1072" s="647"/>
    </row>
    <row r="1073" spans="51:51" hidden="1">
      <c r="AY1073" s="647"/>
    </row>
    <row r="1074" spans="51:51" hidden="1">
      <c r="AY1074" s="647"/>
    </row>
    <row r="1075" spans="51:51" hidden="1">
      <c r="AY1075" s="647"/>
    </row>
    <row r="1076" spans="51:51" hidden="1">
      <c r="AY1076" s="647"/>
    </row>
    <row r="1077" spans="51:51" hidden="1">
      <c r="AY1077" s="647"/>
    </row>
    <row r="1078" spans="51:51" hidden="1">
      <c r="AY1078" s="647"/>
    </row>
    <row r="1079" spans="51:51" hidden="1">
      <c r="AY1079" s="647"/>
    </row>
    <row r="1080" spans="51:51" hidden="1">
      <c r="AY1080" s="647"/>
    </row>
    <row r="1081" spans="51:51" hidden="1">
      <c r="AY1081" s="647"/>
    </row>
    <row r="1082" spans="51:51" hidden="1">
      <c r="AY1082" s="647"/>
    </row>
    <row r="1083" spans="51:51" hidden="1">
      <c r="AY1083" s="647"/>
    </row>
    <row r="1084" spans="51:51" hidden="1">
      <c r="AY1084" s="647"/>
    </row>
    <row r="1085" spans="51:51" hidden="1">
      <c r="AY1085" s="647"/>
    </row>
    <row r="1086" spans="51:51" hidden="1">
      <c r="AY1086" s="647"/>
    </row>
    <row r="1087" spans="51:51" hidden="1">
      <c r="AY1087" s="647"/>
    </row>
    <row r="1088" spans="51:51" hidden="1">
      <c r="AY1088" s="647"/>
    </row>
    <row r="1089" spans="51:51" hidden="1">
      <c r="AY1089" s="647"/>
    </row>
    <row r="1090" spans="51:51" hidden="1">
      <c r="AY1090" s="647"/>
    </row>
    <row r="1091" spans="51:51" hidden="1">
      <c r="AY1091" s="647"/>
    </row>
    <row r="1092" spans="51:51" hidden="1">
      <c r="AY1092" s="647"/>
    </row>
    <row r="1093" spans="51:51" hidden="1">
      <c r="AY1093" s="647"/>
    </row>
    <row r="1094" spans="51:51" hidden="1">
      <c r="AY1094" s="647"/>
    </row>
    <row r="1095" spans="51:51" hidden="1">
      <c r="AY1095" s="647"/>
    </row>
    <row r="1096" spans="51:51" hidden="1">
      <c r="AY1096" s="647"/>
    </row>
    <row r="1097" spans="51:51" hidden="1">
      <c r="AY1097" s="647"/>
    </row>
    <row r="1098" spans="51:51" hidden="1">
      <c r="AY1098" s="647"/>
    </row>
    <row r="1099" spans="51:51" hidden="1">
      <c r="AY1099" s="647"/>
    </row>
    <row r="1100" spans="51:51" hidden="1">
      <c r="AY1100" s="647"/>
    </row>
    <row r="1101" spans="51:51" hidden="1">
      <c r="AY1101" s="647"/>
    </row>
    <row r="1102" spans="51:51" hidden="1">
      <c r="AY1102" s="647"/>
    </row>
    <row r="1103" spans="51:51" hidden="1">
      <c r="AY1103" s="647"/>
    </row>
    <row r="1104" spans="51:51" hidden="1">
      <c r="AY1104" s="647"/>
    </row>
    <row r="1105" spans="51:51" hidden="1">
      <c r="AY1105" s="647"/>
    </row>
    <row r="1106" spans="51:51" hidden="1">
      <c r="AY1106" s="647"/>
    </row>
    <row r="1107" spans="51:51" hidden="1">
      <c r="AY1107" s="647"/>
    </row>
    <row r="1108" spans="51:51" hidden="1">
      <c r="AY1108" s="647"/>
    </row>
    <row r="1109" spans="51:51" hidden="1">
      <c r="AY1109" s="647"/>
    </row>
    <row r="1110" spans="51:51" hidden="1">
      <c r="AY1110" s="647"/>
    </row>
    <row r="1111" spans="51:51" hidden="1">
      <c r="AY1111" s="647"/>
    </row>
    <row r="1112" spans="51:51" hidden="1">
      <c r="AY1112" s="647"/>
    </row>
    <row r="1113" spans="51:51" hidden="1">
      <c r="AY1113" s="647"/>
    </row>
    <row r="1114" spans="51:51" hidden="1">
      <c r="AY1114" s="647"/>
    </row>
    <row r="1115" spans="51:51" hidden="1">
      <c r="AY1115" s="647"/>
    </row>
    <row r="1116" spans="51:51" hidden="1">
      <c r="AY1116" s="647"/>
    </row>
    <row r="1117" spans="51:51" hidden="1">
      <c r="AY1117" s="647"/>
    </row>
    <row r="1118" spans="51:51" hidden="1">
      <c r="AY1118" s="647"/>
    </row>
    <row r="1119" spans="51:51" hidden="1">
      <c r="AY1119" s="647"/>
    </row>
    <row r="1120" spans="51:51" hidden="1">
      <c r="AY1120" s="647"/>
    </row>
    <row r="1121" spans="51:51" hidden="1">
      <c r="AY1121" s="647"/>
    </row>
    <row r="1122" spans="51:51" hidden="1">
      <c r="AY1122" s="647"/>
    </row>
    <row r="1123" spans="51:51" hidden="1">
      <c r="AY1123" s="647"/>
    </row>
    <row r="1124" spans="51:51" hidden="1">
      <c r="AY1124" s="647"/>
    </row>
    <row r="1125" spans="51:51" hidden="1">
      <c r="AY1125" s="647"/>
    </row>
    <row r="1126" spans="51:51" hidden="1">
      <c r="AY1126" s="647"/>
    </row>
    <row r="1127" spans="51:51" hidden="1">
      <c r="AY1127" s="647"/>
    </row>
    <row r="1128" spans="51:51" hidden="1">
      <c r="AY1128" s="647"/>
    </row>
    <row r="1129" spans="51:51" hidden="1">
      <c r="AY1129" s="647"/>
    </row>
    <row r="1130" spans="51:51" hidden="1">
      <c r="AY1130" s="647"/>
    </row>
    <row r="1131" spans="51:51" hidden="1">
      <c r="AY1131" s="647"/>
    </row>
    <row r="1132" spans="51:51" hidden="1">
      <c r="AY1132" s="647"/>
    </row>
    <row r="1133" spans="51:51" hidden="1">
      <c r="AY1133" s="647"/>
    </row>
    <row r="1134" spans="51:51" hidden="1">
      <c r="AY1134" s="647"/>
    </row>
    <row r="1135" spans="51:51" hidden="1">
      <c r="AY1135" s="647"/>
    </row>
    <row r="1136" spans="51:51" hidden="1">
      <c r="AY1136" s="647"/>
    </row>
    <row r="1137" spans="51:51" hidden="1">
      <c r="AY1137" s="647"/>
    </row>
    <row r="1138" spans="51:51" hidden="1">
      <c r="AY1138" s="647"/>
    </row>
    <row r="1139" spans="51:51" hidden="1">
      <c r="AY1139" s="647"/>
    </row>
    <row r="1140" spans="51:51" hidden="1">
      <c r="AY1140" s="647"/>
    </row>
    <row r="1141" spans="51:51" hidden="1">
      <c r="AY1141" s="647"/>
    </row>
    <row r="1142" spans="51:51" hidden="1">
      <c r="AY1142" s="647"/>
    </row>
    <row r="1143" spans="51:51" hidden="1">
      <c r="AY1143" s="647"/>
    </row>
    <row r="1144" spans="51:51" hidden="1">
      <c r="AY1144" s="647"/>
    </row>
    <row r="1145" spans="51:51" hidden="1">
      <c r="AY1145" s="647"/>
    </row>
    <row r="1146" spans="51:51" hidden="1">
      <c r="AY1146" s="647"/>
    </row>
    <row r="1147" spans="51:51" hidden="1">
      <c r="AY1147" s="647"/>
    </row>
    <row r="1148" spans="51:51" hidden="1">
      <c r="AY1148" s="647"/>
    </row>
    <row r="1149" spans="51:51" hidden="1">
      <c r="AY1149" s="647"/>
    </row>
    <row r="1150" spans="51:51" hidden="1">
      <c r="AY1150" s="647"/>
    </row>
    <row r="1151" spans="51:51" hidden="1">
      <c r="AY1151" s="647"/>
    </row>
    <row r="1152" spans="51:51" hidden="1">
      <c r="AY1152" s="647"/>
    </row>
    <row r="1153" spans="51:51" hidden="1">
      <c r="AY1153" s="647"/>
    </row>
    <row r="1154" spans="51:51" hidden="1">
      <c r="AY1154" s="647"/>
    </row>
    <row r="1155" spans="51:51" hidden="1">
      <c r="AY1155" s="647"/>
    </row>
    <row r="1156" spans="51:51" hidden="1">
      <c r="AY1156" s="647"/>
    </row>
    <row r="1157" spans="51:51" hidden="1">
      <c r="AY1157" s="647"/>
    </row>
    <row r="1158" spans="51:51" hidden="1">
      <c r="AY1158" s="647"/>
    </row>
    <row r="1159" spans="51:51" hidden="1">
      <c r="AY1159" s="647"/>
    </row>
    <row r="1160" spans="51:51" hidden="1">
      <c r="AY1160" s="647"/>
    </row>
    <row r="1161" spans="51:51" hidden="1">
      <c r="AY1161" s="647"/>
    </row>
    <row r="1162" spans="51:51" hidden="1">
      <c r="AY1162" s="647"/>
    </row>
    <row r="1163" spans="51:51" hidden="1">
      <c r="AY1163" s="647"/>
    </row>
    <row r="1164" spans="51:51" hidden="1">
      <c r="AY1164" s="647"/>
    </row>
    <row r="1165" spans="51:51" hidden="1">
      <c r="AY1165" s="647"/>
    </row>
    <row r="1166" spans="51:51" hidden="1">
      <c r="AY1166" s="647"/>
    </row>
    <row r="1167" spans="51:51" hidden="1">
      <c r="AY1167" s="647"/>
    </row>
    <row r="1168" spans="51:51" hidden="1">
      <c r="AY1168" s="647"/>
    </row>
    <row r="1169" spans="51:51" hidden="1">
      <c r="AY1169" s="647"/>
    </row>
    <row r="1170" spans="51:51" hidden="1">
      <c r="AY1170" s="647"/>
    </row>
    <row r="1171" spans="51:51" hidden="1">
      <c r="AY1171" s="647"/>
    </row>
    <row r="1172" spans="51:51" hidden="1">
      <c r="AY1172" s="647"/>
    </row>
    <row r="1173" spans="51:51" hidden="1">
      <c r="AY1173" s="647"/>
    </row>
    <row r="1174" spans="51:51" hidden="1">
      <c r="AY1174" s="647"/>
    </row>
    <row r="1175" spans="51:51" hidden="1">
      <c r="AY1175" s="647"/>
    </row>
    <row r="1176" spans="51:51" hidden="1">
      <c r="AY1176" s="647"/>
    </row>
    <row r="1177" spans="51:51" hidden="1">
      <c r="AY1177" s="647"/>
    </row>
    <row r="1178" spans="51:51" hidden="1">
      <c r="AY1178" s="647"/>
    </row>
    <row r="1179" spans="51:51" hidden="1">
      <c r="AY1179" s="647"/>
    </row>
    <row r="1180" spans="51:51" hidden="1">
      <c r="AY1180" s="647"/>
    </row>
    <row r="1181" spans="51:51" hidden="1">
      <c r="AY1181" s="647"/>
    </row>
    <row r="1182" spans="51:51" hidden="1">
      <c r="AY1182" s="647"/>
    </row>
    <row r="1183" spans="51:51" hidden="1">
      <c r="AY1183" s="647"/>
    </row>
    <row r="1184" spans="51:51" hidden="1">
      <c r="AY1184" s="647"/>
    </row>
    <row r="1185" spans="51:51" hidden="1">
      <c r="AY1185" s="647"/>
    </row>
    <row r="1186" spans="51:51" hidden="1">
      <c r="AY1186" s="647"/>
    </row>
    <row r="1187" spans="51:51" hidden="1">
      <c r="AY1187" s="647"/>
    </row>
    <row r="1188" spans="51:51" hidden="1">
      <c r="AY1188" s="647"/>
    </row>
    <row r="1189" spans="51:51" hidden="1">
      <c r="AY1189" s="647"/>
    </row>
    <row r="1190" spans="51:51" hidden="1">
      <c r="AY1190" s="647"/>
    </row>
    <row r="1191" spans="51:51" hidden="1">
      <c r="AY1191" s="647"/>
    </row>
    <row r="1192" spans="51:51" hidden="1">
      <c r="AY1192" s="647"/>
    </row>
    <row r="1193" spans="51:51" hidden="1">
      <c r="AY1193" s="647"/>
    </row>
    <row r="1194" spans="51:51" hidden="1">
      <c r="AY1194" s="647"/>
    </row>
    <row r="1195" spans="51:51" hidden="1">
      <c r="AY1195" s="647"/>
    </row>
    <row r="1196" spans="51:51" hidden="1">
      <c r="AY1196" s="647"/>
    </row>
    <row r="1197" spans="51:51" hidden="1">
      <c r="AY1197" s="647"/>
    </row>
    <row r="1198" spans="51:51" hidden="1">
      <c r="AY1198" s="647"/>
    </row>
    <row r="1199" spans="51:51" hidden="1">
      <c r="AY1199" s="647"/>
    </row>
    <row r="1200" spans="51:51" hidden="1">
      <c r="AY1200" s="647"/>
    </row>
    <row r="1201" spans="51:51" hidden="1">
      <c r="AY1201" s="647"/>
    </row>
    <row r="1202" spans="51:51" hidden="1">
      <c r="AY1202" s="647"/>
    </row>
    <row r="1203" spans="51:51" hidden="1">
      <c r="AY1203" s="647"/>
    </row>
    <row r="1204" spans="51:51" hidden="1">
      <c r="AY1204" s="647"/>
    </row>
    <row r="1205" spans="51:51" hidden="1">
      <c r="AY1205" s="647"/>
    </row>
    <row r="1206" spans="51:51" hidden="1">
      <c r="AY1206" s="647"/>
    </row>
    <row r="1207" spans="51:51" hidden="1">
      <c r="AY1207" s="647"/>
    </row>
    <row r="1208" spans="51:51" hidden="1">
      <c r="AY1208" s="647"/>
    </row>
    <row r="1209" spans="51:51" hidden="1">
      <c r="AY1209" s="647"/>
    </row>
    <row r="1210" spans="51:51" hidden="1">
      <c r="AY1210" s="647"/>
    </row>
    <row r="1211" spans="51:51" hidden="1">
      <c r="AY1211" s="647"/>
    </row>
    <row r="1212" spans="51:51" hidden="1">
      <c r="AY1212" s="647"/>
    </row>
    <row r="1213" spans="51:51" hidden="1">
      <c r="AY1213" s="647"/>
    </row>
    <row r="1214" spans="51:51" hidden="1">
      <c r="AY1214" s="647"/>
    </row>
    <row r="1215" spans="51:51" hidden="1">
      <c r="AY1215" s="647"/>
    </row>
    <row r="1216" spans="51:51" hidden="1">
      <c r="AY1216" s="647"/>
    </row>
    <row r="1217" spans="51:51" hidden="1">
      <c r="AY1217" s="647"/>
    </row>
    <row r="1218" spans="51:51" hidden="1">
      <c r="AY1218" s="647"/>
    </row>
    <row r="1219" spans="51:51" hidden="1">
      <c r="AY1219" s="647"/>
    </row>
    <row r="1220" spans="51:51" hidden="1">
      <c r="AY1220" s="647"/>
    </row>
    <row r="1221" spans="51:51" hidden="1">
      <c r="AY1221" s="647"/>
    </row>
    <row r="1222" spans="51:51" hidden="1">
      <c r="AY1222" s="647"/>
    </row>
    <row r="1223" spans="51:51" hidden="1">
      <c r="AY1223" s="647"/>
    </row>
    <row r="1224" spans="51:51" hidden="1">
      <c r="AY1224" s="647"/>
    </row>
    <row r="1225" spans="51:51" hidden="1">
      <c r="AY1225" s="647"/>
    </row>
    <row r="1226" spans="51:51" hidden="1">
      <c r="AY1226" s="647"/>
    </row>
    <row r="1227" spans="51:51" hidden="1">
      <c r="AY1227" s="647"/>
    </row>
    <row r="1228" spans="51:51" hidden="1">
      <c r="AY1228" s="647"/>
    </row>
    <row r="1229" spans="51:51" hidden="1">
      <c r="AY1229" s="647"/>
    </row>
    <row r="1230" spans="51:51" hidden="1">
      <c r="AY1230" s="647"/>
    </row>
    <row r="1231" spans="51:51" hidden="1">
      <c r="AY1231" s="647"/>
    </row>
    <row r="1232" spans="51:51" hidden="1">
      <c r="AY1232" s="647"/>
    </row>
    <row r="1233" spans="51:51" hidden="1">
      <c r="AY1233" s="647"/>
    </row>
    <row r="1234" spans="51:51" hidden="1">
      <c r="AY1234" s="647"/>
    </row>
    <row r="1235" spans="51:51" hidden="1">
      <c r="AY1235" s="647"/>
    </row>
    <row r="1236" spans="51:51" hidden="1">
      <c r="AY1236" s="647"/>
    </row>
    <row r="1237" spans="51:51" hidden="1">
      <c r="AY1237" s="647"/>
    </row>
    <row r="1238" spans="51:51" hidden="1">
      <c r="AY1238" s="647"/>
    </row>
    <row r="1239" spans="51:51" hidden="1">
      <c r="AY1239" s="647"/>
    </row>
    <row r="1240" spans="51:51" hidden="1">
      <c r="AY1240" s="647"/>
    </row>
    <row r="1241" spans="51:51" hidden="1">
      <c r="AY1241" s="647"/>
    </row>
    <row r="1242" spans="51:51" hidden="1">
      <c r="AY1242" s="647"/>
    </row>
    <row r="1243" spans="51:51" hidden="1">
      <c r="AY1243" s="647"/>
    </row>
    <row r="1244" spans="51:51" hidden="1">
      <c r="AY1244" s="647"/>
    </row>
    <row r="1245" spans="51:51" hidden="1">
      <c r="AY1245" s="647"/>
    </row>
    <row r="1246" spans="51:51" hidden="1">
      <c r="AY1246" s="647"/>
    </row>
    <row r="1247" spans="51:51" hidden="1">
      <c r="AY1247" s="647"/>
    </row>
    <row r="1248" spans="51:51" hidden="1">
      <c r="AY1248" s="647"/>
    </row>
    <row r="1249" spans="51:51" hidden="1">
      <c r="AY1249" s="647"/>
    </row>
    <row r="1250" spans="51:51" hidden="1">
      <c r="AY1250" s="647"/>
    </row>
    <row r="1251" spans="51:51" hidden="1">
      <c r="AY1251" s="647"/>
    </row>
    <row r="1252" spans="51:51" hidden="1">
      <c r="AY1252" s="647"/>
    </row>
    <row r="1253" spans="51:51" hidden="1">
      <c r="AY1253" s="647"/>
    </row>
    <row r="1254" spans="51:51" hidden="1">
      <c r="AY1254" s="647"/>
    </row>
    <row r="1255" spans="51:51" hidden="1">
      <c r="AY1255" s="647"/>
    </row>
    <row r="1256" spans="51:51" hidden="1">
      <c r="AY1256" s="647"/>
    </row>
    <row r="1257" spans="51:51" hidden="1">
      <c r="AY1257" s="647"/>
    </row>
    <row r="1258" spans="51:51" hidden="1">
      <c r="AY1258" s="647"/>
    </row>
    <row r="1259" spans="51:51" hidden="1">
      <c r="AY1259" s="647"/>
    </row>
    <row r="1260" spans="51:51" hidden="1">
      <c r="AY1260" s="647"/>
    </row>
    <row r="1261" spans="51:51" hidden="1">
      <c r="AY1261" s="647"/>
    </row>
    <row r="1262" spans="51:51" hidden="1">
      <c r="AY1262" s="647"/>
    </row>
    <row r="1263" spans="51:51" hidden="1">
      <c r="AY1263" s="647"/>
    </row>
    <row r="1264" spans="51:51" hidden="1">
      <c r="AY1264" s="647"/>
    </row>
    <row r="1265" spans="51:51" hidden="1">
      <c r="AY1265" s="647"/>
    </row>
    <row r="1266" spans="51:51" hidden="1">
      <c r="AY1266" s="647"/>
    </row>
    <row r="1267" spans="51:51" hidden="1">
      <c r="AY1267" s="647"/>
    </row>
    <row r="1268" spans="51:51" hidden="1">
      <c r="AY1268" s="647"/>
    </row>
    <row r="1269" spans="51:51" hidden="1">
      <c r="AY1269" s="647"/>
    </row>
    <row r="1270" spans="51:51" hidden="1">
      <c r="AY1270" s="647"/>
    </row>
    <row r="1271" spans="51:51" hidden="1">
      <c r="AY1271" s="647"/>
    </row>
    <row r="1272" spans="51:51" hidden="1">
      <c r="AY1272" s="647"/>
    </row>
    <row r="1273" spans="51:51" hidden="1">
      <c r="AY1273" s="647"/>
    </row>
    <row r="1274" spans="51:51" hidden="1">
      <c r="AY1274" s="647"/>
    </row>
    <row r="1275" spans="51:51" hidden="1">
      <c r="AY1275" s="647"/>
    </row>
    <row r="1276" spans="51:51" hidden="1">
      <c r="AY1276" s="647"/>
    </row>
    <row r="1277" spans="51:51" hidden="1">
      <c r="AY1277" s="647"/>
    </row>
    <row r="1278" spans="51:51" hidden="1">
      <c r="AY1278" s="647"/>
    </row>
    <row r="1279" spans="51:51" hidden="1">
      <c r="AY1279" s="647"/>
    </row>
    <row r="1280" spans="51:51" hidden="1">
      <c r="AY1280" s="647"/>
    </row>
    <row r="1281" spans="51:51" hidden="1">
      <c r="AY1281" s="647"/>
    </row>
    <row r="1282" spans="51:51" hidden="1">
      <c r="AY1282" s="647"/>
    </row>
    <row r="1283" spans="51:51" hidden="1">
      <c r="AY1283" s="647"/>
    </row>
    <row r="1284" spans="51:51" hidden="1">
      <c r="AY1284" s="647"/>
    </row>
    <row r="1285" spans="51:51" hidden="1">
      <c r="AY1285" s="647"/>
    </row>
    <row r="1286" spans="51:51" hidden="1">
      <c r="AY1286" s="647"/>
    </row>
    <row r="1287" spans="51:51" hidden="1">
      <c r="AY1287" s="647"/>
    </row>
    <row r="1288" spans="51:51" hidden="1">
      <c r="AY1288" s="647"/>
    </row>
    <row r="1289" spans="51:51" hidden="1">
      <c r="AY1289" s="647"/>
    </row>
    <row r="1290" spans="51:51" hidden="1">
      <c r="AY1290" s="647"/>
    </row>
    <row r="1291" spans="51:51" hidden="1">
      <c r="AY1291" s="647"/>
    </row>
    <row r="1292" spans="51:51" hidden="1">
      <c r="AY1292" s="647"/>
    </row>
    <row r="1293" spans="51:51" hidden="1">
      <c r="AY1293" s="647"/>
    </row>
    <row r="1294" spans="51:51" hidden="1">
      <c r="AY1294" s="647"/>
    </row>
    <row r="1295" spans="51:51" hidden="1">
      <c r="AY1295" s="647"/>
    </row>
    <row r="1296" spans="51:51" hidden="1">
      <c r="AY1296" s="647"/>
    </row>
    <row r="1297" spans="51:51" hidden="1">
      <c r="AY1297" s="647"/>
    </row>
    <row r="1298" spans="51:51" hidden="1">
      <c r="AY1298" s="647"/>
    </row>
    <row r="1299" spans="51:51" hidden="1">
      <c r="AY1299" s="647"/>
    </row>
    <row r="1300" spans="51:51" hidden="1">
      <c r="AY1300" s="647"/>
    </row>
    <row r="1301" spans="51:51" hidden="1">
      <c r="AY1301" s="647"/>
    </row>
    <row r="1302" spans="51:51" hidden="1">
      <c r="AY1302" s="647"/>
    </row>
    <row r="1303" spans="51:51" hidden="1">
      <c r="AY1303" s="647"/>
    </row>
    <row r="1304" spans="51:51" hidden="1">
      <c r="AY1304" s="647"/>
    </row>
    <row r="1305" spans="51:51" hidden="1">
      <c r="AY1305" s="647"/>
    </row>
    <row r="1306" spans="51:51" hidden="1">
      <c r="AY1306" s="647"/>
    </row>
    <row r="1307" spans="51:51" hidden="1">
      <c r="AY1307" s="647"/>
    </row>
    <row r="1308" spans="51:51" hidden="1">
      <c r="AY1308" s="647"/>
    </row>
    <row r="1309" spans="51:51" hidden="1">
      <c r="AY1309" s="647"/>
    </row>
    <row r="1310" spans="51:51" hidden="1">
      <c r="AY1310" s="647"/>
    </row>
    <row r="1311" spans="51:51" hidden="1">
      <c r="AY1311" s="647"/>
    </row>
    <row r="1312" spans="51:51" hidden="1">
      <c r="AY1312" s="647"/>
    </row>
    <row r="1313" spans="51:51" hidden="1">
      <c r="AY1313" s="647"/>
    </row>
    <row r="1314" spans="51:51" hidden="1">
      <c r="AY1314" s="647"/>
    </row>
    <row r="1315" spans="51:51" hidden="1">
      <c r="AY1315" s="647"/>
    </row>
    <row r="1316" spans="51:51" hidden="1">
      <c r="AY1316" s="647"/>
    </row>
    <row r="1317" spans="51:51" hidden="1">
      <c r="AY1317" s="647"/>
    </row>
    <row r="1318" spans="51:51" hidden="1">
      <c r="AY1318" s="647"/>
    </row>
    <row r="1319" spans="51:51" hidden="1">
      <c r="AY1319" s="647"/>
    </row>
    <row r="1320" spans="51:51" hidden="1">
      <c r="AY1320" s="647"/>
    </row>
    <row r="1321" spans="51:51" hidden="1">
      <c r="AY1321" s="647"/>
    </row>
    <row r="1322" spans="51:51" hidden="1">
      <c r="AY1322" s="647"/>
    </row>
    <row r="1323" spans="51:51" hidden="1">
      <c r="AY1323" s="647"/>
    </row>
    <row r="1324" spans="51:51" hidden="1">
      <c r="AY1324" s="647"/>
    </row>
    <row r="1325" spans="51:51" hidden="1">
      <c r="AY1325" s="647"/>
    </row>
    <row r="1326" spans="51:51" hidden="1">
      <c r="AY1326" s="647"/>
    </row>
    <row r="1327" spans="51:51" hidden="1">
      <c r="AY1327" s="647"/>
    </row>
    <row r="1328" spans="51:51" hidden="1">
      <c r="AY1328" s="647"/>
    </row>
    <row r="1329" spans="51:51" hidden="1">
      <c r="AY1329" s="647"/>
    </row>
    <row r="1330" spans="51:51" hidden="1">
      <c r="AY1330" s="647"/>
    </row>
    <row r="1331" spans="51:51" hidden="1">
      <c r="AY1331" s="647"/>
    </row>
    <row r="1332" spans="51:51" hidden="1">
      <c r="AY1332" s="647"/>
    </row>
    <row r="1333" spans="51:51" hidden="1">
      <c r="AY1333" s="647"/>
    </row>
    <row r="1334" spans="51:51" hidden="1">
      <c r="AY1334" s="647"/>
    </row>
    <row r="1335" spans="51:51" hidden="1">
      <c r="AY1335" s="647"/>
    </row>
    <row r="1336" spans="51:51" hidden="1">
      <c r="AY1336" s="647"/>
    </row>
    <row r="1337" spans="51:51" hidden="1">
      <c r="AY1337" s="647"/>
    </row>
    <row r="1338" spans="51:51" hidden="1">
      <c r="AY1338" s="647"/>
    </row>
    <row r="1339" spans="51:51" hidden="1">
      <c r="AY1339" s="647"/>
    </row>
    <row r="1340" spans="51:51" hidden="1">
      <c r="AY1340" s="647"/>
    </row>
    <row r="1341" spans="51:51" hidden="1">
      <c r="AY1341" s="647"/>
    </row>
    <row r="1342" spans="51:51" hidden="1">
      <c r="AY1342" s="647"/>
    </row>
    <row r="1343" spans="51:51" hidden="1">
      <c r="AY1343" s="647"/>
    </row>
    <row r="1344" spans="51:51" hidden="1">
      <c r="AY1344" s="647"/>
    </row>
    <row r="1345" spans="51:51" hidden="1">
      <c r="AY1345" s="647"/>
    </row>
    <row r="1346" spans="51:51" hidden="1">
      <c r="AY1346" s="647"/>
    </row>
    <row r="1347" spans="51:51" hidden="1">
      <c r="AY1347" s="647"/>
    </row>
    <row r="1348" spans="51:51" hidden="1">
      <c r="AY1348" s="647"/>
    </row>
    <row r="1349" spans="51:51" hidden="1">
      <c r="AY1349" s="647"/>
    </row>
    <row r="1350" spans="51:51" hidden="1">
      <c r="AY1350" s="647"/>
    </row>
    <row r="1351" spans="51:51" hidden="1">
      <c r="AY1351" s="647"/>
    </row>
    <row r="1352" spans="51:51" hidden="1">
      <c r="AY1352" s="647"/>
    </row>
    <row r="1353" spans="51:51" hidden="1">
      <c r="AY1353" s="647"/>
    </row>
    <row r="1354" spans="51:51" hidden="1">
      <c r="AY1354" s="647"/>
    </row>
    <row r="1355" spans="51:51" hidden="1">
      <c r="AY1355" s="647"/>
    </row>
    <row r="1356" spans="51:51" hidden="1">
      <c r="AY1356" s="647"/>
    </row>
    <row r="1357" spans="51:51" hidden="1">
      <c r="AY1357" s="647"/>
    </row>
    <row r="1358" spans="51:51" hidden="1">
      <c r="AY1358" s="647"/>
    </row>
    <row r="1359" spans="51:51" hidden="1">
      <c r="AY1359" s="647"/>
    </row>
    <row r="1360" spans="51:51" hidden="1">
      <c r="AY1360" s="647"/>
    </row>
    <row r="1361" spans="51:51" hidden="1">
      <c r="AY1361" s="647"/>
    </row>
    <row r="1362" spans="51:51" hidden="1">
      <c r="AY1362" s="647"/>
    </row>
    <row r="1363" spans="51:51" hidden="1">
      <c r="AY1363" s="647"/>
    </row>
    <row r="1364" spans="51:51" hidden="1">
      <c r="AY1364" s="647"/>
    </row>
    <row r="1365" spans="51:51" hidden="1">
      <c r="AY1365" s="647"/>
    </row>
    <row r="1366" spans="51:51" hidden="1">
      <c r="AY1366" s="647"/>
    </row>
    <row r="1367" spans="51:51" hidden="1">
      <c r="AY1367" s="647"/>
    </row>
    <row r="1368" spans="51:51" hidden="1">
      <c r="AY1368" s="647"/>
    </row>
    <row r="1369" spans="51:51" hidden="1">
      <c r="AY1369" s="647"/>
    </row>
    <row r="1370" spans="51:51" hidden="1">
      <c r="AY1370" s="647"/>
    </row>
    <row r="1371" spans="51:51" hidden="1">
      <c r="AY1371" s="647"/>
    </row>
    <row r="1372" spans="51:51" hidden="1">
      <c r="AY1372" s="647"/>
    </row>
    <row r="1373" spans="51:51" hidden="1">
      <c r="AY1373" s="647"/>
    </row>
    <row r="1374" spans="51:51" hidden="1">
      <c r="AY1374" s="647"/>
    </row>
    <row r="1375" spans="51:51" hidden="1">
      <c r="AY1375" s="647"/>
    </row>
    <row r="1376" spans="51:51" hidden="1">
      <c r="AY1376" s="647"/>
    </row>
    <row r="1377" spans="51:51" hidden="1">
      <c r="AY1377" s="647"/>
    </row>
    <row r="1378" spans="51:51" hidden="1">
      <c r="AY1378" s="647"/>
    </row>
    <row r="1379" spans="51:51" hidden="1">
      <c r="AY1379" s="647"/>
    </row>
    <row r="1380" spans="51:51" hidden="1">
      <c r="AY1380" s="647"/>
    </row>
    <row r="1381" spans="51:51" hidden="1">
      <c r="AY1381" s="647"/>
    </row>
    <row r="1382" spans="51:51" hidden="1">
      <c r="AY1382" s="647"/>
    </row>
    <row r="1383" spans="51:51" hidden="1">
      <c r="AY1383" s="647"/>
    </row>
    <row r="1384" spans="51:51" hidden="1">
      <c r="AY1384" s="647"/>
    </row>
    <row r="1385" spans="51:51" hidden="1">
      <c r="AY1385" s="647"/>
    </row>
    <row r="1386" spans="51:51" hidden="1">
      <c r="AY1386" s="647"/>
    </row>
    <row r="1387" spans="51:51" hidden="1">
      <c r="AY1387" s="647"/>
    </row>
    <row r="1388" spans="51:51" hidden="1">
      <c r="AY1388" s="647"/>
    </row>
    <row r="1389" spans="51:51" hidden="1">
      <c r="AY1389" s="647"/>
    </row>
    <row r="1390" spans="51:51" hidden="1">
      <c r="AY1390" s="647"/>
    </row>
    <row r="1391" spans="51:51" hidden="1">
      <c r="AY1391" s="647"/>
    </row>
    <row r="1392" spans="51:51" hidden="1">
      <c r="AY1392" s="647"/>
    </row>
    <row r="1393" spans="51:51" hidden="1">
      <c r="AY1393" s="647"/>
    </row>
    <row r="1394" spans="51:51" hidden="1">
      <c r="AY1394" s="647"/>
    </row>
    <row r="1395" spans="51:51" hidden="1">
      <c r="AY1395" s="647"/>
    </row>
    <row r="1396" spans="51:51" hidden="1">
      <c r="AY1396" s="647"/>
    </row>
    <row r="1397" spans="51:51" hidden="1">
      <c r="AY1397" s="647"/>
    </row>
    <row r="1398" spans="51:51" hidden="1">
      <c r="AY1398" s="647"/>
    </row>
    <row r="1399" spans="51:51" hidden="1">
      <c r="AY1399" s="647"/>
    </row>
    <row r="1400" spans="51:51" hidden="1">
      <c r="AY1400" s="647"/>
    </row>
    <row r="1401" spans="51:51" hidden="1">
      <c r="AY1401" s="647"/>
    </row>
    <row r="1402" spans="51:51" hidden="1">
      <c r="AY1402" s="647"/>
    </row>
    <row r="1403" spans="51:51" hidden="1">
      <c r="AY1403" s="647"/>
    </row>
    <row r="1404" spans="51:51" hidden="1">
      <c r="AY1404" s="647"/>
    </row>
    <row r="1405" spans="51:51" hidden="1">
      <c r="AY1405" s="647"/>
    </row>
    <row r="1406" spans="51:51" hidden="1">
      <c r="AY1406" s="647"/>
    </row>
    <row r="1407" spans="51:51" hidden="1">
      <c r="AY1407" s="647"/>
    </row>
    <row r="1408" spans="51:51" hidden="1">
      <c r="AY1408" s="647"/>
    </row>
    <row r="1409" spans="51:51" hidden="1">
      <c r="AY1409" s="647"/>
    </row>
    <row r="1410" spans="51:51" hidden="1">
      <c r="AY1410" s="647"/>
    </row>
    <row r="1411" spans="51:51" hidden="1">
      <c r="AY1411" s="647"/>
    </row>
    <row r="1412" spans="51:51" hidden="1">
      <c r="AY1412" s="647"/>
    </row>
    <row r="1413" spans="51:51" hidden="1">
      <c r="AY1413" s="647"/>
    </row>
    <row r="1414" spans="51:51" hidden="1">
      <c r="AY1414" s="647"/>
    </row>
    <row r="1415" spans="51:51" hidden="1">
      <c r="AY1415" s="647"/>
    </row>
    <row r="1416" spans="51:51" hidden="1">
      <c r="AY1416" s="647"/>
    </row>
    <row r="1417" spans="51:51" hidden="1">
      <c r="AY1417" s="647"/>
    </row>
    <row r="1418" spans="51:51" hidden="1">
      <c r="AY1418" s="647"/>
    </row>
    <row r="1419" spans="51:51" hidden="1">
      <c r="AY1419" s="647"/>
    </row>
    <row r="1420" spans="51:51" hidden="1">
      <c r="AY1420" s="647"/>
    </row>
    <row r="1421" spans="51:51" hidden="1">
      <c r="AY1421" s="647"/>
    </row>
    <row r="1422" spans="51:51" hidden="1">
      <c r="AY1422" s="647"/>
    </row>
    <row r="1423" spans="51:51" hidden="1">
      <c r="AY1423" s="647"/>
    </row>
    <row r="1424" spans="51:51" hidden="1">
      <c r="AY1424" s="647"/>
    </row>
    <row r="1425" spans="51:51">
      <c r="AY1425" s="647"/>
    </row>
    <row r="1426" spans="51:51">
      <c r="AY1426" s="647"/>
    </row>
    <row r="1427" spans="51:51">
      <c r="AY1427" s="647"/>
    </row>
    <row r="1428" spans="51:51">
      <c r="AY1428" s="647"/>
    </row>
    <row r="1429" spans="51:51">
      <c r="AY1429" s="647"/>
    </row>
    <row r="1430" spans="51:51">
      <c r="AY1430" s="647"/>
    </row>
    <row r="1431" spans="51:51">
      <c r="AY1431" s="647"/>
    </row>
    <row r="1432" spans="51:51">
      <c r="AY1432" s="647"/>
    </row>
    <row r="1433" spans="51:51">
      <c r="AY1433" s="647"/>
    </row>
    <row r="1434" spans="51:51">
      <c r="AY1434" s="647"/>
    </row>
    <row r="1435" spans="51:51">
      <c r="AY1435" s="647"/>
    </row>
    <row r="1436" spans="51:51">
      <c r="AY1436" s="647"/>
    </row>
    <row r="1437" spans="51:51">
      <c r="AY1437" s="647"/>
    </row>
    <row r="1438" spans="51:51">
      <c r="AY1438" s="647"/>
    </row>
    <row r="1439" spans="51:51">
      <c r="AY1439" s="647"/>
    </row>
    <row r="1440" spans="51:51">
      <c r="AY1440" s="647"/>
    </row>
    <row r="1441" spans="51:51">
      <c r="AY1441" s="647"/>
    </row>
    <row r="1442" spans="51:51">
      <c r="AY1442" s="647"/>
    </row>
    <row r="1443" spans="51:51">
      <c r="AY1443" s="647"/>
    </row>
    <row r="1444" spans="51:51">
      <c r="AY1444" s="647"/>
    </row>
    <row r="1445" spans="51:51">
      <c r="AY1445" s="647"/>
    </row>
    <row r="1446" spans="51:51">
      <c r="AY1446" s="647"/>
    </row>
    <row r="1447" spans="51:51">
      <c r="AY1447" s="647"/>
    </row>
    <row r="1448" spans="51:51">
      <c r="AY1448" s="647"/>
    </row>
    <row r="1449" spans="51:51">
      <c r="AY1449" s="647"/>
    </row>
    <row r="1450" spans="51:51">
      <c r="AY1450" s="647"/>
    </row>
    <row r="1451" spans="51:51">
      <c r="AY1451" s="647"/>
    </row>
    <row r="1452" spans="51:51">
      <c r="AY1452" s="647"/>
    </row>
    <row r="1453" spans="51:51">
      <c r="AY1453" s="647"/>
    </row>
    <row r="1454" spans="51:51">
      <c r="AY1454" s="647"/>
    </row>
    <row r="1455" spans="51:51">
      <c r="AY1455" s="647"/>
    </row>
    <row r="1456" spans="51:51">
      <c r="AY1456" s="647"/>
    </row>
    <row r="1457" spans="51:51">
      <c r="AY1457" s="647"/>
    </row>
    <row r="1458" spans="51:51">
      <c r="AY1458" s="647"/>
    </row>
    <row r="1459" spans="51:51">
      <c r="AY1459" s="647"/>
    </row>
    <row r="1460" spans="51:51">
      <c r="AY1460" s="647"/>
    </row>
    <row r="1461" spans="51:51">
      <c r="AY1461" s="647"/>
    </row>
    <row r="1462" spans="51:51">
      <c r="AY1462" s="647"/>
    </row>
    <row r="1463" spans="51:51">
      <c r="AY1463" s="647"/>
    </row>
    <row r="1464" spans="51:51">
      <c r="AY1464" s="647"/>
    </row>
    <row r="1465" spans="51:51">
      <c r="AY1465" s="647"/>
    </row>
    <row r="1466" spans="51:51">
      <c r="AY1466" s="647"/>
    </row>
    <row r="1467" spans="51:51">
      <c r="AY1467" s="647"/>
    </row>
    <row r="1468" spans="51:51">
      <c r="AY1468" s="647"/>
    </row>
    <row r="1469" spans="51:51">
      <c r="AY1469" s="647"/>
    </row>
    <row r="1470" spans="51:51">
      <c r="AY1470" s="647"/>
    </row>
    <row r="1471" spans="51:51">
      <c r="AY1471" s="647"/>
    </row>
    <row r="1472" spans="51:51">
      <c r="AY1472" s="647"/>
    </row>
    <row r="1473" spans="51:51">
      <c r="AY1473" s="647"/>
    </row>
    <row r="1474" spans="51:51">
      <c r="AY1474" s="647"/>
    </row>
    <row r="1475" spans="51:51">
      <c r="AY1475" s="647"/>
    </row>
    <row r="1476" spans="51:51">
      <c r="AY1476" s="647"/>
    </row>
    <row r="1477" spans="51:51">
      <c r="AY1477" s="647"/>
    </row>
    <row r="1478" spans="51:51">
      <c r="AY1478" s="647"/>
    </row>
    <row r="1479" spans="51:51">
      <c r="AY1479" s="647"/>
    </row>
    <row r="1480" spans="51:51">
      <c r="AY1480" s="647"/>
    </row>
    <row r="1481" spans="51:51">
      <c r="AY1481" s="647"/>
    </row>
    <row r="1482" spans="51:51">
      <c r="AY1482" s="647"/>
    </row>
    <row r="1483" spans="51:51">
      <c r="AY1483" s="647"/>
    </row>
    <row r="1484" spans="51:51">
      <c r="AY1484" s="647"/>
    </row>
    <row r="1485" spans="51:51">
      <c r="AY1485" s="647"/>
    </row>
    <row r="1486" spans="51:51">
      <c r="AY1486" s="647"/>
    </row>
    <row r="1487" spans="51:51">
      <c r="AY1487" s="647"/>
    </row>
    <row r="1488" spans="51:51">
      <c r="AY1488" s="647"/>
    </row>
    <row r="1489" spans="51:51">
      <c r="AY1489" s="647"/>
    </row>
    <row r="1490" spans="51:51">
      <c r="AY1490" s="647"/>
    </row>
    <row r="1491" spans="51:51">
      <c r="AY1491" s="647"/>
    </row>
    <row r="1492" spans="51:51">
      <c r="AY1492" s="647"/>
    </row>
    <row r="1493" spans="51:51">
      <c r="AY1493" s="647"/>
    </row>
    <row r="1494" spans="51:51">
      <c r="AY1494" s="647"/>
    </row>
    <row r="1495" spans="51:51">
      <c r="AY1495" s="647"/>
    </row>
    <row r="1496" spans="51:51">
      <c r="AY1496" s="647"/>
    </row>
    <row r="1497" spans="51:51">
      <c r="AY1497" s="647"/>
    </row>
    <row r="1498" spans="51:51">
      <c r="AY1498" s="647"/>
    </row>
    <row r="1499" spans="51:51">
      <c r="AY1499" s="647"/>
    </row>
    <row r="1500" spans="51:51">
      <c r="AY1500" s="647"/>
    </row>
    <row r="1501" spans="51:51">
      <c r="AY1501" s="647"/>
    </row>
    <row r="1502" spans="51:51">
      <c r="AY1502" s="647"/>
    </row>
    <row r="1503" spans="51:51">
      <c r="AY1503" s="647"/>
    </row>
    <row r="1504" spans="51:51">
      <c r="AY1504" s="647"/>
    </row>
    <row r="1505" spans="51:51">
      <c r="AY1505" s="647"/>
    </row>
    <row r="1506" spans="51:51">
      <c r="AY1506" s="647"/>
    </row>
    <row r="1507" spans="51:51">
      <c r="AY1507" s="647"/>
    </row>
    <row r="1508" spans="51:51">
      <c r="AY1508" s="647"/>
    </row>
    <row r="1509" spans="51:51">
      <c r="AY1509" s="647"/>
    </row>
    <row r="1510" spans="51:51">
      <c r="AY1510" s="647"/>
    </row>
    <row r="1511" spans="51:51">
      <c r="AY1511" s="647"/>
    </row>
    <row r="1512" spans="51:51">
      <c r="AY1512" s="647"/>
    </row>
    <row r="1513" spans="51:51">
      <c r="AY1513" s="647"/>
    </row>
    <row r="1514" spans="51:51">
      <c r="AY1514" s="647"/>
    </row>
    <row r="1515" spans="51:51">
      <c r="AY1515" s="647"/>
    </row>
    <row r="1516" spans="51:51">
      <c r="AY1516" s="647"/>
    </row>
    <row r="1517" spans="51:51">
      <c r="AY1517" s="647"/>
    </row>
    <row r="1518" spans="51:51">
      <c r="AY1518" s="647"/>
    </row>
    <row r="1519" spans="51:51">
      <c r="AY1519" s="647"/>
    </row>
    <row r="1520" spans="51:51">
      <c r="AY1520" s="647"/>
    </row>
    <row r="1521" spans="51:51">
      <c r="AY1521" s="647"/>
    </row>
    <row r="1522" spans="51:51">
      <c r="AY1522" s="647"/>
    </row>
    <row r="1523" spans="51:51">
      <c r="AY1523" s="647"/>
    </row>
    <row r="1524" spans="51:51">
      <c r="AY1524" s="647"/>
    </row>
    <row r="1525" spans="51:51">
      <c r="AY1525" s="647"/>
    </row>
    <row r="1526" spans="51:51">
      <c r="AY1526" s="647"/>
    </row>
    <row r="1527" spans="51:51">
      <c r="AY1527" s="647"/>
    </row>
    <row r="1528" spans="51:51">
      <c r="AY1528" s="647"/>
    </row>
    <row r="1529" spans="51:51">
      <c r="AY1529" s="647"/>
    </row>
    <row r="1530" spans="51:51">
      <c r="AY1530" s="647"/>
    </row>
    <row r="1531" spans="51:51">
      <c r="AY1531" s="647"/>
    </row>
    <row r="1532" spans="51:51">
      <c r="AY1532" s="647"/>
    </row>
    <row r="1533" spans="51:51">
      <c r="AY1533" s="647"/>
    </row>
    <row r="1534" spans="51:51">
      <c r="AY1534" s="647"/>
    </row>
    <row r="1535" spans="51:51">
      <c r="AY1535" s="647"/>
    </row>
    <row r="1536" spans="51:51">
      <c r="AY1536" s="647"/>
    </row>
    <row r="1537" spans="51:51">
      <c r="AY1537" s="647"/>
    </row>
    <row r="1538" spans="51:51">
      <c r="AY1538" s="647"/>
    </row>
    <row r="1539" spans="51:51">
      <c r="AY1539" s="647"/>
    </row>
    <row r="1540" spans="51:51">
      <c r="AY1540" s="647"/>
    </row>
    <row r="1541" spans="51:51">
      <c r="AY1541" s="647"/>
    </row>
    <row r="1542" spans="51:51">
      <c r="AY1542" s="647"/>
    </row>
    <row r="1543" spans="51:51">
      <c r="AY1543" s="647"/>
    </row>
    <row r="1544" spans="51:51">
      <c r="AY1544" s="647"/>
    </row>
    <row r="1545" spans="51:51">
      <c r="AY1545" s="647"/>
    </row>
    <row r="1546" spans="51:51">
      <c r="AY1546" s="647"/>
    </row>
    <row r="1547" spans="51:51">
      <c r="AY1547" s="647"/>
    </row>
    <row r="1548" spans="51:51">
      <c r="AY1548" s="647"/>
    </row>
    <row r="1549" spans="51:51">
      <c r="AY1549" s="647"/>
    </row>
    <row r="1550" spans="51:51">
      <c r="AY1550" s="647"/>
    </row>
    <row r="1551" spans="51:51">
      <c r="AY1551" s="647"/>
    </row>
    <row r="1552" spans="51:51">
      <c r="AY1552" s="647"/>
    </row>
    <row r="1553" spans="51:51">
      <c r="AY1553" s="647"/>
    </row>
    <row r="1554" spans="51:51">
      <c r="AY1554" s="647"/>
    </row>
    <row r="1555" spans="51:51">
      <c r="AY1555" s="647"/>
    </row>
    <row r="1556" spans="51:51">
      <c r="AY1556" s="647"/>
    </row>
    <row r="1557" spans="51:51">
      <c r="AY1557" s="647"/>
    </row>
    <row r="1558" spans="51:51">
      <c r="AY1558" s="647"/>
    </row>
    <row r="1559" spans="51:51">
      <c r="AY1559" s="647"/>
    </row>
    <row r="1560" spans="51:51">
      <c r="AY1560" s="647"/>
    </row>
    <row r="1561" spans="51:51">
      <c r="AY1561" s="647"/>
    </row>
    <row r="1562" spans="51:51">
      <c r="AY1562" s="647"/>
    </row>
    <row r="1563" spans="51:51">
      <c r="AY1563" s="647"/>
    </row>
    <row r="1564" spans="51:51">
      <c r="AY1564" s="647"/>
    </row>
    <row r="1565" spans="51:51">
      <c r="AY1565" s="647"/>
    </row>
    <row r="1566" spans="51:51">
      <c r="AY1566" s="647"/>
    </row>
    <row r="1567" spans="51:51">
      <c r="AY1567" s="647"/>
    </row>
    <row r="1568" spans="51:51">
      <c r="AY1568" s="647"/>
    </row>
    <row r="1569" spans="51:51">
      <c r="AY1569" s="647"/>
    </row>
    <row r="1570" spans="51:51">
      <c r="AY1570" s="647"/>
    </row>
    <row r="1571" spans="51:51">
      <c r="AY1571" s="647"/>
    </row>
    <row r="1572" spans="51:51">
      <c r="AY1572" s="647"/>
    </row>
    <row r="1573" spans="51:51">
      <c r="AY1573" s="647"/>
    </row>
    <row r="1574" spans="51:51">
      <c r="AY1574" s="647"/>
    </row>
    <row r="1575" spans="51:51">
      <c r="AY1575" s="647"/>
    </row>
    <row r="1576" spans="51:51">
      <c r="AY1576" s="647"/>
    </row>
    <row r="1577" spans="51:51">
      <c r="AY1577" s="647"/>
    </row>
    <row r="1578" spans="51:51">
      <c r="AY1578" s="647"/>
    </row>
    <row r="1579" spans="51:51">
      <c r="AY1579" s="647"/>
    </row>
    <row r="1580" spans="51:51">
      <c r="AY1580" s="647"/>
    </row>
    <row r="1581" spans="51:51">
      <c r="AY1581" s="647"/>
    </row>
    <row r="1582" spans="51:51">
      <c r="AY1582" s="647"/>
    </row>
    <row r="1583" spans="51:51">
      <c r="AY1583" s="647"/>
    </row>
    <row r="1584" spans="51:51">
      <c r="AY1584" s="647"/>
    </row>
    <row r="1585" spans="51:51">
      <c r="AY1585" s="647"/>
    </row>
    <row r="1586" spans="51:51">
      <c r="AY1586" s="647"/>
    </row>
    <row r="1587" spans="51:51">
      <c r="AY1587" s="647"/>
    </row>
    <row r="1588" spans="51:51">
      <c r="AY1588" s="647"/>
    </row>
    <row r="1589" spans="51:51">
      <c r="AY1589" s="647"/>
    </row>
    <row r="1590" spans="51:51">
      <c r="AY1590" s="647"/>
    </row>
    <row r="1591" spans="51:51">
      <c r="AY1591" s="647"/>
    </row>
    <row r="1592" spans="51:51">
      <c r="AY1592" s="647"/>
    </row>
    <row r="1593" spans="51:51">
      <c r="AY1593" s="647"/>
    </row>
    <row r="1594" spans="51:51">
      <c r="AY1594" s="647"/>
    </row>
    <row r="1595" spans="51:51">
      <c r="AY1595" s="647"/>
    </row>
    <row r="1596" spans="51:51">
      <c r="AY1596" s="647"/>
    </row>
    <row r="1597" spans="51:51">
      <c r="AY1597" s="647"/>
    </row>
    <row r="1598" spans="51:51">
      <c r="AY1598" s="647"/>
    </row>
    <row r="1599" spans="51:51">
      <c r="AY1599" s="647"/>
    </row>
    <row r="1600" spans="51:51">
      <c r="AY1600" s="647"/>
    </row>
    <row r="1601" spans="51:51">
      <c r="AY1601" s="647"/>
    </row>
    <row r="1602" spans="51:51">
      <c r="AY1602" s="647"/>
    </row>
    <row r="1603" spans="51:51">
      <c r="AY1603" s="647"/>
    </row>
    <row r="1604" spans="51:51">
      <c r="AY1604" s="647"/>
    </row>
    <row r="1605" spans="51:51">
      <c r="AY1605" s="647"/>
    </row>
    <row r="1606" spans="51:51">
      <c r="AY1606" s="647"/>
    </row>
    <row r="1607" spans="51:51">
      <c r="AY1607" s="647"/>
    </row>
    <row r="1608" spans="51:51">
      <c r="AY1608" s="647"/>
    </row>
    <row r="1609" spans="51:51">
      <c r="AY1609" s="647"/>
    </row>
    <row r="1610" spans="51:51">
      <c r="AY1610" s="647"/>
    </row>
    <row r="1611" spans="51:51">
      <c r="AY1611" s="647"/>
    </row>
    <row r="1612" spans="51:51">
      <c r="AY1612" s="647"/>
    </row>
    <row r="1613" spans="51:51">
      <c r="AY1613" s="647"/>
    </row>
    <row r="1614" spans="51:51">
      <c r="AY1614" s="647"/>
    </row>
    <row r="1615" spans="51:51">
      <c r="AY1615" s="647"/>
    </row>
    <row r="1616" spans="51:51">
      <c r="AY1616" s="647"/>
    </row>
    <row r="1617" spans="51:51">
      <c r="AY1617" s="647"/>
    </row>
    <row r="1618" spans="51:51">
      <c r="AY1618" s="647"/>
    </row>
    <row r="1619" spans="51:51">
      <c r="AY1619" s="647"/>
    </row>
    <row r="1620" spans="51:51">
      <c r="AY1620" s="647"/>
    </row>
    <row r="1621" spans="51:51">
      <c r="AY1621" s="647"/>
    </row>
    <row r="1622" spans="51:51">
      <c r="AY1622" s="647"/>
    </row>
    <row r="1623" spans="51:51">
      <c r="AY1623" s="647"/>
    </row>
    <row r="1624" spans="51:51">
      <c r="AY1624" s="647"/>
    </row>
    <row r="1625" spans="51:51">
      <c r="AY1625" s="647"/>
    </row>
    <row r="1626" spans="51:51">
      <c r="AY1626" s="647"/>
    </row>
    <row r="1627" spans="51:51">
      <c r="AY1627" s="647"/>
    </row>
    <row r="1628" spans="51:51">
      <c r="AY1628" s="647"/>
    </row>
    <row r="1629" spans="51:51">
      <c r="AY1629" s="647"/>
    </row>
    <row r="1630" spans="51:51">
      <c r="AY1630" s="647"/>
    </row>
    <row r="1631" spans="51:51">
      <c r="AY1631" s="647"/>
    </row>
    <row r="1632" spans="51:51">
      <c r="AY1632" s="647"/>
    </row>
    <row r="1633" spans="51:51">
      <c r="AY1633" s="647"/>
    </row>
    <row r="1634" spans="51:51">
      <c r="AY1634" s="647"/>
    </row>
    <row r="1635" spans="51:51">
      <c r="AY1635" s="647"/>
    </row>
    <row r="1636" spans="51:51">
      <c r="AY1636" s="647"/>
    </row>
    <row r="1637" spans="51:51">
      <c r="AY1637" s="647"/>
    </row>
    <row r="1638" spans="51:51">
      <c r="AY1638" s="647"/>
    </row>
    <row r="1639" spans="51:51">
      <c r="AY1639" s="647"/>
    </row>
    <row r="1640" spans="51:51">
      <c r="AY1640" s="647"/>
    </row>
    <row r="1641" spans="51:51">
      <c r="AY1641" s="647"/>
    </row>
    <row r="1642" spans="51:51">
      <c r="AY1642" s="647"/>
    </row>
    <row r="1643" spans="51:51">
      <c r="AY1643" s="647"/>
    </row>
    <row r="1644" spans="51:51">
      <c r="AY1644" s="647"/>
    </row>
    <row r="1645" spans="51:51">
      <c r="AY1645" s="647"/>
    </row>
    <row r="1646" spans="51:51">
      <c r="AY1646" s="647"/>
    </row>
    <row r="1647" spans="51:51">
      <c r="AY1647" s="647"/>
    </row>
    <row r="1648" spans="51:51">
      <c r="AY1648" s="647"/>
    </row>
    <row r="1649" spans="51:51">
      <c r="AY1649" s="647"/>
    </row>
    <row r="1650" spans="51:51">
      <c r="AY1650" s="647"/>
    </row>
    <row r="1651" spans="51:51">
      <c r="AY1651" s="647"/>
    </row>
    <row r="1652" spans="51:51">
      <c r="AY1652" s="647"/>
    </row>
    <row r="1653" spans="51:51">
      <c r="AY1653" s="647"/>
    </row>
    <row r="1654" spans="51:51">
      <c r="AY1654" s="647"/>
    </row>
    <row r="1655" spans="51:51">
      <c r="AY1655" s="647"/>
    </row>
    <row r="1656" spans="51:51">
      <c r="AY1656" s="647"/>
    </row>
    <row r="1657" spans="51:51">
      <c r="AY1657" s="647"/>
    </row>
    <row r="1658" spans="51:51">
      <c r="AY1658" s="647"/>
    </row>
    <row r="1659" spans="51:51">
      <c r="AY1659" s="647"/>
    </row>
    <row r="1660" spans="51:51">
      <c r="AY1660" s="647"/>
    </row>
    <row r="1661" spans="51:51">
      <c r="AY1661" s="647"/>
    </row>
    <row r="1662" spans="51:51">
      <c r="AY1662" s="647"/>
    </row>
    <row r="1663" spans="51:51">
      <c r="AY1663" s="647"/>
    </row>
    <row r="1664" spans="51:51">
      <c r="AY1664" s="647"/>
    </row>
    <row r="1665" spans="51:51">
      <c r="AY1665" s="647"/>
    </row>
    <row r="1666" spans="51:51">
      <c r="AY1666" s="647"/>
    </row>
    <row r="1667" spans="51:51">
      <c r="AY1667" s="647"/>
    </row>
    <row r="1668" spans="51:51">
      <c r="AY1668" s="647"/>
    </row>
    <row r="1669" spans="51:51">
      <c r="AY1669" s="647"/>
    </row>
    <row r="1670" spans="51:51">
      <c r="AY1670" s="647"/>
    </row>
    <row r="1671" spans="51:51">
      <c r="AY1671" s="647"/>
    </row>
    <row r="1672" spans="51:51">
      <c r="AY1672" s="647"/>
    </row>
    <row r="1673" spans="51:51">
      <c r="AY1673" s="647"/>
    </row>
    <row r="1674" spans="51:51">
      <c r="AY1674" s="647"/>
    </row>
    <row r="1675" spans="51:51">
      <c r="AY1675" s="647"/>
    </row>
    <row r="1676" spans="51:51">
      <c r="AY1676" s="647"/>
    </row>
    <row r="1677" spans="51:51">
      <c r="AY1677" s="647"/>
    </row>
    <row r="1678" spans="51:51">
      <c r="AY1678" s="647"/>
    </row>
    <row r="1679" spans="51:51">
      <c r="AY1679" s="647"/>
    </row>
    <row r="1680" spans="51:51">
      <c r="AY1680" s="647"/>
    </row>
    <row r="1681" spans="51:51">
      <c r="AY1681" s="647"/>
    </row>
    <row r="1682" spans="51:51">
      <c r="AY1682" s="647"/>
    </row>
    <row r="1683" spans="51:51">
      <c r="AY1683" s="647"/>
    </row>
    <row r="1684" spans="51:51">
      <c r="AY1684" s="647"/>
    </row>
    <row r="1685" spans="51:51">
      <c r="AY1685" s="647"/>
    </row>
    <row r="1686" spans="51:51">
      <c r="AY1686" s="647"/>
    </row>
    <row r="1687" spans="51:51">
      <c r="AY1687" s="647"/>
    </row>
    <row r="1688" spans="51:51">
      <c r="AY1688" s="647"/>
    </row>
    <row r="1689" spans="51:51">
      <c r="AY1689" s="647"/>
    </row>
    <row r="1690" spans="51:51">
      <c r="AY1690" s="647"/>
    </row>
    <row r="1691" spans="51:51">
      <c r="AY1691" s="647"/>
    </row>
    <row r="1692" spans="51:51">
      <c r="AY1692" s="647"/>
    </row>
    <row r="1693" spans="51:51">
      <c r="AY1693" s="647"/>
    </row>
    <row r="1694" spans="51:51">
      <c r="AY1694" s="647"/>
    </row>
    <row r="1695" spans="51:51">
      <c r="AY1695" s="647"/>
    </row>
    <row r="1696" spans="51:51">
      <c r="AY1696" s="647"/>
    </row>
    <row r="1697" spans="51:51">
      <c r="AY1697" s="647"/>
    </row>
    <row r="1698" spans="51:51">
      <c r="AY1698" s="647"/>
    </row>
    <row r="1699" spans="51:51">
      <c r="AY1699" s="647"/>
    </row>
    <row r="1700" spans="51:51">
      <c r="AY1700" s="647"/>
    </row>
    <row r="1701" spans="51:51">
      <c r="AY1701" s="647"/>
    </row>
    <row r="1702" spans="51:51">
      <c r="AY1702" s="647"/>
    </row>
    <row r="1703" spans="51:51">
      <c r="AY1703" s="647"/>
    </row>
    <row r="1704" spans="51:51">
      <c r="AY1704" s="647"/>
    </row>
    <row r="1705" spans="51:51">
      <c r="AY1705" s="647"/>
    </row>
    <row r="1706" spans="51:51">
      <c r="AY1706" s="647"/>
    </row>
    <row r="1707" spans="51:51">
      <c r="AY1707" s="647"/>
    </row>
    <row r="1708" spans="51:51">
      <c r="AY1708" s="647"/>
    </row>
    <row r="1709" spans="51:51">
      <c r="AY1709" s="647"/>
    </row>
    <row r="1710" spans="51:51">
      <c r="AY1710" s="647"/>
    </row>
    <row r="1711" spans="51:51">
      <c r="AY1711" s="647"/>
    </row>
    <row r="1712" spans="51:51">
      <c r="AY1712" s="647"/>
    </row>
    <row r="1713" spans="51:51">
      <c r="AY1713" s="647"/>
    </row>
    <row r="1714" spans="51:51">
      <c r="AY1714" s="647"/>
    </row>
    <row r="1715" spans="51:51">
      <c r="AY1715" s="647"/>
    </row>
    <row r="1716" spans="51:51">
      <c r="AY1716" s="647"/>
    </row>
    <row r="1717" spans="51:51">
      <c r="AY1717" s="647"/>
    </row>
    <row r="1718" spans="51:51">
      <c r="AY1718" s="647"/>
    </row>
    <row r="1719" spans="51:51">
      <c r="AY1719" s="647"/>
    </row>
    <row r="1720" spans="51:51">
      <c r="AY1720" s="647"/>
    </row>
    <row r="1721" spans="51:51">
      <c r="AY1721" s="647"/>
    </row>
    <row r="1722" spans="51:51">
      <c r="AY1722" s="647"/>
    </row>
    <row r="1723" spans="51:51">
      <c r="AY1723" s="647"/>
    </row>
    <row r="1724" spans="51:51">
      <c r="AY1724" s="647"/>
    </row>
    <row r="1725" spans="51:51">
      <c r="AY1725" s="647"/>
    </row>
    <row r="1726" spans="51:51">
      <c r="AY1726" s="647"/>
    </row>
    <row r="1727" spans="51:51">
      <c r="AY1727" s="647"/>
    </row>
    <row r="1728" spans="51:51">
      <c r="AY1728" s="647"/>
    </row>
    <row r="1729" spans="51:51">
      <c r="AY1729" s="647"/>
    </row>
    <row r="1730" spans="51:51">
      <c r="AY1730" s="647"/>
    </row>
    <row r="1731" spans="51:51">
      <c r="AY1731" s="647"/>
    </row>
    <row r="1732" spans="51:51">
      <c r="AY1732" s="647"/>
    </row>
    <row r="1733" spans="51:51">
      <c r="AY1733" s="647"/>
    </row>
    <row r="1734" spans="51:51">
      <c r="AY1734" s="647"/>
    </row>
    <row r="1735" spans="51:51">
      <c r="AY1735" s="647"/>
    </row>
    <row r="1736" spans="51:51">
      <c r="AY1736" s="647"/>
    </row>
    <row r="1737" spans="51:51">
      <c r="AY1737" s="647"/>
    </row>
    <row r="1738" spans="51:51">
      <c r="AY1738" s="647"/>
    </row>
    <row r="1739" spans="51:51">
      <c r="AY1739" s="647"/>
    </row>
    <row r="1740" spans="51:51">
      <c r="AY1740" s="647"/>
    </row>
    <row r="1741" spans="51:51">
      <c r="AY1741" s="647"/>
    </row>
    <row r="1742" spans="51:51">
      <c r="AY1742" s="647"/>
    </row>
    <row r="1743" spans="51:51">
      <c r="AY1743" s="647"/>
    </row>
    <row r="1744" spans="51:51">
      <c r="AY1744" s="647"/>
    </row>
    <row r="1745" spans="51:51">
      <c r="AY1745" s="647"/>
    </row>
    <row r="1746" spans="51:51">
      <c r="AY1746" s="647"/>
    </row>
    <row r="1747" spans="51:51">
      <c r="AY1747" s="647"/>
    </row>
    <row r="1748" spans="51:51">
      <c r="AY1748" s="647"/>
    </row>
    <row r="1749" spans="51:51">
      <c r="AY1749" s="647"/>
    </row>
    <row r="1750" spans="51:51">
      <c r="AY1750" s="647"/>
    </row>
    <row r="1751" spans="51:51">
      <c r="AY1751" s="647"/>
    </row>
    <row r="1752" spans="51:51">
      <c r="AY1752" s="647"/>
    </row>
    <row r="1753" spans="51:51">
      <c r="AY1753" s="647"/>
    </row>
    <row r="1754" spans="51:51">
      <c r="AY1754" s="647"/>
    </row>
    <row r="1755" spans="51:51">
      <c r="AY1755" s="647"/>
    </row>
    <row r="1756" spans="51:51">
      <c r="AY1756" s="647"/>
    </row>
    <row r="1757" spans="51:51">
      <c r="AY1757" s="647"/>
    </row>
    <row r="1758" spans="51:51">
      <c r="AY1758" s="647"/>
    </row>
    <row r="1759" spans="51:51">
      <c r="AY1759" s="647"/>
    </row>
    <row r="1760" spans="51:51">
      <c r="AY1760" s="647"/>
    </row>
    <row r="1761" spans="51:51">
      <c r="AY1761" s="647"/>
    </row>
    <row r="1762" spans="51:51">
      <c r="AY1762" s="647"/>
    </row>
    <row r="1763" spans="51:51">
      <c r="AY1763" s="647"/>
    </row>
    <row r="1764" spans="51:51">
      <c r="AY1764" s="647"/>
    </row>
    <row r="1765" spans="51:51">
      <c r="AY1765" s="647"/>
    </row>
    <row r="1766" spans="51:51">
      <c r="AY1766" s="647"/>
    </row>
    <row r="1767" spans="51:51">
      <c r="AY1767" s="647"/>
    </row>
    <row r="1768" spans="51:51">
      <c r="AY1768" s="647"/>
    </row>
    <row r="1769" spans="51:51">
      <c r="AY1769" s="647"/>
    </row>
    <row r="1770" spans="51:51">
      <c r="AY1770" s="647"/>
    </row>
    <row r="1771" spans="51:51">
      <c r="AY1771" s="647"/>
    </row>
    <row r="1772" spans="51:51">
      <c r="AY1772" s="647"/>
    </row>
    <row r="1773" spans="51:51">
      <c r="AY1773" s="647"/>
    </row>
    <row r="1774" spans="51:51">
      <c r="AY1774" s="647"/>
    </row>
    <row r="1775" spans="51:51">
      <c r="AY1775" s="647"/>
    </row>
    <row r="1776" spans="51:51">
      <c r="AY1776" s="647"/>
    </row>
    <row r="1777" spans="51:51">
      <c r="AY1777" s="647"/>
    </row>
    <row r="1778" spans="51:51">
      <c r="AY1778" s="647"/>
    </row>
    <row r="1779" spans="51:51">
      <c r="AY1779" s="647"/>
    </row>
    <row r="1780" spans="51:51">
      <c r="AY1780" s="647"/>
    </row>
    <row r="1781" spans="51:51">
      <c r="AY1781" s="647"/>
    </row>
    <row r="1782" spans="51:51">
      <c r="AY1782" s="647"/>
    </row>
    <row r="1783" spans="51:51">
      <c r="AY1783" s="647"/>
    </row>
    <row r="1784" spans="51:51">
      <c r="AY1784" s="647"/>
    </row>
    <row r="1785" spans="51:51">
      <c r="AY1785" s="647"/>
    </row>
    <row r="1786" spans="51:51">
      <c r="AY1786" s="647"/>
    </row>
    <row r="1787" spans="51:51">
      <c r="AY1787" s="647"/>
    </row>
    <row r="1788" spans="51:51">
      <c r="AY1788" s="647"/>
    </row>
    <row r="1789" spans="51:51">
      <c r="AY1789" s="647"/>
    </row>
    <row r="1790" spans="51:51">
      <c r="AY1790" s="647"/>
    </row>
    <row r="1791" spans="51:51">
      <c r="AY1791" s="647"/>
    </row>
    <row r="1792" spans="51:51">
      <c r="AY1792" s="647"/>
    </row>
    <row r="1793" spans="51:51">
      <c r="AY1793" s="647"/>
    </row>
    <row r="1794" spans="51:51">
      <c r="AY1794" s="647"/>
    </row>
    <row r="1795" spans="51:51">
      <c r="AY1795" s="647"/>
    </row>
    <row r="1796" spans="51:51">
      <c r="AY1796" s="647"/>
    </row>
    <row r="1797" spans="51:51">
      <c r="AY1797" s="647"/>
    </row>
    <row r="1798" spans="51:51">
      <c r="AY1798" s="647"/>
    </row>
    <row r="1799" spans="51:51">
      <c r="AY1799" s="647"/>
    </row>
    <row r="1800" spans="51:51">
      <c r="AY1800" s="647"/>
    </row>
    <row r="1801" spans="51:51">
      <c r="AY1801" s="647"/>
    </row>
    <row r="1802" spans="51:51">
      <c r="AY1802" s="647"/>
    </row>
    <row r="1803" spans="51:51">
      <c r="AY1803" s="647"/>
    </row>
    <row r="1804" spans="51:51">
      <c r="AY1804" s="647"/>
    </row>
    <row r="1805" spans="51:51">
      <c r="AY1805" s="647"/>
    </row>
    <row r="1806" spans="51:51">
      <c r="AY1806" s="647"/>
    </row>
    <row r="1807" spans="51:51">
      <c r="AY1807" s="647"/>
    </row>
    <row r="1808" spans="51:51">
      <c r="AY1808" s="647"/>
    </row>
    <row r="1809" spans="51:51">
      <c r="AY1809" s="647"/>
    </row>
    <row r="1810" spans="51:51">
      <c r="AY1810" s="647"/>
    </row>
    <row r="1811" spans="51:51">
      <c r="AY1811" s="647"/>
    </row>
    <row r="1812" spans="51:51">
      <c r="AY1812" s="647"/>
    </row>
    <row r="1813" spans="51:51">
      <c r="AY1813" s="647"/>
    </row>
    <row r="1814" spans="51:51">
      <c r="AY1814" s="647"/>
    </row>
    <row r="1815" spans="51:51">
      <c r="AY1815" s="647"/>
    </row>
    <row r="1816" spans="51:51">
      <c r="AY1816" s="647"/>
    </row>
    <row r="1817" spans="51:51">
      <c r="AY1817" s="647"/>
    </row>
    <row r="1818" spans="51:51">
      <c r="AY1818" s="647"/>
    </row>
    <row r="1819" spans="51:51">
      <c r="AY1819" s="647"/>
    </row>
    <row r="1820" spans="51:51">
      <c r="AY1820" s="647"/>
    </row>
    <row r="1821" spans="51:51">
      <c r="AY1821" s="647"/>
    </row>
    <row r="1822" spans="51:51">
      <c r="AY1822" s="647"/>
    </row>
    <row r="1823" spans="51:51">
      <c r="AY1823" s="647"/>
    </row>
    <row r="1824" spans="51:51">
      <c r="AY1824" s="647"/>
    </row>
    <row r="1825" spans="51:51">
      <c r="AY1825" s="647"/>
    </row>
    <row r="1826" spans="51:51">
      <c r="AY1826" s="647"/>
    </row>
    <row r="1827" spans="51:51">
      <c r="AY1827" s="647"/>
    </row>
    <row r="1828" spans="51:51">
      <c r="AY1828" s="647"/>
    </row>
    <row r="1829" spans="51:51">
      <c r="AY1829" s="647"/>
    </row>
    <row r="1830" spans="51:51">
      <c r="AY1830" s="647"/>
    </row>
    <row r="1831" spans="51:51">
      <c r="AY1831" s="647"/>
    </row>
    <row r="1832" spans="51:51">
      <c r="AY1832" s="647"/>
    </row>
    <row r="1833" spans="51:51">
      <c r="AY1833" s="647"/>
    </row>
    <row r="1834" spans="51:51">
      <c r="AY1834" s="647"/>
    </row>
    <row r="1835" spans="51:51">
      <c r="AY1835" s="647"/>
    </row>
    <row r="1836" spans="51:51">
      <c r="AY1836" s="647"/>
    </row>
    <row r="1837" spans="51:51">
      <c r="AY1837" s="647"/>
    </row>
    <row r="1838" spans="51:51">
      <c r="AY1838" s="647"/>
    </row>
    <row r="1839" spans="51:51">
      <c r="AY1839" s="647"/>
    </row>
    <row r="1840" spans="51:51">
      <c r="AY1840" s="647"/>
    </row>
    <row r="1841" spans="51:51">
      <c r="AY1841" s="647"/>
    </row>
    <row r="1842" spans="51:51">
      <c r="AY1842" s="647"/>
    </row>
    <row r="1843" spans="51:51">
      <c r="AY1843" s="647"/>
    </row>
    <row r="1844" spans="51:51">
      <c r="AY1844" s="647"/>
    </row>
    <row r="1845" spans="51:51">
      <c r="AY1845" s="647"/>
    </row>
    <row r="1846" spans="51:51">
      <c r="AY1846" s="647"/>
    </row>
    <row r="1847" spans="51:51">
      <c r="AY1847" s="647"/>
    </row>
    <row r="1848" spans="51:51">
      <c r="AY1848" s="647"/>
    </row>
    <row r="1849" spans="51:51">
      <c r="AY1849" s="647"/>
    </row>
    <row r="1850" spans="51:51">
      <c r="AY1850" s="647"/>
    </row>
    <row r="1851" spans="51:51">
      <c r="AY1851" s="647"/>
    </row>
    <row r="1852" spans="51:51">
      <c r="AY1852" s="647"/>
    </row>
    <row r="1853" spans="51:51">
      <c r="AY1853" s="647"/>
    </row>
    <row r="1854" spans="51:51">
      <c r="AY1854" s="647"/>
    </row>
    <row r="1855" spans="51:51">
      <c r="AY1855" s="647"/>
    </row>
    <row r="1856" spans="51:51">
      <c r="AY1856" s="647"/>
    </row>
    <row r="1857" spans="51:51">
      <c r="AY1857" s="647"/>
    </row>
    <row r="1858" spans="51:51">
      <c r="AY1858" s="647"/>
    </row>
    <row r="1859" spans="51:51">
      <c r="AY1859" s="647"/>
    </row>
    <row r="1860" spans="51:51">
      <c r="AY1860" s="647"/>
    </row>
    <row r="1861" spans="51:51">
      <c r="AY1861" s="647"/>
    </row>
    <row r="1862" spans="51:51">
      <c r="AY1862" s="647"/>
    </row>
    <row r="1863" spans="51:51">
      <c r="AY1863" s="647"/>
    </row>
    <row r="1864" spans="51:51">
      <c r="AY1864" s="647"/>
    </row>
    <row r="1865" spans="51:51">
      <c r="AY1865" s="647"/>
    </row>
    <row r="1866" spans="51:51">
      <c r="AY1866" s="647"/>
    </row>
    <row r="1867" spans="51:51">
      <c r="AY1867" s="647"/>
    </row>
    <row r="1868" spans="51:51">
      <c r="AY1868" s="647"/>
    </row>
    <row r="1869" spans="51:51">
      <c r="AY1869" s="647"/>
    </row>
    <row r="1870" spans="51:51">
      <c r="AY1870" s="647"/>
    </row>
    <row r="1871" spans="51:51">
      <c r="AY1871" s="647"/>
    </row>
    <row r="1872" spans="51:51">
      <c r="AY1872" s="647"/>
    </row>
    <row r="1873" spans="51:51">
      <c r="AY1873" s="647"/>
    </row>
    <row r="1874" spans="51:51">
      <c r="AY1874" s="647"/>
    </row>
    <row r="1875" spans="51:51">
      <c r="AY1875" s="647"/>
    </row>
    <row r="1876" spans="51:51">
      <c r="AY1876" s="647"/>
    </row>
    <row r="1877" spans="51:51">
      <c r="AY1877" s="647"/>
    </row>
    <row r="1878" spans="51:51">
      <c r="AY1878" s="647"/>
    </row>
    <row r="1879" spans="51:51">
      <c r="AY1879" s="647"/>
    </row>
    <row r="1880" spans="51:51">
      <c r="AY1880" s="647"/>
    </row>
    <row r="1881" spans="51:51">
      <c r="AY1881" s="647"/>
    </row>
    <row r="1882" spans="51:51">
      <c r="AY1882" s="647"/>
    </row>
    <row r="1883" spans="51:51">
      <c r="AY1883" s="647"/>
    </row>
    <row r="1884" spans="51:51">
      <c r="AY1884" s="647"/>
    </row>
    <row r="1885" spans="51:51">
      <c r="AY1885" s="647"/>
    </row>
    <row r="1886" spans="51:51">
      <c r="AY1886" s="647"/>
    </row>
    <row r="1887" spans="51:51">
      <c r="AY1887" s="647"/>
    </row>
    <row r="1888" spans="51:51">
      <c r="AY1888" s="647"/>
    </row>
    <row r="1889" spans="51:51">
      <c r="AY1889" s="647"/>
    </row>
    <row r="1890" spans="51:51">
      <c r="AY1890" s="647"/>
    </row>
    <row r="1891" spans="51:51">
      <c r="AY1891" s="647"/>
    </row>
    <row r="1892" spans="51:51">
      <c r="AY1892" s="647"/>
    </row>
    <row r="1893" spans="51:51">
      <c r="AY1893" s="647"/>
    </row>
    <row r="1894" spans="51:51">
      <c r="AY1894" s="647"/>
    </row>
    <row r="1895" spans="51:51">
      <c r="AY1895" s="647"/>
    </row>
    <row r="1896" spans="51:51">
      <c r="AY1896" s="647"/>
    </row>
    <row r="1897" spans="51:51">
      <c r="AY1897" s="647"/>
    </row>
    <row r="1898" spans="51:51">
      <c r="AY1898" s="647"/>
    </row>
    <row r="1899" spans="51:51">
      <c r="AY1899" s="647"/>
    </row>
    <row r="1900" spans="51:51">
      <c r="AY1900" s="647"/>
    </row>
    <row r="1901" spans="51:51">
      <c r="AY1901" s="647"/>
    </row>
    <row r="1902" spans="51:51">
      <c r="AY1902" s="647"/>
    </row>
    <row r="1903" spans="51:51">
      <c r="AY1903" s="647"/>
    </row>
    <row r="1904" spans="51:51">
      <c r="AY1904" s="647"/>
    </row>
    <row r="1905" spans="51:51">
      <c r="AY1905" s="647"/>
    </row>
    <row r="1906" spans="51:51">
      <c r="AY1906" s="647"/>
    </row>
    <row r="1907" spans="51:51">
      <c r="AY1907" s="647"/>
    </row>
    <row r="1908" spans="51:51">
      <c r="AY1908" s="647"/>
    </row>
    <row r="1909" spans="51:51">
      <c r="AY1909" s="647"/>
    </row>
    <row r="1910" spans="51:51">
      <c r="AY1910" s="647"/>
    </row>
    <row r="1911" spans="51:51">
      <c r="AY1911" s="647"/>
    </row>
    <row r="1912" spans="51:51">
      <c r="AY1912" s="647"/>
    </row>
    <row r="1913" spans="51:51">
      <c r="AY1913" s="647"/>
    </row>
    <row r="1914" spans="51:51">
      <c r="AY1914" s="647"/>
    </row>
    <row r="1915" spans="51:51">
      <c r="AY1915" s="647"/>
    </row>
    <row r="1916" spans="51:51">
      <c r="AY1916" s="647"/>
    </row>
    <row r="1917" spans="51:51">
      <c r="AY1917" s="647"/>
    </row>
    <row r="1918" spans="51:51">
      <c r="AY1918" s="647"/>
    </row>
    <row r="1919" spans="51:51">
      <c r="AY1919" s="647"/>
    </row>
    <row r="1920" spans="51:51">
      <c r="AY1920" s="647"/>
    </row>
    <row r="1921" spans="51:51">
      <c r="AY1921" s="647"/>
    </row>
    <row r="1922" spans="51:51">
      <c r="AY1922" s="647"/>
    </row>
    <row r="1923" spans="51:51">
      <c r="AY1923" s="647"/>
    </row>
    <row r="1924" spans="51:51">
      <c r="AY1924" s="647"/>
    </row>
    <row r="1925" spans="51:51">
      <c r="AY1925" s="647"/>
    </row>
    <row r="1926" spans="51:51">
      <c r="AY1926" s="647"/>
    </row>
    <row r="1927" spans="51:51">
      <c r="AY1927" s="647"/>
    </row>
    <row r="1928" spans="51:51">
      <c r="AY1928" s="647"/>
    </row>
    <row r="1929" spans="51:51">
      <c r="AY1929" s="647"/>
    </row>
    <row r="1930" spans="51:51">
      <c r="AY1930" s="647"/>
    </row>
    <row r="1931" spans="51:51">
      <c r="AY1931" s="647"/>
    </row>
    <row r="1932" spans="51:51">
      <c r="AY1932" s="647"/>
    </row>
    <row r="1933" spans="51:51">
      <c r="AY1933" s="647"/>
    </row>
    <row r="1934" spans="51:51">
      <c r="AY1934" s="647"/>
    </row>
    <row r="1935" spans="51:51">
      <c r="AY1935" s="647"/>
    </row>
    <row r="1936" spans="51:51">
      <c r="AY1936" s="647"/>
    </row>
    <row r="1937" spans="51:51">
      <c r="AY1937" s="647"/>
    </row>
    <row r="1938" spans="51:51">
      <c r="AY1938" s="647"/>
    </row>
    <row r="1939" spans="51:51">
      <c r="AY1939" s="647"/>
    </row>
    <row r="1940" spans="51:51">
      <c r="AY1940" s="647"/>
    </row>
    <row r="1941" spans="51:51">
      <c r="AY1941" s="647"/>
    </row>
    <row r="1942" spans="51:51">
      <c r="AY1942" s="647"/>
    </row>
    <row r="1943" spans="51:51">
      <c r="AY1943" s="647"/>
    </row>
    <row r="1944" spans="51:51">
      <c r="AY1944" s="647"/>
    </row>
    <row r="1945" spans="51:51">
      <c r="AY1945" s="647"/>
    </row>
    <row r="1946" spans="51:51">
      <c r="AY1946" s="647"/>
    </row>
    <row r="1947" spans="51:51">
      <c r="AY1947" s="647"/>
    </row>
    <row r="1948" spans="51:51">
      <c r="AY1948" s="647"/>
    </row>
    <row r="1949" spans="51:51">
      <c r="AY1949" s="647"/>
    </row>
    <row r="1950" spans="51:51">
      <c r="AY1950" s="647"/>
    </row>
    <row r="1951" spans="51:51">
      <c r="AY1951" s="647"/>
    </row>
    <row r="1952" spans="51:51">
      <c r="AY1952" s="647"/>
    </row>
    <row r="1953" spans="51:51">
      <c r="AY1953" s="647"/>
    </row>
    <row r="1954" spans="51:51">
      <c r="AY1954" s="647"/>
    </row>
    <row r="1955" spans="51:51">
      <c r="AY1955" s="647"/>
    </row>
    <row r="1956" spans="51:51">
      <c r="AY1956" s="647"/>
    </row>
    <row r="1957" spans="51:51">
      <c r="AY1957" s="647"/>
    </row>
    <row r="1958" spans="51:51">
      <c r="AY1958" s="647"/>
    </row>
    <row r="1959" spans="51:51">
      <c r="AY1959" s="647"/>
    </row>
    <row r="1960" spans="51:51">
      <c r="AY1960" s="647"/>
    </row>
    <row r="1961" spans="51:51">
      <c r="AY1961" s="647"/>
    </row>
    <row r="1962" spans="51:51">
      <c r="AY1962" s="647"/>
    </row>
    <row r="1963" spans="51:51">
      <c r="AY1963" s="647"/>
    </row>
    <row r="1964" spans="51:51">
      <c r="AY1964" s="647"/>
    </row>
    <row r="1965" spans="51:51">
      <c r="AY1965" s="647"/>
    </row>
    <row r="1966" spans="51:51">
      <c r="AY1966" s="647"/>
    </row>
    <row r="1967" spans="51:51">
      <c r="AY1967" s="647"/>
    </row>
    <row r="1968" spans="51:51">
      <c r="AY1968" s="647"/>
    </row>
    <row r="1969" spans="51:51">
      <c r="AY1969" s="647"/>
    </row>
    <row r="1970" spans="51:51">
      <c r="AY1970" s="647"/>
    </row>
    <row r="1971" spans="51:51">
      <c r="AY1971" s="647"/>
    </row>
    <row r="1972" spans="51:51">
      <c r="AY1972" s="647"/>
    </row>
    <row r="1973" spans="51:51">
      <c r="AY1973" s="647"/>
    </row>
    <row r="1974" spans="51:51">
      <c r="AY1974" s="647"/>
    </row>
    <row r="1975" spans="51:51">
      <c r="AY1975" s="647"/>
    </row>
    <row r="1976" spans="51:51">
      <c r="AY1976" s="647"/>
    </row>
    <row r="1977" spans="51:51">
      <c r="AY1977" s="647"/>
    </row>
    <row r="1978" spans="51:51">
      <c r="AY1978" s="647"/>
    </row>
    <row r="1979" spans="51:51">
      <c r="AY1979" s="647"/>
    </row>
    <row r="1980" spans="51:51">
      <c r="AY1980" s="647"/>
    </row>
    <row r="1981" spans="51:51">
      <c r="AY1981" s="647"/>
    </row>
    <row r="1982" spans="51:51">
      <c r="AY1982" s="647"/>
    </row>
    <row r="1983" spans="51:51">
      <c r="AY1983" s="647"/>
    </row>
    <row r="1984" spans="51:51">
      <c r="AY1984" s="647"/>
    </row>
    <row r="1985" spans="51:51">
      <c r="AY1985" s="647"/>
    </row>
    <row r="1986" spans="51:51">
      <c r="AY1986" s="647"/>
    </row>
    <row r="1987" spans="51:51">
      <c r="AY1987" s="647"/>
    </row>
    <row r="1988" spans="51:51">
      <c r="AY1988" s="647"/>
    </row>
    <row r="1989" spans="51:51">
      <c r="AY1989" s="647"/>
    </row>
    <row r="1990" spans="51:51">
      <c r="AY1990" s="647"/>
    </row>
    <row r="1991" spans="51:51">
      <c r="AY1991" s="647"/>
    </row>
    <row r="1992" spans="51:51">
      <c r="AY1992" s="647"/>
    </row>
    <row r="1993" spans="51:51">
      <c r="AY1993" s="647"/>
    </row>
    <row r="1994" spans="51:51">
      <c r="AY1994" s="647"/>
    </row>
    <row r="1995" spans="51:51">
      <c r="AY1995" s="647"/>
    </row>
    <row r="1996" spans="51:51">
      <c r="AY1996" s="647"/>
    </row>
    <row r="1997" spans="51:51">
      <c r="AY1997" s="647"/>
    </row>
    <row r="1998" spans="51:51">
      <c r="AY1998" s="647"/>
    </row>
    <row r="1999" spans="51:51">
      <c r="AY1999" s="647"/>
    </row>
    <row r="2000" spans="51:51">
      <c r="AY2000" s="647"/>
    </row>
    <row r="2001" spans="51:51">
      <c r="AY2001" s="647"/>
    </row>
    <row r="2002" spans="51:51">
      <c r="AY2002" s="647"/>
    </row>
    <row r="2003" spans="51:51">
      <c r="AY2003" s="647"/>
    </row>
    <row r="2004" spans="51:51">
      <c r="AY2004" s="647"/>
    </row>
    <row r="2005" spans="51:51">
      <c r="AY2005" s="647"/>
    </row>
    <row r="2006" spans="51:51">
      <c r="AY2006" s="647"/>
    </row>
    <row r="2007" spans="51:51">
      <c r="AY2007" s="647"/>
    </row>
    <row r="2008" spans="51:51">
      <c r="AY2008" s="647"/>
    </row>
    <row r="2009" spans="51:51">
      <c r="AY2009" s="647"/>
    </row>
    <row r="2010" spans="51:51">
      <c r="AY2010" s="647"/>
    </row>
    <row r="2011" spans="51:51">
      <c r="AY2011" s="647"/>
    </row>
    <row r="2012" spans="51:51">
      <c r="AY2012" s="647"/>
    </row>
    <row r="2013" spans="51:51">
      <c r="AY2013" s="647"/>
    </row>
    <row r="2014" spans="51:51">
      <c r="AY2014" s="647"/>
    </row>
    <row r="2015" spans="51:51">
      <c r="AY2015" s="647"/>
    </row>
    <row r="2016" spans="51:51">
      <c r="AY2016" s="647"/>
    </row>
    <row r="2017" spans="51:51">
      <c r="AY2017" s="647"/>
    </row>
    <row r="2018" spans="51:51">
      <c r="AY2018" s="647"/>
    </row>
    <row r="2019" spans="51:51">
      <c r="AY2019" s="647"/>
    </row>
    <row r="2020" spans="51:51">
      <c r="AY2020" s="647"/>
    </row>
  </sheetData>
  <autoFilter ref="A4:AW1424" xr:uid="{00000000-0009-0000-0000-00000B000000}">
    <filterColumn colId="47">
      <filters>
        <filter val="100000,0"/>
        <filter val="140000,0"/>
        <filter val="150000,0"/>
        <filter val="190000,0"/>
        <filter val="200000,0"/>
        <filter val="210000,0"/>
        <filter val="240000,0"/>
        <filter val="280000,0"/>
        <filter val="320000,0"/>
        <filter val="350000,0"/>
        <filter val="360000,0"/>
        <filter val="380000,0"/>
        <filter val="40000,0"/>
        <filter val="410000,0"/>
        <filter val="420000,0"/>
        <filter val="460000,0"/>
        <filter val="470000,0"/>
        <filter val="50000,0"/>
        <filter val="510000,0"/>
        <filter val="520000,0"/>
        <filter val="560000,0"/>
        <filter val="570000,0"/>
        <filter val="80000,0"/>
        <filter val="800000,0"/>
        <filter val="90000,0"/>
      </filters>
    </filterColumn>
  </autoFilter>
  <mergeCells count="1">
    <mergeCell ref="C2:AF2"/>
  </mergeCells>
  <pageMargins left="0.23622047244094491" right="0.23622047244094491" top="0.74803149606299213" bottom="0.74803149606299213" header="0.31496062992125984" footer="0.31496062992125984"/>
  <pageSetup paperSize="9" scale="66" fitToWidth="4" fitToHeight="4" orientation="landscape" r:id="rId1"/>
  <rowBreaks count="1" manualBreakCount="1">
    <brk id="172" max="22"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22">
    <tabColor rgb="FFFFFF00"/>
  </sheetPr>
  <dimension ref="A1:P65"/>
  <sheetViews>
    <sheetView topLeftCell="A13" zoomScaleSheetLayoutView="100" workbookViewId="0">
      <selection activeCell="F22" sqref="F22"/>
    </sheetView>
  </sheetViews>
  <sheetFormatPr defaultColWidth="9.109375" defaultRowHeight="13.8"/>
  <cols>
    <col min="1" max="1" width="5" style="124" customWidth="1"/>
    <col min="2" max="2" width="35.44140625" style="124" customWidth="1"/>
    <col min="3" max="3" width="11" style="124" customWidth="1"/>
    <col min="4" max="4" width="13.44140625" style="180" customWidth="1"/>
    <col min="5" max="5" width="18.109375" style="181" customWidth="1"/>
    <col min="6" max="6" width="19.44140625" style="124" customWidth="1"/>
    <col min="7" max="7" width="13.88671875" style="182" customWidth="1"/>
    <col min="8" max="8" width="20.33203125" style="182" customWidth="1"/>
    <col min="9" max="9" width="20.88671875" style="124" customWidth="1"/>
    <col min="10" max="10" width="12.109375" style="124" customWidth="1"/>
    <col min="11" max="11" width="15.5546875" style="124" customWidth="1"/>
    <col min="12" max="12" width="15" style="124" customWidth="1"/>
    <col min="13" max="13" width="21.33203125" style="124" customWidth="1"/>
    <col min="14" max="14" width="9.109375" style="124"/>
    <col min="15" max="15" width="16.33203125" style="124" bestFit="1" customWidth="1"/>
    <col min="16" max="16" width="14.5546875" style="124" bestFit="1" customWidth="1"/>
    <col min="17" max="16384" width="9.109375" style="124"/>
  </cols>
  <sheetData>
    <row r="1" spans="1:16" ht="13.5" customHeight="1">
      <c r="M1" s="459" t="s">
        <v>238</v>
      </c>
    </row>
    <row r="2" spans="1:16" ht="31.5" customHeight="1">
      <c r="A2" s="1065" t="str">
        <f>""&amp;(Шаблон!B1)&amp;"нинг "&amp;(Шаблон!B2)&amp;" вилояти "&amp;(Шаблон!B3)&amp;" филиалида 19921-''омбордаги КБ ва ТЭБ'' ҳамда 16561-''Омбордаги асосий воситалар''ни 2016 йил 2 ноябр ҳолатига хатлов натижалари тўғрисида"</f>
        <v>АТ "Халқ банк"нинг Фаргона вилояти вилояти Бешариқ филиали филиалида 19921-''омбордаги КБ ва ТЭБ'' ҳамда 16561-''Омбордаги асосий воситалар''ни 2016 йил 2 ноябр ҳолатига хатлов натижалари тўғрисида</v>
      </c>
      <c r="B2" s="1066"/>
      <c r="C2" s="1066"/>
      <c r="D2" s="1066"/>
      <c r="E2" s="1066"/>
      <c r="F2" s="1066"/>
      <c r="G2" s="1066"/>
      <c r="H2" s="1066"/>
      <c r="I2" s="1066"/>
      <c r="J2" s="1066"/>
      <c r="K2" s="1066"/>
      <c r="L2" s="1066"/>
      <c r="M2" s="1066"/>
      <c r="N2" s="183"/>
      <c r="O2" s="183"/>
    </row>
    <row r="3" spans="1:16" ht="15" customHeight="1">
      <c r="A3" s="1065" t="s">
        <v>197</v>
      </c>
      <c r="B3" s="1065"/>
      <c r="C3" s="1065"/>
      <c r="D3" s="1065"/>
      <c r="E3" s="1065"/>
      <c r="F3" s="1065"/>
      <c r="G3" s="1065"/>
      <c r="H3" s="1065"/>
      <c r="I3" s="1065"/>
      <c r="J3" s="1065"/>
      <c r="K3" s="1065"/>
      <c r="L3" s="1065"/>
      <c r="M3" s="1065"/>
      <c r="N3" s="183"/>
      <c r="O3" s="183"/>
    </row>
    <row r="4" spans="1:16" ht="14.4" thickBot="1">
      <c r="M4" s="545" t="s">
        <v>379</v>
      </c>
    </row>
    <row r="5" spans="1:16" ht="45" customHeight="1">
      <c r="A5" s="1067" t="s">
        <v>228</v>
      </c>
      <c r="B5" s="1069" t="s">
        <v>212</v>
      </c>
      <c r="C5" s="1073" t="s">
        <v>381</v>
      </c>
      <c r="D5" s="1067" t="s">
        <v>2080</v>
      </c>
      <c r="E5" s="1071"/>
      <c r="F5" s="1072"/>
      <c r="G5" s="1067" t="s">
        <v>2677</v>
      </c>
      <c r="H5" s="1071"/>
      <c r="I5" s="1072"/>
      <c r="J5" s="1067" t="s">
        <v>384</v>
      </c>
      <c r="K5" s="1071"/>
      <c r="L5" s="1072"/>
      <c r="M5" s="1069" t="s">
        <v>295</v>
      </c>
    </row>
    <row r="6" spans="1:16" ht="14.4" thickBot="1">
      <c r="A6" s="1068"/>
      <c r="B6" s="1070"/>
      <c r="C6" s="1074"/>
      <c r="D6" s="195" t="s">
        <v>215</v>
      </c>
      <c r="E6" s="193" t="s">
        <v>382</v>
      </c>
      <c r="F6" s="194" t="s">
        <v>383</v>
      </c>
      <c r="G6" s="195" t="s">
        <v>215</v>
      </c>
      <c r="H6" s="193" t="s">
        <v>382</v>
      </c>
      <c r="I6" s="194" t="s">
        <v>383</v>
      </c>
      <c r="J6" s="195" t="s">
        <v>215</v>
      </c>
      <c r="K6" s="193" t="s">
        <v>382</v>
      </c>
      <c r="L6" s="194" t="s">
        <v>383</v>
      </c>
      <c r="M6" s="1070"/>
    </row>
    <row r="7" spans="1:16" ht="11.25" customHeight="1">
      <c r="A7" s="460" t="s">
        <v>208</v>
      </c>
      <c r="B7" s="461" t="s">
        <v>380</v>
      </c>
      <c r="C7" s="462">
        <v>1</v>
      </c>
      <c r="D7" s="463">
        <v>2</v>
      </c>
      <c r="E7" s="463">
        <v>3</v>
      </c>
      <c r="F7" s="778">
        <v>4</v>
      </c>
      <c r="G7" s="463">
        <v>5</v>
      </c>
      <c r="H7" s="463">
        <v>6</v>
      </c>
      <c r="I7" s="462">
        <v>7</v>
      </c>
      <c r="J7" s="462">
        <v>8</v>
      </c>
      <c r="K7" s="462">
        <v>9</v>
      </c>
      <c r="L7" s="463">
        <v>10</v>
      </c>
      <c r="M7" s="464">
        <v>11</v>
      </c>
      <c r="P7" s="184"/>
    </row>
    <row r="8" spans="1:16" s="649" customFormat="1" ht="14.25" customHeight="1">
      <c r="A8" s="772">
        <v>1</v>
      </c>
      <c r="B8" s="824" t="s">
        <v>2671</v>
      </c>
      <c r="C8" s="825" t="s">
        <v>2669</v>
      </c>
      <c r="D8" s="826">
        <v>80</v>
      </c>
      <c r="E8" s="826">
        <v>5000</v>
      </c>
      <c r="F8" s="826">
        <v>400000</v>
      </c>
      <c r="G8" s="773">
        <f>+D8*E8-F8</f>
        <v>0</v>
      </c>
      <c r="H8" s="826">
        <v>5000</v>
      </c>
      <c r="I8" s="774">
        <f t="shared" ref="I8:I24" si="0">+G8*H8</f>
        <v>0</v>
      </c>
      <c r="J8" s="775">
        <f t="shared" ref="J8:L11" si="1">+D8-G8</f>
        <v>80</v>
      </c>
      <c r="K8" s="775">
        <f t="shared" si="1"/>
        <v>0</v>
      </c>
      <c r="L8" s="776">
        <f t="shared" si="1"/>
        <v>400000</v>
      </c>
      <c r="M8" s="777"/>
      <c r="P8" s="651"/>
    </row>
    <row r="9" spans="1:16" s="649" customFormat="1" ht="14.25" customHeight="1">
      <c r="A9" s="772">
        <f>+A8+1</f>
        <v>2</v>
      </c>
      <c r="B9" s="824" t="s">
        <v>2672</v>
      </c>
      <c r="C9" s="825" t="s">
        <v>421</v>
      </c>
      <c r="D9" s="826">
        <v>300</v>
      </c>
      <c r="E9" s="826">
        <v>100</v>
      </c>
      <c r="F9" s="826">
        <v>30000</v>
      </c>
      <c r="G9" s="773">
        <f t="shared" ref="G9:G22" si="2">+D9*E9-F9</f>
        <v>0</v>
      </c>
      <c r="H9" s="826">
        <v>100</v>
      </c>
      <c r="I9" s="774">
        <f t="shared" si="0"/>
        <v>0</v>
      </c>
      <c r="J9" s="775">
        <f t="shared" si="1"/>
        <v>300</v>
      </c>
      <c r="K9" s="775">
        <f t="shared" si="1"/>
        <v>0</v>
      </c>
      <c r="L9" s="776">
        <f t="shared" si="1"/>
        <v>30000</v>
      </c>
      <c r="M9" s="777"/>
      <c r="P9" s="651"/>
    </row>
    <row r="10" spans="1:16" s="649" customFormat="1" ht="14.25" customHeight="1">
      <c r="A10" s="772">
        <f t="shared" ref="A10:A23" si="3">+A9+1</f>
        <v>3</v>
      </c>
      <c r="B10" s="824" t="s">
        <v>2673</v>
      </c>
      <c r="C10" s="825" t="s">
        <v>421</v>
      </c>
      <c r="D10" s="826">
        <v>4</v>
      </c>
      <c r="E10" s="826">
        <v>5000</v>
      </c>
      <c r="F10" s="826">
        <v>20000</v>
      </c>
      <c r="G10" s="773">
        <f t="shared" si="2"/>
        <v>0</v>
      </c>
      <c r="H10" s="826">
        <v>5000</v>
      </c>
      <c r="I10" s="774">
        <f t="shared" si="0"/>
        <v>0</v>
      </c>
      <c r="J10" s="775">
        <f t="shared" si="1"/>
        <v>4</v>
      </c>
      <c r="K10" s="775">
        <f t="shared" si="1"/>
        <v>0</v>
      </c>
      <c r="L10" s="776">
        <f t="shared" si="1"/>
        <v>20000</v>
      </c>
      <c r="M10" s="777"/>
      <c r="P10" s="651"/>
    </row>
    <row r="11" spans="1:16" s="649" customFormat="1" ht="14.25" customHeight="1">
      <c r="A11" s="772">
        <f t="shared" si="3"/>
        <v>4</v>
      </c>
      <c r="B11" s="824" t="s">
        <v>2674</v>
      </c>
      <c r="C11" s="825" t="s">
        <v>2669</v>
      </c>
      <c r="D11" s="826">
        <v>100</v>
      </c>
      <c r="E11" s="826">
        <v>3800</v>
      </c>
      <c r="F11" s="826">
        <v>380000</v>
      </c>
      <c r="G11" s="773">
        <f t="shared" si="2"/>
        <v>0</v>
      </c>
      <c r="H11" s="826">
        <v>3800</v>
      </c>
      <c r="I11" s="774">
        <f t="shared" si="0"/>
        <v>0</v>
      </c>
      <c r="J11" s="775">
        <f t="shared" si="1"/>
        <v>100</v>
      </c>
      <c r="K11" s="775">
        <f t="shared" si="1"/>
        <v>0</v>
      </c>
      <c r="L11" s="776">
        <f t="shared" si="1"/>
        <v>380000</v>
      </c>
      <c r="M11" s="777"/>
      <c r="P11" s="651"/>
    </row>
    <row r="12" spans="1:16" s="649" customFormat="1" ht="14.25" customHeight="1">
      <c r="A12" s="772">
        <f t="shared" si="3"/>
        <v>5</v>
      </c>
      <c r="B12" s="824" t="s">
        <v>2675</v>
      </c>
      <c r="C12" s="825" t="s">
        <v>421</v>
      </c>
      <c r="D12" s="826">
        <v>100</v>
      </c>
      <c r="E12" s="826">
        <v>600</v>
      </c>
      <c r="F12" s="826">
        <v>60000</v>
      </c>
      <c r="G12" s="773">
        <f t="shared" si="2"/>
        <v>0</v>
      </c>
      <c r="H12" s="826">
        <v>600</v>
      </c>
      <c r="I12" s="774">
        <f t="shared" si="0"/>
        <v>0</v>
      </c>
      <c r="J12" s="775">
        <f t="shared" ref="J12:J24" si="4">+D12-G12</f>
        <v>100</v>
      </c>
      <c r="K12" s="775">
        <f t="shared" ref="K12:K24" si="5">+E12-H12</f>
        <v>0</v>
      </c>
      <c r="L12" s="776">
        <f t="shared" ref="L12:L24" si="6">+F12-I12</f>
        <v>60000</v>
      </c>
      <c r="M12" s="777"/>
      <c r="P12" s="651"/>
    </row>
    <row r="13" spans="1:16" s="649" customFormat="1" ht="14.25" customHeight="1">
      <c r="A13" s="772">
        <f t="shared" si="3"/>
        <v>6</v>
      </c>
      <c r="B13" s="824" t="s">
        <v>2676</v>
      </c>
      <c r="C13" s="825" t="s">
        <v>421</v>
      </c>
      <c r="D13" s="826">
        <v>5</v>
      </c>
      <c r="E13" s="826">
        <v>34000</v>
      </c>
      <c r="F13" s="826">
        <v>170000</v>
      </c>
      <c r="G13" s="773">
        <f t="shared" si="2"/>
        <v>0</v>
      </c>
      <c r="H13" s="826">
        <v>34000</v>
      </c>
      <c r="I13" s="774">
        <f t="shared" si="0"/>
        <v>0</v>
      </c>
      <c r="J13" s="775">
        <f t="shared" si="4"/>
        <v>5</v>
      </c>
      <c r="K13" s="775">
        <f t="shared" si="5"/>
        <v>0</v>
      </c>
      <c r="L13" s="776">
        <f t="shared" si="6"/>
        <v>170000</v>
      </c>
      <c r="M13" s="777"/>
      <c r="P13" s="651"/>
    </row>
    <row r="14" spans="1:16" s="649" customFormat="1" ht="14.25" customHeight="1">
      <c r="A14" s="772">
        <f t="shared" si="3"/>
        <v>7</v>
      </c>
      <c r="B14" s="824" t="s">
        <v>2660</v>
      </c>
      <c r="C14" s="825" t="s">
        <v>421</v>
      </c>
      <c r="D14" s="826">
        <v>1</v>
      </c>
      <c r="E14" s="826">
        <v>12000</v>
      </c>
      <c r="F14" s="826">
        <v>12000</v>
      </c>
      <c r="G14" s="773">
        <f t="shared" si="2"/>
        <v>0</v>
      </c>
      <c r="H14" s="826">
        <v>12000</v>
      </c>
      <c r="I14" s="774">
        <f t="shared" si="0"/>
        <v>0</v>
      </c>
      <c r="J14" s="775">
        <f t="shared" si="4"/>
        <v>1</v>
      </c>
      <c r="K14" s="775">
        <f t="shared" si="5"/>
        <v>0</v>
      </c>
      <c r="L14" s="776">
        <f t="shared" si="6"/>
        <v>12000</v>
      </c>
      <c r="M14" s="777"/>
      <c r="P14" s="651"/>
    </row>
    <row r="15" spans="1:16" s="649" customFormat="1" ht="14.25" customHeight="1">
      <c r="A15" s="772">
        <f t="shared" si="3"/>
        <v>8</v>
      </c>
      <c r="B15" s="824" t="s">
        <v>2661</v>
      </c>
      <c r="C15" s="825" t="s">
        <v>421</v>
      </c>
      <c r="D15" s="826">
        <v>2</v>
      </c>
      <c r="E15" s="826">
        <v>8000</v>
      </c>
      <c r="F15" s="826">
        <v>16000</v>
      </c>
      <c r="G15" s="773">
        <f t="shared" si="2"/>
        <v>0</v>
      </c>
      <c r="H15" s="826">
        <v>8000</v>
      </c>
      <c r="I15" s="774">
        <f t="shared" si="0"/>
        <v>0</v>
      </c>
      <c r="J15" s="775">
        <f t="shared" si="4"/>
        <v>2</v>
      </c>
      <c r="K15" s="775">
        <f t="shared" si="5"/>
        <v>0</v>
      </c>
      <c r="L15" s="776">
        <f t="shared" si="6"/>
        <v>16000</v>
      </c>
      <c r="M15" s="777"/>
      <c r="P15" s="651"/>
    </row>
    <row r="16" spans="1:16" s="649" customFormat="1" ht="14.25" customHeight="1">
      <c r="A16" s="772">
        <f t="shared" si="3"/>
        <v>9</v>
      </c>
      <c r="B16" s="824" t="s">
        <v>2662</v>
      </c>
      <c r="C16" s="825" t="s">
        <v>421</v>
      </c>
      <c r="D16" s="826">
        <v>2</v>
      </c>
      <c r="E16" s="826">
        <v>8000</v>
      </c>
      <c r="F16" s="826">
        <v>16000</v>
      </c>
      <c r="G16" s="773">
        <f t="shared" si="2"/>
        <v>0</v>
      </c>
      <c r="H16" s="826">
        <v>8000</v>
      </c>
      <c r="I16" s="774">
        <f t="shared" si="0"/>
        <v>0</v>
      </c>
      <c r="J16" s="775">
        <f t="shared" si="4"/>
        <v>2</v>
      </c>
      <c r="K16" s="775">
        <f t="shared" si="5"/>
        <v>0</v>
      </c>
      <c r="L16" s="776">
        <f t="shared" si="6"/>
        <v>16000</v>
      </c>
      <c r="M16" s="777"/>
      <c r="P16" s="651"/>
    </row>
    <row r="17" spans="1:16" s="649" customFormat="1" ht="14.25" customHeight="1">
      <c r="A17" s="772">
        <f t="shared" si="3"/>
        <v>10</v>
      </c>
      <c r="B17" s="824" t="s">
        <v>2663</v>
      </c>
      <c r="C17" s="825" t="s">
        <v>421</v>
      </c>
      <c r="D17" s="826">
        <v>3</v>
      </c>
      <c r="E17" s="826">
        <v>22000</v>
      </c>
      <c r="F17" s="826">
        <v>66000</v>
      </c>
      <c r="G17" s="773">
        <f t="shared" si="2"/>
        <v>0</v>
      </c>
      <c r="H17" s="826">
        <v>22000</v>
      </c>
      <c r="I17" s="774">
        <f t="shared" si="0"/>
        <v>0</v>
      </c>
      <c r="J17" s="775">
        <f t="shared" si="4"/>
        <v>3</v>
      </c>
      <c r="K17" s="775">
        <f t="shared" si="5"/>
        <v>0</v>
      </c>
      <c r="L17" s="776">
        <f t="shared" si="6"/>
        <v>66000</v>
      </c>
      <c r="M17" s="777"/>
      <c r="P17" s="651"/>
    </row>
    <row r="18" spans="1:16" s="649" customFormat="1" ht="14.25" customHeight="1">
      <c r="A18" s="772">
        <f t="shared" si="3"/>
        <v>11</v>
      </c>
      <c r="B18" s="824" t="s">
        <v>2664</v>
      </c>
      <c r="C18" s="825" t="s">
        <v>421</v>
      </c>
      <c r="D18" s="826">
        <v>3</v>
      </c>
      <c r="E18" s="826">
        <v>1740</v>
      </c>
      <c r="F18" s="826">
        <v>5220</v>
      </c>
      <c r="G18" s="773">
        <f t="shared" si="2"/>
        <v>0</v>
      </c>
      <c r="H18" s="826">
        <v>1740</v>
      </c>
      <c r="I18" s="774">
        <f t="shared" si="0"/>
        <v>0</v>
      </c>
      <c r="J18" s="775">
        <f t="shared" si="4"/>
        <v>3</v>
      </c>
      <c r="K18" s="775">
        <f t="shared" si="5"/>
        <v>0</v>
      </c>
      <c r="L18" s="776">
        <f t="shared" si="6"/>
        <v>5220</v>
      </c>
      <c r="M18" s="777"/>
      <c r="P18" s="651"/>
    </row>
    <row r="19" spans="1:16" s="649" customFormat="1" ht="14.25" customHeight="1">
      <c r="A19" s="772">
        <f t="shared" si="3"/>
        <v>12</v>
      </c>
      <c r="B19" s="824" t="s">
        <v>2665</v>
      </c>
      <c r="C19" s="825" t="s">
        <v>421</v>
      </c>
      <c r="D19" s="826">
        <v>1000</v>
      </c>
      <c r="E19" s="826">
        <v>160</v>
      </c>
      <c r="F19" s="826">
        <v>160000</v>
      </c>
      <c r="G19" s="773">
        <f t="shared" si="2"/>
        <v>0</v>
      </c>
      <c r="H19" s="826">
        <v>160</v>
      </c>
      <c r="I19" s="774">
        <f t="shared" si="0"/>
        <v>0</v>
      </c>
      <c r="J19" s="775">
        <f t="shared" si="4"/>
        <v>1000</v>
      </c>
      <c r="K19" s="775">
        <f t="shared" si="5"/>
        <v>0</v>
      </c>
      <c r="L19" s="776">
        <f t="shared" si="6"/>
        <v>160000</v>
      </c>
      <c r="M19" s="777"/>
      <c r="P19" s="651"/>
    </row>
    <row r="20" spans="1:16" s="649" customFormat="1" ht="14.25" customHeight="1">
      <c r="A20" s="772">
        <f t="shared" si="3"/>
        <v>13</v>
      </c>
      <c r="B20" s="824" t="s">
        <v>2666</v>
      </c>
      <c r="C20" s="825" t="s">
        <v>421</v>
      </c>
      <c r="D20" s="826">
        <v>3</v>
      </c>
      <c r="E20" s="826">
        <v>4000</v>
      </c>
      <c r="F20" s="826">
        <v>12000</v>
      </c>
      <c r="G20" s="773">
        <f t="shared" si="2"/>
        <v>0</v>
      </c>
      <c r="H20" s="826">
        <v>4000</v>
      </c>
      <c r="I20" s="774">
        <f t="shared" si="0"/>
        <v>0</v>
      </c>
      <c r="J20" s="775">
        <f t="shared" si="4"/>
        <v>3</v>
      </c>
      <c r="K20" s="775">
        <f t="shared" si="5"/>
        <v>0</v>
      </c>
      <c r="L20" s="776">
        <f t="shared" si="6"/>
        <v>12000</v>
      </c>
      <c r="M20" s="777"/>
      <c r="P20" s="651"/>
    </row>
    <row r="21" spans="1:16" s="649" customFormat="1" ht="14.25" customHeight="1">
      <c r="A21" s="772">
        <f t="shared" si="3"/>
        <v>14</v>
      </c>
      <c r="B21" s="824" t="s">
        <v>2667</v>
      </c>
      <c r="C21" s="825" t="s">
        <v>421</v>
      </c>
      <c r="D21" s="826">
        <v>3</v>
      </c>
      <c r="E21" s="826">
        <v>11500</v>
      </c>
      <c r="F21" s="826">
        <v>34500</v>
      </c>
      <c r="G21" s="773">
        <f t="shared" si="2"/>
        <v>0</v>
      </c>
      <c r="H21" s="826">
        <v>11500</v>
      </c>
      <c r="I21" s="774">
        <f t="shared" si="0"/>
        <v>0</v>
      </c>
      <c r="J21" s="775">
        <f t="shared" si="4"/>
        <v>3</v>
      </c>
      <c r="K21" s="775">
        <f t="shared" si="5"/>
        <v>0</v>
      </c>
      <c r="L21" s="776">
        <f t="shared" si="6"/>
        <v>34500</v>
      </c>
      <c r="M21" s="777"/>
      <c r="P21" s="651"/>
    </row>
    <row r="22" spans="1:16" s="649" customFormat="1" ht="14.25" customHeight="1">
      <c r="A22" s="772">
        <f t="shared" si="3"/>
        <v>15</v>
      </c>
      <c r="B22" s="824" t="s">
        <v>2668</v>
      </c>
      <c r="C22" s="825" t="s">
        <v>421</v>
      </c>
      <c r="D22" s="826">
        <v>3</v>
      </c>
      <c r="E22" s="826">
        <v>2000</v>
      </c>
      <c r="F22" s="826">
        <v>6000</v>
      </c>
      <c r="G22" s="773">
        <f t="shared" si="2"/>
        <v>0</v>
      </c>
      <c r="H22" s="826">
        <v>2000</v>
      </c>
      <c r="I22" s="774">
        <f t="shared" si="0"/>
        <v>0</v>
      </c>
      <c r="J22" s="775">
        <f t="shared" si="4"/>
        <v>3</v>
      </c>
      <c r="K22" s="775">
        <f t="shared" si="5"/>
        <v>0</v>
      </c>
      <c r="L22" s="776">
        <f t="shared" si="6"/>
        <v>6000</v>
      </c>
      <c r="M22" s="777"/>
      <c r="P22" s="651"/>
    </row>
    <row r="23" spans="1:16" s="649" customFormat="1" ht="14.25" customHeight="1">
      <c r="A23" s="772">
        <f t="shared" si="3"/>
        <v>16</v>
      </c>
      <c r="B23" s="824" t="s">
        <v>2050</v>
      </c>
      <c r="C23" s="825" t="s">
        <v>421</v>
      </c>
      <c r="D23" s="826">
        <v>2100</v>
      </c>
      <c r="E23" s="826">
        <v>1659</v>
      </c>
      <c r="F23" s="826">
        <v>3483900</v>
      </c>
      <c r="G23" s="773">
        <v>2085</v>
      </c>
      <c r="H23" s="826">
        <v>1659</v>
      </c>
      <c r="I23" s="774">
        <f t="shared" si="0"/>
        <v>3459015</v>
      </c>
      <c r="J23" s="775">
        <f t="shared" si="4"/>
        <v>15</v>
      </c>
      <c r="K23" s="775">
        <f t="shared" si="5"/>
        <v>0</v>
      </c>
      <c r="L23" s="776">
        <f t="shared" si="6"/>
        <v>24885</v>
      </c>
      <c r="M23" s="777"/>
      <c r="P23" s="651"/>
    </row>
    <row r="24" spans="1:16" s="649" customFormat="1" ht="14.25" customHeight="1">
      <c r="A24" s="772">
        <f>+A23+1</f>
        <v>17</v>
      </c>
      <c r="B24" s="824" t="s">
        <v>2670</v>
      </c>
      <c r="C24" s="825" t="s">
        <v>421</v>
      </c>
      <c r="D24" s="826">
        <v>100</v>
      </c>
      <c r="E24" s="826">
        <v>11267.62</v>
      </c>
      <c r="F24" s="826">
        <v>1126762</v>
      </c>
      <c r="G24" s="773">
        <v>0</v>
      </c>
      <c r="H24" s="826">
        <v>11267.62</v>
      </c>
      <c r="I24" s="774">
        <f t="shared" si="0"/>
        <v>0</v>
      </c>
      <c r="J24" s="775">
        <f t="shared" si="4"/>
        <v>100</v>
      </c>
      <c r="K24" s="775">
        <f t="shared" si="5"/>
        <v>0</v>
      </c>
      <c r="L24" s="776">
        <f t="shared" si="6"/>
        <v>1126762</v>
      </c>
      <c r="M24" s="777"/>
      <c r="P24" s="651"/>
    </row>
    <row r="25" spans="1:16" ht="14.25" customHeight="1" thickBot="1">
      <c r="A25" s="188"/>
      <c r="B25" s="189" t="s">
        <v>301</v>
      </c>
      <c r="C25" s="190" t="s">
        <v>285</v>
      </c>
      <c r="D25" s="779">
        <f t="shared" ref="D25:L25" si="7">SUM(D8:D24)</f>
        <v>3809</v>
      </c>
      <c r="E25" s="779">
        <f t="shared" si="7"/>
        <v>130826.62</v>
      </c>
      <c r="F25" s="779">
        <f t="shared" si="7"/>
        <v>5998382</v>
      </c>
      <c r="G25" s="779">
        <f t="shared" si="7"/>
        <v>2085</v>
      </c>
      <c r="H25" s="779">
        <f t="shared" si="7"/>
        <v>130826.62</v>
      </c>
      <c r="I25" s="779">
        <f t="shared" si="7"/>
        <v>3459015</v>
      </c>
      <c r="J25" s="779">
        <f t="shared" si="7"/>
        <v>1724</v>
      </c>
      <c r="K25" s="779">
        <f t="shared" si="7"/>
        <v>0</v>
      </c>
      <c r="L25" s="779">
        <f t="shared" si="7"/>
        <v>2539367</v>
      </c>
      <c r="M25" s="191" t="s">
        <v>285</v>
      </c>
      <c r="N25" s="185"/>
      <c r="P25" s="184"/>
    </row>
    <row r="26" spans="1:16">
      <c r="A26" s="421"/>
      <c r="B26" s="185"/>
      <c r="D26" s="124"/>
      <c r="E26" s="124"/>
      <c r="I26" s="244"/>
      <c r="J26" s="244"/>
      <c r="K26" s="244"/>
    </row>
    <row r="27" spans="1:16">
      <c r="A27" s="421"/>
      <c r="B27" s="185"/>
      <c r="D27" s="124"/>
      <c r="E27" s="124"/>
      <c r="G27" s="186"/>
      <c r="H27" s="186"/>
      <c r="I27" s="244"/>
      <c r="J27" s="244"/>
      <c r="K27" s="244"/>
    </row>
    <row r="28" spans="1:16">
      <c r="B28" s="105" t="str">
        <f>""&amp;(Шаблон!B1)&amp;"нинг Ички Аудит"</f>
        <v>АТ "Халқ банк"нинг Ички Аудит</v>
      </c>
      <c r="C28" s="145"/>
      <c r="D28" s="145"/>
      <c r="E28" s="145"/>
      <c r="F28" s="105"/>
    </row>
    <row r="29" spans="1:16">
      <c r="B29" s="105" t="s">
        <v>493</v>
      </c>
      <c r="C29" s="145"/>
      <c r="D29" s="145"/>
      <c r="E29" s="145"/>
      <c r="I29" s="105" t="str">
        <f>Шаблон!B13</f>
        <v>А.Ҳазратқулов</v>
      </c>
      <c r="J29" s="105"/>
      <c r="K29" s="105"/>
    </row>
    <row r="30" spans="1:16">
      <c r="B30" s="105"/>
      <c r="C30" s="145"/>
      <c r="D30" s="145"/>
      <c r="E30" s="145"/>
      <c r="I30" s="105"/>
      <c r="J30" s="105"/>
      <c r="K30" s="105"/>
    </row>
    <row r="31" spans="1:16">
      <c r="B31" s="105" t="str">
        <f>""&amp;(Шаблон!B1)&amp;" "&amp;(Шаблон!B2)&amp;" вилояти "</f>
        <v xml:space="preserve">АТ "Халқ банк" Фаргона вилояти вилояти </v>
      </c>
      <c r="C31" s="145"/>
      <c r="D31" s="145"/>
      <c r="E31" s="145"/>
      <c r="I31" s="145"/>
      <c r="J31" s="145"/>
      <c r="K31" s="145"/>
    </row>
    <row r="32" spans="1:16">
      <c r="B32" s="105" t="str">
        <f>""&amp;(Шаблон!B3)&amp;" филиал бошқарувчиси:"</f>
        <v>Бешариқ филиали филиал бошқарувчиси:</v>
      </c>
      <c r="C32" s="145"/>
      <c r="D32" s="145"/>
      <c r="E32" s="145"/>
      <c r="I32" s="105" t="str">
        <f>Шаблон!B5</f>
        <v>_____________</v>
      </c>
      <c r="J32" s="105"/>
      <c r="K32" s="105"/>
    </row>
    <row r="33" spans="2:12">
      <c r="B33" s="105"/>
      <c r="C33" s="145"/>
      <c r="D33" s="145"/>
      <c r="E33" s="145"/>
      <c r="I33" s="145"/>
      <c r="J33" s="145"/>
      <c r="K33" s="145"/>
    </row>
    <row r="34" spans="2:12">
      <c r="B34" s="105" t="s">
        <v>323</v>
      </c>
      <c r="C34" s="145"/>
      <c r="D34" s="145"/>
      <c r="E34" s="145"/>
      <c r="I34" s="105" t="str">
        <f>Шаблон!B8</f>
        <v>_____________</v>
      </c>
      <c r="J34" s="105"/>
      <c r="K34" s="105"/>
    </row>
    <row r="46" spans="2:12">
      <c r="E46" s="184"/>
      <c r="F46" s="184"/>
      <c r="I46" s="181"/>
      <c r="J46" s="181"/>
      <c r="K46" s="181"/>
      <c r="L46" s="187"/>
    </row>
    <row r="47" spans="2:12">
      <c r="E47" s="184"/>
      <c r="F47" s="184"/>
      <c r="I47" s="181"/>
      <c r="J47" s="181"/>
      <c r="K47" s="181"/>
      <c r="L47" s="187"/>
    </row>
    <row r="48" spans="2:12">
      <c r="E48" s="184"/>
      <c r="F48" s="184"/>
      <c r="I48" s="181"/>
      <c r="J48" s="181"/>
      <c r="K48" s="181"/>
      <c r="L48" s="187"/>
    </row>
    <row r="49" spans="4:12">
      <c r="D49" s="184"/>
      <c r="F49" s="184"/>
      <c r="I49" s="181"/>
      <c r="J49" s="181"/>
      <c r="K49" s="181"/>
      <c r="L49" s="187"/>
    </row>
    <row r="50" spans="4:12">
      <c r="I50" s="181"/>
      <c r="J50" s="181"/>
      <c r="K50" s="181"/>
      <c r="L50" s="187"/>
    </row>
    <row r="51" spans="4:12">
      <c r="I51" s="181"/>
      <c r="J51" s="181"/>
      <c r="K51" s="181"/>
      <c r="L51" s="187"/>
    </row>
    <row r="52" spans="4:12">
      <c r="I52" s="181"/>
      <c r="J52" s="181"/>
      <c r="K52" s="181"/>
      <c r="L52" s="187"/>
    </row>
    <row r="53" spans="4:12">
      <c r="I53" s="181"/>
      <c r="J53" s="181"/>
      <c r="K53" s="181"/>
      <c r="L53" s="187"/>
    </row>
    <row r="54" spans="4:12">
      <c r="I54" s="181"/>
      <c r="J54" s="181"/>
      <c r="K54" s="181"/>
      <c r="L54" s="187"/>
    </row>
    <row r="55" spans="4:12">
      <c r="I55" s="181"/>
      <c r="J55" s="181"/>
      <c r="K55" s="181"/>
      <c r="L55" s="187"/>
    </row>
    <row r="56" spans="4:12">
      <c r="F56" s="181"/>
      <c r="I56" s="181"/>
      <c r="J56" s="181"/>
      <c r="K56" s="181"/>
      <c r="L56" s="187"/>
    </row>
    <row r="57" spans="4:12">
      <c r="F57" s="181"/>
      <c r="I57" s="181"/>
      <c r="J57" s="181"/>
      <c r="K57" s="181"/>
      <c r="L57" s="187"/>
    </row>
    <row r="58" spans="4:12">
      <c r="F58" s="181"/>
      <c r="I58" s="181"/>
      <c r="J58" s="181"/>
      <c r="K58" s="181"/>
      <c r="L58" s="187"/>
    </row>
    <row r="59" spans="4:12">
      <c r="F59" s="181"/>
    </row>
    <row r="60" spans="4:12">
      <c r="F60" s="181"/>
    </row>
    <row r="61" spans="4:12">
      <c r="F61" s="181"/>
    </row>
    <row r="62" spans="4:12">
      <c r="F62" s="181"/>
    </row>
    <row r="63" spans="4:12">
      <c r="F63" s="181"/>
    </row>
    <row r="64" spans="4:12">
      <c r="F64" s="181"/>
    </row>
    <row r="65" spans="6:6">
      <c r="F65" s="181"/>
    </row>
  </sheetData>
  <autoFilter ref="A7:P25" xr:uid="{00000000-0009-0000-0000-00000C000000}"/>
  <mergeCells count="9">
    <mergeCell ref="A2:M2"/>
    <mergeCell ref="A3:M3"/>
    <mergeCell ref="A5:A6"/>
    <mergeCell ref="B5:B6"/>
    <mergeCell ref="M5:M6"/>
    <mergeCell ref="D5:F5"/>
    <mergeCell ref="C5:C6"/>
    <mergeCell ref="J5:L5"/>
    <mergeCell ref="G5:I5"/>
  </mergeCells>
  <phoneticPr fontId="0" type="noConversion"/>
  <printOptions horizontalCentered="1"/>
  <pageMargins left="0.23622047244094491" right="0.23622047244094491" top="0.74803149606299213" bottom="0.74803149606299213" header="0.31496062992125984" footer="0.31496062992125984"/>
  <pageSetup paperSize="9" scale="60"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65"/>
  <sheetViews>
    <sheetView view="pageBreakPreview" topLeftCell="A31" zoomScale="60" workbookViewId="0">
      <selection activeCell="D20" sqref="D20"/>
    </sheetView>
  </sheetViews>
  <sheetFormatPr defaultColWidth="9.109375" defaultRowHeight="13.8"/>
  <cols>
    <col min="1" max="1" width="11" style="27" customWidth="1"/>
    <col min="2" max="3" width="15.88671875" style="27" customWidth="1"/>
    <col min="4" max="4" width="17.44140625" style="27" customWidth="1"/>
    <col min="5" max="5" width="18" style="27" customWidth="1"/>
    <col min="6" max="7" width="9.109375" style="27"/>
    <col min="8" max="8" width="10.5546875" style="27" customWidth="1"/>
    <col min="9" max="16384" width="9.109375" style="27"/>
  </cols>
  <sheetData>
    <row r="1" spans="1:8">
      <c r="G1" s="546"/>
      <c r="H1" s="547" t="s">
        <v>743</v>
      </c>
    </row>
    <row r="2" spans="1:8" ht="61.5" customHeight="1">
      <c r="A2" s="1013" t="str">
        <f>""&amp;(Шаблон!B1)&amp;"нинг "&amp;(Шаблон!B2)&amp;" вилоят бошқармаси "&amp;(Шаблон!B3)&amp;" филиалида ташкил этилган №"&amp;(Шаблон!B12)&amp;"-сонли валюта айирбошлаш шахобчаси фаолиятининг қонунчилик талабларига мутаносиблигини текшириш"</f>
        <v>АТ "Халқ банк"нинг Фаргона вилояти вилоят бошқармаси Бешариқ филиали филиалида ташкил этилган №________-сонли валюта айирбошлаш шахобчаси фаолиятининг қонунчилик талабларига мутаносиблигини текшириш</v>
      </c>
      <c r="B2" s="1013"/>
      <c r="C2" s="1013"/>
      <c r="D2" s="1013"/>
      <c r="E2" s="1013"/>
      <c r="F2" s="1013"/>
      <c r="G2" s="1013"/>
      <c r="H2" s="1013"/>
    </row>
    <row r="3" spans="1:8">
      <c r="A3" s="1075" t="s">
        <v>744</v>
      </c>
      <c r="B3" s="1075"/>
      <c r="C3" s="1075"/>
      <c r="D3" s="1075"/>
      <c r="E3" s="1075"/>
      <c r="F3" s="1075"/>
      <c r="G3" s="1075"/>
    </row>
    <row r="5" spans="1:8">
      <c r="B5" s="1075" t="s">
        <v>745</v>
      </c>
      <c r="C5" s="1075"/>
      <c r="D5" s="1075"/>
      <c r="E5" s="1075"/>
      <c r="F5" s="1075"/>
    </row>
    <row r="7" spans="1:8" s="28" customFormat="1">
      <c r="C7" s="1076" t="s">
        <v>746</v>
      </c>
      <c r="D7" s="1076"/>
      <c r="E7" s="1076"/>
    </row>
    <row r="9" spans="1:8" ht="14.4" thickBot="1">
      <c r="C9" s="1075" t="s">
        <v>747</v>
      </c>
      <c r="D9" s="1075"/>
    </row>
    <row r="10" spans="1:8">
      <c r="A10" s="1077" t="s">
        <v>748</v>
      </c>
      <c r="B10" s="1077" t="s">
        <v>749</v>
      </c>
      <c r="C10" s="1080"/>
      <c r="D10" s="1080"/>
      <c r="E10" s="1081"/>
      <c r="F10" s="1077" t="s">
        <v>750</v>
      </c>
      <c r="G10" s="1080"/>
      <c r="H10" s="1081"/>
    </row>
    <row r="11" spans="1:8">
      <c r="A11" s="1078"/>
      <c r="B11" s="1082"/>
      <c r="C11" s="1083"/>
      <c r="D11" s="1083"/>
      <c r="E11" s="1084"/>
      <c r="F11" s="1078"/>
      <c r="G11" s="1085"/>
      <c r="H11" s="1086"/>
    </row>
    <row r="12" spans="1:8" ht="14.4" thickBot="1">
      <c r="A12" s="1079"/>
      <c r="B12" s="1089" t="s">
        <v>751</v>
      </c>
      <c r="C12" s="1090"/>
      <c r="D12" s="1090" t="s">
        <v>752</v>
      </c>
      <c r="E12" s="1091"/>
      <c r="F12" s="1079"/>
      <c r="G12" s="1087"/>
      <c r="H12" s="1088"/>
    </row>
    <row r="13" spans="1:8" ht="14.4" thickBot="1">
      <c r="A13" s="548"/>
      <c r="B13" s="1092"/>
      <c r="C13" s="1093"/>
      <c r="D13" s="1092"/>
      <c r="E13" s="1093"/>
      <c r="F13" s="1092"/>
      <c r="G13" s="1094"/>
      <c r="H13" s="1095"/>
    </row>
    <row r="14" spans="1:8">
      <c r="A14" s="42"/>
      <c r="B14" s="549"/>
      <c r="C14" s="549"/>
      <c r="D14" s="549"/>
      <c r="E14" s="549"/>
      <c r="F14" s="549"/>
      <c r="G14" s="549"/>
      <c r="H14" s="549"/>
    </row>
    <row r="15" spans="1:8" ht="14.4" thickBot="1">
      <c r="C15" s="1096" t="s">
        <v>753</v>
      </c>
      <c r="D15" s="1096"/>
      <c r="E15" s="1096"/>
    </row>
    <row r="16" spans="1:8">
      <c r="A16" s="1077" t="s">
        <v>748</v>
      </c>
      <c r="B16" s="1077" t="s">
        <v>749</v>
      </c>
      <c r="C16" s="1080"/>
      <c r="D16" s="1080"/>
      <c r="E16" s="1081"/>
      <c r="F16" s="1077" t="s">
        <v>754</v>
      </c>
      <c r="G16" s="1080"/>
      <c r="H16" s="1081"/>
    </row>
    <row r="17" spans="1:8">
      <c r="A17" s="1078"/>
      <c r="B17" s="1082"/>
      <c r="C17" s="1083"/>
      <c r="D17" s="1083"/>
      <c r="E17" s="1084"/>
      <c r="F17" s="1078"/>
      <c r="G17" s="1085"/>
      <c r="H17" s="1086"/>
    </row>
    <row r="18" spans="1:8" ht="14.4" thickBot="1">
      <c r="A18" s="1079"/>
      <c r="B18" s="1089" t="s">
        <v>751</v>
      </c>
      <c r="C18" s="1090"/>
      <c r="D18" s="1090" t="s">
        <v>752</v>
      </c>
      <c r="E18" s="1091"/>
      <c r="F18" s="1079"/>
      <c r="G18" s="1087"/>
      <c r="H18" s="1088"/>
    </row>
    <row r="19" spans="1:8" ht="14.4" thickBot="1">
      <c r="A19" s="548"/>
      <c r="B19" s="1092"/>
      <c r="C19" s="1093"/>
      <c r="D19" s="1092"/>
      <c r="E19" s="1093"/>
      <c r="F19" s="1092"/>
      <c r="G19" s="1094"/>
      <c r="H19" s="1095"/>
    </row>
    <row r="22" spans="1:8" ht="14.4" thickBot="1">
      <c r="C22" s="1096" t="s">
        <v>755</v>
      </c>
      <c r="D22" s="1096"/>
      <c r="E22" s="1096"/>
    </row>
    <row r="23" spans="1:8" s="550" customFormat="1">
      <c r="A23" s="1104" t="s">
        <v>756</v>
      </c>
      <c r="B23" s="1106" t="s">
        <v>757</v>
      </c>
      <c r="C23" s="1107"/>
      <c r="D23" s="1108"/>
      <c r="E23" s="1109" t="s">
        <v>758</v>
      </c>
      <c r="F23" s="1109"/>
      <c r="G23" s="1109"/>
      <c r="H23" s="1110"/>
    </row>
    <row r="24" spans="1:8" s="550" customFormat="1" ht="14.4" thickBot="1">
      <c r="A24" s="1105"/>
      <c r="B24" s="551" t="s">
        <v>759</v>
      </c>
      <c r="C24" s="552" t="s">
        <v>760</v>
      </c>
      <c r="D24" s="553" t="s">
        <v>761</v>
      </c>
      <c r="E24" s="1111"/>
      <c r="F24" s="1111"/>
      <c r="G24" s="1111"/>
      <c r="H24" s="1112"/>
    </row>
    <row r="25" spans="1:8">
      <c r="A25" s="554" t="s">
        <v>762</v>
      </c>
      <c r="B25" s="555"/>
      <c r="C25" s="556"/>
      <c r="D25" s="556"/>
      <c r="E25" s="1116"/>
      <c r="F25" s="1117"/>
      <c r="G25" s="1117"/>
      <c r="H25" s="1118"/>
    </row>
    <row r="26" spans="1:8">
      <c r="A26" s="574" t="s">
        <v>789</v>
      </c>
      <c r="B26" s="575"/>
      <c r="C26" s="576"/>
      <c r="D26" s="576"/>
      <c r="E26" s="1101"/>
      <c r="F26" s="1102"/>
      <c r="G26" s="1102"/>
      <c r="H26" s="1103"/>
    </row>
    <row r="27" spans="1:8" ht="14.4" thickBot="1">
      <c r="A27" s="557" t="s">
        <v>763</v>
      </c>
      <c r="B27" s="558"/>
      <c r="C27" s="559"/>
      <c r="D27" s="559"/>
      <c r="E27" s="1113"/>
      <c r="F27" s="1114"/>
      <c r="G27" s="1114"/>
      <c r="H27" s="1115"/>
    </row>
    <row r="28" spans="1:8">
      <c r="A28" s="573"/>
      <c r="B28" s="549"/>
      <c r="C28" s="42"/>
      <c r="D28" s="42"/>
      <c r="E28" s="549"/>
      <c r="F28" s="549"/>
      <c r="G28" s="549"/>
      <c r="H28" s="549"/>
    </row>
    <row r="30" spans="1:8" ht="47.25" customHeight="1">
      <c r="A30" s="1097" t="s">
        <v>764</v>
      </c>
      <c r="B30" s="1097"/>
      <c r="C30" s="1097"/>
      <c r="D30" s="1097"/>
      <c r="E30" s="1097"/>
      <c r="F30" s="1097"/>
      <c r="G30" s="1097"/>
      <c r="H30" s="1097"/>
    </row>
    <row r="31" spans="1:8">
      <c r="B31" s="560"/>
    </row>
    <row r="32" spans="1:8" s="28" customFormat="1">
      <c r="A32" s="1098" t="s">
        <v>765</v>
      </c>
      <c r="B32" s="1099"/>
      <c r="C32" s="1099"/>
      <c r="D32" s="1099"/>
      <c r="E32" s="1099"/>
      <c r="F32" s="1099"/>
      <c r="G32" s="1099"/>
      <c r="H32" s="1099"/>
    </row>
    <row r="33" spans="1:8" s="28" customFormat="1">
      <c r="A33" s="561"/>
      <c r="B33" s="562"/>
      <c r="C33" s="562"/>
      <c r="D33" s="562"/>
      <c r="E33" s="562"/>
      <c r="F33" s="562"/>
      <c r="G33" s="562"/>
      <c r="H33" s="562"/>
    </row>
    <row r="34" spans="1:8" ht="14.4" thickBot="1">
      <c r="A34" s="1100" t="s">
        <v>766</v>
      </c>
      <c r="B34" s="1100"/>
      <c r="C34" s="1100"/>
      <c r="D34" s="1100"/>
      <c r="E34" s="1100"/>
      <c r="F34" s="1100"/>
      <c r="G34" s="1100"/>
      <c r="H34" s="1100"/>
    </row>
    <row r="35" spans="1:8" s="28" customFormat="1" ht="14.4" thickBot="1">
      <c r="A35" s="563" t="s">
        <v>213</v>
      </c>
      <c r="B35" s="1128" t="s">
        <v>767</v>
      </c>
      <c r="C35" s="1128"/>
      <c r="D35" s="1128"/>
      <c r="E35" s="1128"/>
      <c r="F35" s="1128" t="s">
        <v>768</v>
      </c>
      <c r="G35" s="1128"/>
      <c r="H35" s="1129"/>
    </row>
    <row r="36" spans="1:8">
      <c r="A36" s="564">
        <v>1</v>
      </c>
      <c r="B36" s="1130" t="s">
        <v>769</v>
      </c>
      <c r="C36" s="1131"/>
      <c r="D36" s="1131"/>
      <c r="E36" s="1132"/>
      <c r="F36" s="1116"/>
      <c r="G36" s="1117"/>
      <c r="H36" s="1118"/>
    </row>
    <row r="37" spans="1:8">
      <c r="A37" s="565">
        <v>2</v>
      </c>
      <c r="B37" s="1125" t="s">
        <v>770</v>
      </c>
      <c r="C37" s="1126"/>
      <c r="D37" s="1126"/>
      <c r="E37" s="1127"/>
      <c r="F37" s="1122"/>
      <c r="G37" s="1123"/>
      <c r="H37" s="1124"/>
    </row>
    <row r="38" spans="1:8">
      <c r="A38" s="566">
        <v>3</v>
      </c>
      <c r="B38" s="1119" t="s">
        <v>771</v>
      </c>
      <c r="C38" s="1120"/>
      <c r="D38" s="1120"/>
      <c r="E38" s="1121"/>
      <c r="F38" s="1122"/>
      <c r="G38" s="1123"/>
      <c r="H38" s="1124"/>
    </row>
    <row r="39" spans="1:8">
      <c r="A39" s="566">
        <v>4</v>
      </c>
      <c r="B39" s="1119" t="s">
        <v>772</v>
      </c>
      <c r="C39" s="1120"/>
      <c r="D39" s="1120"/>
      <c r="E39" s="1121"/>
      <c r="F39" s="1122"/>
      <c r="G39" s="1123"/>
      <c r="H39" s="1124"/>
    </row>
    <row r="40" spans="1:8">
      <c r="A40" s="566">
        <v>5</v>
      </c>
      <c r="B40" s="1125" t="s">
        <v>773</v>
      </c>
      <c r="C40" s="1126"/>
      <c r="D40" s="1126"/>
      <c r="E40" s="1127"/>
      <c r="F40" s="1122"/>
      <c r="G40" s="1123"/>
      <c r="H40" s="1124"/>
    </row>
    <row r="41" spans="1:8">
      <c r="A41" s="566">
        <v>6</v>
      </c>
      <c r="B41" s="1119" t="s">
        <v>774</v>
      </c>
      <c r="C41" s="1120"/>
      <c r="D41" s="1120"/>
      <c r="E41" s="1121"/>
      <c r="F41" s="1122"/>
      <c r="G41" s="1123"/>
      <c r="H41" s="1124"/>
    </row>
    <row r="42" spans="1:8">
      <c r="A42" s="566">
        <v>7</v>
      </c>
      <c r="B42" s="1119" t="s">
        <v>775</v>
      </c>
      <c r="C42" s="1120"/>
      <c r="D42" s="1120"/>
      <c r="E42" s="1121"/>
      <c r="F42" s="1122"/>
      <c r="G42" s="1123"/>
      <c r="H42" s="1124"/>
    </row>
    <row r="43" spans="1:8">
      <c r="A43" s="566">
        <v>8</v>
      </c>
      <c r="B43" s="1119" t="s">
        <v>776</v>
      </c>
      <c r="C43" s="1120"/>
      <c r="D43" s="1120"/>
      <c r="E43" s="1121"/>
      <c r="F43" s="1122"/>
      <c r="G43" s="1123"/>
      <c r="H43" s="1124"/>
    </row>
    <row r="44" spans="1:8">
      <c r="A44" s="567">
        <v>9</v>
      </c>
      <c r="B44" s="1137" t="s">
        <v>777</v>
      </c>
      <c r="C44" s="1138"/>
      <c r="D44" s="1138"/>
      <c r="E44" s="1139"/>
      <c r="F44" s="1122"/>
      <c r="G44" s="1123"/>
      <c r="H44" s="1124"/>
    </row>
    <row r="45" spans="1:8">
      <c r="A45" s="566">
        <v>10</v>
      </c>
      <c r="B45" s="1119" t="s">
        <v>778</v>
      </c>
      <c r="C45" s="1120"/>
      <c r="D45" s="1120"/>
      <c r="E45" s="1121"/>
      <c r="F45" s="1122"/>
      <c r="G45" s="1123"/>
      <c r="H45" s="1124"/>
    </row>
    <row r="46" spans="1:8">
      <c r="A46" s="566">
        <v>11</v>
      </c>
      <c r="B46" s="1119" t="s">
        <v>779</v>
      </c>
      <c r="C46" s="1120"/>
      <c r="D46" s="1120"/>
      <c r="E46" s="1121"/>
      <c r="F46" s="1122"/>
      <c r="G46" s="1123"/>
      <c r="H46" s="1124"/>
    </row>
    <row r="47" spans="1:8">
      <c r="A47" s="567">
        <v>12</v>
      </c>
      <c r="B47" s="1119" t="s">
        <v>780</v>
      </c>
      <c r="C47" s="1120"/>
      <c r="D47" s="1120"/>
      <c r="E47" s="1121"/>
      <c r="F47" s="1122"/>
      <c r="G47" s="1123"/>
      <c r="H47" s="1124"/>
    </row>
    <row r="48" spans="1:8">
      <c r="A48" s="568">
        <v>13</v>
      </c>
      <c r="B48" s="1134" t="s">
        <v>781</v>
      </c>
      <c r="C48" s="1135"/>
      <c r="D48" s="1135"/>
      <c r="E48" s="1136"/>
      <c r="F48" s="1122"/>
      <c r="G48" s="1123"/>
      <c r="H48" s="1124"/>
    </row>
    <row r="49" spans="1:17">
      <c r="A49" s="566">
        <v>14</v>
      </c>
      <c r="B49" s="1119" t="s">
        <v>782</v>
      </c>
      <c r="C49" s="1120"/>
      <c r="D49" s="1120"/>
      <c r="E49" s="1121"/>
      <c r="F49" s="1122"/>
      <c r="G49" s="1123"/>
      <c r="H49" s="1124"/>
    </row>
    <row r="50" spans="1:17">
      <c r="A50" s="568">
        <v>15</v>
      </c>
      <c r="B50" s="1134" t="s">
        <v>783</v>
      </c>
      <c r="C50" s="1135"/>
      <c r="D50" s="1135"/>
      <c r="E50" s="1136"/>
      <c r="F50" s="1122"/>
      <c r="G50" s="1123"/>
      <c r="H50" s="1124"/>
    </row>
    <row r="51" spans="1:17">
      <c r="A51" s="566">
        <v>16</v>
      </c>
      <c r="B51" s="1119" t="s">
        <v>784</v>
      </c>
      <c r="C51" s="1120"/>
      <c r="D51" s="1120"/>
      <c r="E51" s="1121"/>
      <c r="F51" s="1122"/>
      <c r="G51" s="1123"/>
      <c r="H51" s="1124"/>
    </row>
    <row r="52" spans="1:17" ht="14.4" thickBot="1">
      <c r="A52" s="569">
        <v>17</v>
      </c>
      <c r="B52" s="1140" t="s">
        <v>785</v>
      </c>
      <c r="C52" s="1141"/>
      <c r="D52" s="1141"/>
      <c r="E52" s="1142"/>
      <c r="F52" s="1113"/>
      <c r="G52" s="1114"/>
      <c r="H52" s="1115"/>
    </row>
    <row r="53" spans="1:17">
      <c r="A53" s="570"/>
      <c r="B53" s="571"/>
      <c r="C53" s="571"/>
      <c r="D53" s="571"/>
      <c r="E53" s="571"/>
      <c r="F53" s="549"/>
      <c r="G53" s="549"/>
      <c r="H53" s="549"/>
    </row>
    <row r="54" spans="1:17">
      <c r="A54" s="28" t="s">
        <v>786</v>
      </c>
      <c r="B54" s="28"/>
    </row>
    <row r="55" spans="1:17" s="28" customFormat="1" ht="42" customHeight="1">
      <c r="A55" s="1133"/>
      <c r="B55" s="1133"/>
      <c r="C55" s="1133"/>
      <c r="D55" s="1133"/>
      <c r="E55" s="1133"/>
      <c r="F55" s="1133"/>
      <c r="G55" s="1133"/>
      <c r="H55" s="1133"/>
      <c r="I55" s="572"/>
      <c r="J55" s="572"/>
      <c r="K55" s="572"/>
      <c r="L55" s="572"/>
      <c r="M55" s="572"/>
      <c r="N55" s="572"/>
      <c r="O55" s="572"/>
      <c r="P55" s="572"/>
      <c r="Q55" s="572"/>
    </row>
    <row r="56" spans="1:17">
      <c r="B56" s="28"/>
      <c r="C56" s="28"/>
      <c r="D56" s="28"/>
      <c r="E56" s="28"/>
    </row>
    <row r="57" spans="1:17">
      <c r="B57" s="6" t="str">
        <f>""&amp;([1]Шаблон!B1)&amp;"нинг Ички Аудит"</f>
        <v>"Агробанк" ОАТБнинг Ички Аудит</v>
      </c>
      <c r="C57" s="1"/>
      <c r="D57" s="1"/>
      <c r="E57" s="1"/>
      <c r="F57" s="1"/>
      <c r="G57" s="37"/>
    </row>
    <row r="58" spans="1:17">
      <c r="B58" s="6" t="s">
        <v>493</v>
      </c>
      <c r="C58" s="1"/>
      <c r="D58" s="1"/>
      <c r="G58" s="6" t="str">
        <f>[1]Шаблон!B13</f>
        <v>У.Р.Очилов</v>
      </c>
    </row>
    <row r="59" spans="1:17">
      <c r="B59" s="6"/>
      <c r="C59" s="1"/>
      <c r="D59" s="1"/>
      <c r="G59" s="6"/>
    </row>
    <row r="60" spans="1:17">
      <c r="B60" s="6" t="str">
        <f>""&amp;(Шаблон!B1)&amp;" "&amp;(Шаблон!B2)&amp;" вилоят бошқармаси"</f>
        <v>АТ "Халқ банк" Фаргона вилояти вилоят бошқармаси</v>
      </c>
      <c r="C60" s="1"/>
      <c r="D60" s="1"/>
      <c r="G60" s="1"/>
    </row>
    <row r="61" spans="1:17">
      <c r="B61" s="6" t="str">
        <f>""&amp;([1]Шаблон!B3)&amp;" филиал бошқарувчиси:"</f>
        <v>Ҳудудий филиал бошқарувчиси:</v>
      </c>
      <c r="C61" s="1"/>
      <c r="D61" s="1"/>
      <c r="G61" s="6" t="s">
        <v>734</v>
      </c>
    </row>
    <row r="62" spans="1:17">
      <c r="B62" s="6"/>
      <c r="C62" s="1"/>
      <c r="D62" s="1"/>
      <c r="G62" s="1"/>
    </row>
    <row r="63" spans="1:17">
      <c r="B63" s="105" t="s">
        <v>323</v>
      </c>
      <c r="C63" s="1"/>
      <c r="D63" s="1"/>
      <c r="G63" s="6" t="s">
        <v>735</v>
      </c>
    </row>
    <row r="64" spans="1:17">
      <c r="B64" s="36"/>
      <c r="C64" s="28"/>
      <c r="D64" s="28"/>
      <c r="E64" s="28"/>
      <c r="G64" s="36"/>
    </row>
    <row r="65" spans="2:7">
      <c r="B65" s="28" t="s">
        <v>787</v>
      </c>
      <c r="G65" s="36"/>
    </row>
  </sheetData>
  <mergeCells count="69">
    <mergeCell ref="F43:H43"/>
    <mergeCell ref="B44:E44"/>
    <mergeCell ref="B51:E51"/>
    <mergeCell ref="F51:H51"/>
    <mergeCell ref="B52:E52"/>
    <mergeCell ref="F52:H52"/>
    <mergeCell ref="A55:H55"/>
    <mergeCell ref="B50:E50"/>
    <mergeCell ref="F50:H50"/>
    <mergeCell ref="B45:E45"/>
    <mergeCell ref="F45:H45"/>
    <mergeCell ref="B46:E46"/>
    <mergeCell ref="F46:H46"/>
    <mergeCell ref="B47:E47"/>
    <mergeCell ref="F47:H47"/>
    <mergeCell ref="B48:E48"/>
    <mergeCell ref="B35:E35"/>
    <mergeCell ref="F35:H35"/>
    <mergeCell ref="F48:H48"/>
    <mergeCell ref="B49:E49"/>
    <mergeCell ref="F49:H49"/>
    <mergeCell ref="F41:H41"/>
    <mergeCell ref="B36:E36"/>
    <mergeCell ref="F36:H36"/>
    <mergeCell ref="B37:E37"/>
    <mergeCell ref="F37:H37"/>
    <mergeCell ref="B38:E38"/>
    <mergeCell ref="F38:H38"/>
    <mergeCell ref="F44:H44"/>
    <mergeCell ref="B42:E42"/>
    <mergeCell ref="F42:H42"/>
    <mergeCell ref="B43:E43"/>
    <mergeCell ref="B39:E39"/>
    <mergeCell ref="F39:H39"/>
    <mergeCell ref="B40:E40"/>
    <mergeCell ref="F40:H40"/>
    <mergeCell ref="B41:E41"/>
    <mergeCell ref="B19:C19"/>
    <mergeCell ref="D19:E19"/>
    <mergeCell ref="F19:H19"/>
    <mergeCell ref="C22:E22"/>
    <mergeCell ref="E25:H25"/>
    <mergeCell ref="A30:H30"/>
    <mergeCell ref="A32:H32"/>
    <mergeCell ref="A34:H34"/>
    <mergeCell ref="E26:H26"/>
    <mergeCell ref="A23:A24"/>
    <mergeCell ref="B23:D23"/>
    <mergeCell ref="E23:H24"/>
    <mergeCell ref="E27:H27"/>
    <mergeCell ref="B13:C13"/>
    <mergeCell ref="D13:E13"/>
    <mergeCell ref="F13:H13"/>
    <mergeCell ref="C15:E15"/>
    <mergeCell ref="A16:A18"/>
    <mergeCell ref="B16:E17"/>
    <mergeCell ref="F16:H18"/>
    <mergeCell ref="B18:C18"/>
    <mergeCell ref="D18:E18"/>
    <mergeCell ref="A10:A12"/>
    <mergeCell ref="B10:E11"/>
    <mergeCell ref="F10:H12"/>
    <mergeCell ref="B12:C12"/>
    <mergeCell ref="D12:E12"/>
    <mergeCell ref="A2:H2"/>
    <mergeCell ref="A3:G3"/>
    <mergeCell ref="B5:F5"/>
    <mergeCell ref="C7:E7"/>
    <mergeCell ref="C9:D9"/>
  </mergeCells>
  <pageMargins left="0.34" right="0.21" top="0.16" bottom="0.23" header="0.22" footer="0.3"/>
  <pageSetup paperSize="9" scale="88" orientation="portrait" r:id="rId1"/>
  <rowBreaks count="1" manualBreakCount="1">
    <brk id="56"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FFFF00"/>
  </sheetPr>
  <dimension ref="A2:J167"/>
  <sheetViews>
    <sheetView topLeftCell="A7" workbookViewId="0">
      <pane xSplit="4" ySplit="1" topLeftCell="E8" activePane="bottomRight" state="frozen"/>
      <selection activeCell="B7" sqref="B7"/>
      <selection pane="topRight" activeCell="E7" sqref="E7"/>
      <selection pane="bottomLeft" activeCell="B8" sqref="B8"/>
      <selection pane="bottomRight" activeCell="G81" sqref="G81"/>
    </sheetView>
  </sheetViews>
  <sheetFormatPr defaultColWidth="7.88671875" defaultRowHeight="13.2"/>
  <cols>
    <col min="1" max="1" width="5.44140625" style="736" customWidth="1"/>
    <col min="2" max="2" width="10.33203125" style="736" bestFit="1" customWidth="1"/>
    <col min="3" max="3" width="9" style="736" bestFit="1" customWidth="1"/>
    <col min="4" max="4" width="43.6640625" style="736" customWidth="1"/>
    <col min="5" max="5" width="10.44140625" style="736" bestFit="1" customWidth="1"/>
    <col min="6" max="6" width="10.109375" style="736" bestFit="1" customWidth="1"/>
    <col min="7" max="7" width="10.5546875" style="736" bestFit="1" customWidth="1"/>
    <col min="8" max="8" width="9.109375" style="736" customWidth="1"/>
    <col min="9" max="9" width="11.6640625" style="736" customWidth="1"/>
    <col min="10" max="10" width="10.88671875" style="736" customWidth="1"/>
    <col min="11" max="190" width="9.109375" style="736" customWidth="1"/>
    <col min="191" max="196" width="2" style="736" bestFit="1" customWidth="1"/>
    <col min="197" max="16384" width="7.88671875" style="736"/>
  </cols>
  <sheetData>
    <row r="2" spans="1:10">
      <c r="A2" s="809"/>
      <c r="B2" s="809"/>
      <c r="C2" s="809"/>
      <c r="D2" s="810"/>
      <c r="E2" s="811"/>
      <c r="F2" s="811"/>
      <c r="G2" s="811"/>
    </row>
    <row r="3" spans="1:10">
      <c r="A3" s="809"/>
      <c r="B3" s="809"/>
      <c r="C3" s="809"/>
      <c r="D3" s="810"/>
      <c r="E3" s="811"/>
      <c r="F3" s="811"/>
      <c r="G3" s="811"/>
    </row>
    <row r="4" spans="1:10" ht="14.4">
      <c r="A4" s="812"/>
      <c r="B4" s="812"/>
      <c r="C4" s="812"/>
      <c r="D4" s="810"/>
      <c r="E4" s="811"/>
      <c r="F4" s="811"/>
      <c r="G4" s="811"/>
    </row>
    <row r="5" spans="1:10">
      <c r="A5" s="809"/>
      <c r="B5" s="809"/>
      <c r="C5" s="809"/>
      <c r="D5" s="810"/>
      <c r="E5" s="811"/>
      <c r="F5" s="811"/>
      <c r="G5" s="811"/>
    </row>
    <row r="6" spans="1:10" ht="14.4">
      <c r="A6" s="809"/>
      <c r="B6" s="809"/>
      <c r="C6" s="809"/>
      <c r="D6" s="813"/>
      <c r="E6" s="811"/>
      <c r="F6" s="811"/>
      <c r="G6" s="811"/>
    </row>
    <row r="7" spans="1:10" ht="39.6">
      <c r="A7" s="814"/>
      <c r="B7" s="814" t="s">
        <v>245</v>
      </c>
      <c r="C7" s="814" t="s">
        <v>2058</v>
      </c>
      <c r="D7" s="814" t="s">
        <v>2030</v>
      </c>
      <c r="E7" s="814" t="s">
        <v>2024</v>
      </c>
      <c r="F7" s="814" t="s">
        <v>2025</v>
      </c>
      <c r="G7" s="814" t="s">
        <v>2026</v>
      </c>
      <c r="H7" s="814" t="s">
        <v>2027</v>
      </c>
      <c r="I7" s="814" t="s">
        <v>2028</v>
      </c>
      <c r="J7" s="814" t="s">
        <v>2029</v>
      </c>
    </row>
    <row r="8" spans="1:10" s="821" customFormat="1" hidden="1">
      <c r="A8" s="818" t="s">
        <v>2353</v>
      </c>
      <c r="B8" s="693">
        <v>1</v>
      </c>
      <c r="C8" s="818" t="s">
        <v>2511</v>
      </c>
      <c r="D8" s="818" t="s">
        <v>2196</v>
      </c>
      <c r="E8" s="819">
        <v>42032</v>
      </c>
      <c r="F8" s="818"/>
      <c r="G8" s="691"/>
      <c r="H8" s="691"/>
      <c r="I8" s="691"/>
      <c r="J8" s="691"/>
    </row>
    <row r="9" spans="1:10" s="821" customFormat="1" hidden="1">
      <c r="A9" s="691" t="s">
        <v>2485</v>
      </c>
      <c r="B9" s="693">
        <f>+B8+1</f>
        <v>2</v>
      </c>
      <c r="C9" s="691" t="s">
        <v>2642</v>
      </c>
      <c r="D9" s="818" t="s">
        <v>2327</v>
      </c>
      <c r="E9" s="819">
        <v>42032</v>
      </c>
      <c r="F9" s="818"/>
      <c r="G9" s="691"/>
      <c r="H9" s="691"/>
      <c r="I9" s="691"/>
      <c r="J9" s="691"/>
    </row>
    <row r="10" spans="1:10" s="821" customFormat="1" hidden="1">
      <c r="A10" s="818" t="s">
        <v>2355</v>
      </c>
      <c r="B10" s="693">
        <f t="shared" ref="B10:B57" si="0">+B9+1</f>
        <v>3</v>
      </c>
      <c r="C10" s="818" t="s">
        <v>2513</v>
      </c>
      <c r="D10" s="818" t="s">
        <v>2198</v>
      </c>
      <c r="E10" s="819">
        <v>42035</v>
      </c>
      <c r="F10" s="818" t="s">
        <v>2655</v>
      </c>
      <c r="G10" s="691"/>
      <c r="H10" s="691"/>
      <c r="I10" s="691"/>
      <c r="J10" s="691"/>
    </row>
    <row r="11" spans="1:10" s="821" customFormat="1" hidden="1">
      <c r="A11" s="818" t="s">
        <v>2343</v>
      </c>
      <c r="B11" s="693">
        <f t="shared" si="0"/>
        <v>4</v>
      </c>
      <c r="C11" s="818" t="s">
        <v>2501</v>
      </c>
      <c r="D11" s="818" t="s">
        <v>2186</v>
      </c>
      <c r="E11" s="819">
        <v>42039</v>
      </c>
      <c r="F11" s="818" t="s">
        <v>2649</v>
      </c>
      <c r="G11" s="691"/>
      <c r="H11" s="691"/>
      <c r="I11" s="691"/>
      <c r="J11" s="691"/>
    </row>
    <row r="12" spans="1:10" s="821" customFormat="1" hidden="1">
      <c r="A12" s="691" t="s">
        <v>2479</v>
      </c>
      <c r="B12" s="693">
        <f t="shared" si="0"/>
        <v>5</v>
      </c>
      <c r="C12" s="691" t="s">
        <v>2636</v>
      </c>
      <c r="D12" s="818" t="s">
        <v>2321</v>
      </c>
      <c r="E12" s="819">
        <v>42047</v>
      </c>
      <c r="F12" s="818"/>
      <c r="G12" s="691"/>
      <c r="H12" s="691"/>
      <c r="I12" s="691"/>
      <c r="J12" s="691"/>
    </row>
    <row r="13" spans="1:10" s="821" customFormat="1" hidden="1">
      <c r="A13" s="818" t="s">
        <v>2358</v>
      </c>
      <c r="B13" s="693">
        <f t="shared" si="0"/>
        <v>6</v>
      </c>
      <c r="C13" s="818" t="s">
        <v>2516</v>
      </c>
      <c r="D13" s="818" t="s">
        <v>2201</v>
      </c>
      <c r="E13" s="819">
        <v>42060</v>
      </c>
      <c r="F13" s="818"/>
      <c r="G13" s="691"/>
      <c r="H13" s="691"/>
      <c r="I13" s="691"/>
      <c r="J13" s="691"/>
    </row>
    <row r="14" spans="1:10" s="821" customFormat="1" hidden="1">
      <c r="A14" s="818" t="s">
        <v>2359</v>
      </c>
      <c r="B14" s="693">
        <f t="shared" si="0"/>
        <v>7</v>
      </c>
      <c r="C14" s="818" t="s">
        <v>2517</v>
      </c>
      <c r="D14" s="818" t="s">
        <v>2202</v>
      </c>
      <c r="E14" s="819">
        <v>42060</v>
      </c>
      <c r="F14" s="818"/>
      <c r="G14" s="691"/>
      <c r="H14" s="691"/>
      <c r="I14" s="691"/>
      <c r="J14" s="691"/>
    </row>
    <row r="15" spans="1:10" s="821" customFormat="1" hidden="1">
      <c r="A15" s="818" t="s">
        <v>2363</v>
      </c>
      <c r="B15" s="693">
        <f t="shared" si="0"/>
        <v>8</v>
      </c>
      <c r="C15" s="818" t="s">
        <v>2521</v>
      </c>
      <c r="D15" s="818" t="s">
        <v>2206</v>
      </c>
      <c r="E15" s="819">
        <v>42082</v>
      </c>
      <c r="F15" s="818" t="s">
        <v>2649</v>
      </c>
      <c r="G15" s="691"/>
      <c r="H15" s="691"/>
      <c r="I15" s="691"/>
      <c r="J15" s="691"/>
    </row>
    <row r="16" spans="1:10" s="821" customFormat="1" hidden="1">
      <c r="A16" s="691" t="s">
        <v>2481</v>
      </c>
      <c r="B16" s="693" t="e">
        <f>+#REF!+1</f>
        <v>#REF!</v>
      </c>
      <c r="C16" s="691" t="s">
        <v>2638</v>
      </c>
      <c r="D16" s="818" t="s">
        <v>2323</v>
      </c>
      <c r="E16" s="819">
        <v>42228</v>
      </c>
      <c r="F16" s="818"/>
      <c r="G16" s="691"/>
      <c r="H16" s="691"/>
      <c r="I16" s="691"/>
      <c r="J16" s="691"/>
    </row>
    <row r="17" spans="1:10" s="821" customFormat="1" hidden="1">
      <c r="A17" s="818" t="s">
        <v>2376</v>
      </c>
      <c r="B17" s="693" t="e">
        <f t="shared" si="0"/>
        <v>#REF!</v>
      </c>
      <c r="C17" s="818" t="s">
        <v>2533</v>
      </c>
      <c r="D17" s="818" t="s">
        <v>2219</v>
      </c>
      <c r="E17" s="819">
        <v>42240</v>
      </c>
      <c r="F17" s="818" t="s">
        <v>2649</v>
      </c>
      <c r="G17" s="691"/>
      <c r="H17" s="691"/>
      <c r="I17" s="691"/>
      <c r="J17" s="691"/>
    </row>
    <row r="18" spans="1:10" s="821" customFormat="1" hidden="1">
      <c r="A18" s="818" t="s">
        <v>2337</v>
      </c>
      <c r="B18" s="693" t="e">
        <f t="shared" si="0"/>
        <v>#REF!</v>
      </c>
      <c r="C18" s="818" t="s">
        <v>2495</v>
      </c>
      <c r="D18" s="818" t="s">
        <v>2180</v>
      </c>
      <c r="E18" s="819">
        <v>42244</v>
      </c>
      <c r="F18" s="818"/>
      <c r="G18" s="691"/>
      <c r="H18" s="691"/>
      <c r="I18" s="691"/>
      <c r="J18" s="691"/>
    </row>
    <row r="19" spans="1:10" s="821" customFormat="1" hidden="1">
      <c r="A19" s="818" t="s">
        <v>2381</v>
      </c>
      <c r="B19" s="693" t="e">
        <f t="shared" si="0"/>
        <v>#REF!</v>
      </c>
      <c r="C19" s="818" t="s">
        <v>2538</v>
      </c>
      <c r="D19" s="818" t="s">
        <v>2224</v>
      </c>
      <c r="E19" s="819">
        <v>42244</v>
      </c>
      <c r="F19" s="818" t="s">
        <v>2649</v>
      </c>
      <c r="G19" s="691"/>
      <c r="H19" s="691"/>
      <c r="I19" s="691"/>
      <c r="J19" s="691"/>
    </row>
    <row r="20" spans="1:10" s="821" customFormat="1" hidden="1">
      <c r="A20" s="818" t="s">
        <v>2350</v>
      </c>
      <c r="B20" s="693" t="e">
        <f t="shared" si="0"/>
        <v>#REF!</v>
      </c>
      <c r="C20" s="818" t="s">
        <v>2508</v>
      </c>
      <c r="D20" s="818" t="s">
        <v>2193</v>
      </c>
      <c r="E20" s="819">
        <v>42250</v>
      </c>
      <c r="F20" s="818"/>
      <c r="G20" s="691"/>
      <c r="H20" s="691"/>
      <c r="I20" s="691"/>
      <c r="J20" s="691"/>
    </row>
    <row r="21" spans="1:10" s="821" customFormat="1" hidden="1">
      <c r="A21" s="818" t="s">
        <v>2382</v>
      </c>
      <c r="B21" s="693" t="e">
        <f t="shared" si="0"/>
        <v>#REF!</v>
      </c>
      <c r="C21" s="818" t="s">
        <v>2539</v>
      </c>
      <c r="D21" s="818" t="s">
        <v>2225</v>
      </c>
      <c r="E21" s="819">
        <v>42254</v>
      </c>
      <c r="F21" s="818"/>
      <c r="G21" s="691"/>
      <c r="H21" s="691"/>
      <c r="I21" s="691"/>
      <c r="J21" s="691"/>
    </row>
    <row r="22" spans="1:10" s="821" customFormat="1" hidden="1">
      <c r="A22" s="691" t="s">
        <v>2487</v>
      </c>
      <c r="B22" s="693" t="e">
        <f>+#REF!+1</f>
        <v>#REF!</v>
      </c>
      <c r="C22" s="691" t="s">
        <v>2644</v>
      </c>
      <c r="D22" s="818" t="s">
        <v>2329</v>
      </c>
      <c r="E22" s="819">
        <v>42285</v>
      </c>
      <c r="F22" s="818"/>
      <c r="G22" s="691"/>
      <c r="H22" s="691"/>
      <c r="I22" s="691"/>
      <c r="J22" s="691"/>
    </row>
    <row r="23" spans="1:10">
      <c r="A23" s="734" t="s">
        <v>2471</v>
      </c>
      <c r="B23" s="804" t="e">
        <f>+#REF!+1</f>
        <v>#REF!</v>
      </c>
      <c r="C23" s="734" t="s">
        <v>2628</v>
      </c>
      <c r="D23" s="735" t="s">
        <v>2314</v>
      </c>
      <c r="E23" s="815">
        <v>42311</v>
      </c>
      <c r="F23" s="735"/>
      <c r="G23" s="734"/>
      <c r="H23" s="734"/>
      <c r="I23" s="734"/>
      <c r="J23" s="734"/>
    </row>
    <row r="24" spans="1:10" s="821" customFormat="1" hidden="1">
      <c r="A24" s="818" t="s">
        <v>2334</v>
      </c>
      <c r="B24" s="693" t="e">
        <f>+#REF!+1</f>
        <v>#REF!</v>
      </c>
      <c r="C24" s="818" t="s">
        <v>2492</v>
      </c>
      <c r="D24" s="818" t="s">
        <v>2177</v>
      </c>
      <c r="E24" s="819">
        <v>42334</v>
      </c>
      <c r="F24" s="818">
        <v>1</v>
      </c>
      <c r="G24" s="691"/>
      <c r="H24" s="691"/>
      <c r="I24" s="691"/>
      <c r="J24" s="691"/>
    </row>
    <row r="25" spans="1:10" s="821" customFormat="1" hidden="1">
      <c r="A25" s="818" t="s">
        <v>2393</v>
      </c>
      <c r="B25" s="693" t="e">
        <f>+#REF!+1</f>
        <v>#REF!</v>
      </c>
      <c r="C25" s="818" t="s">
        <v>2550</v>
      </c>
      <c r="D25" s="818" t="s">
        <v>2236</v>
      </c>
      <c r="E25" s="819">
        <v>42348</v>
      </c>
      <c r="F25" s="818"/>
      <c r="G25" s="691"/>
      <c r="H25" s="691"/>
      <c r="I25" s="691"/>
      <c r="J25" s="691"/>
    </row>
    <row r="26" spans="1:10" s="821" customFormat="1" hidden="1">
      <c r="A26" s="691" t="s">
        <v>2397</v>
      </c>
      <c r="B26" s="693" t="e">
        <f>+#REF!+1</f>
        <v>#REF!</v>
      </c>
      <c r="C26" s="691" t="s">
        <v>2554</v>
      </c>
      <c r="D26" s="818" t="s">
        <v>2240</v>
      </c>
      <c r="E26" s="819">
        <v>42377</v>
      </c>
      <c r="F26" s="818"/>
      <c r="G26" s="691"/>
      <c r="H26" s="691"/>
      <c r="I26" s="691"/>
      <c r="J26" s="691"/>
    </row>
    <row r="27" spans="1:10" s="821" customFormat="1" hidden="1">
      <c r="A27" s="691" t="s">
        <v>2399</v>
      </c>
      <c r="B27" s="693" t="e">
        <f t="shared" si="0"/>
        <v>#REF!</v>
      </c>
      <c r="C27" s="691" t="s">
        <v>2556</v>
      </c>
      <c r="D27" s="818" t="s">
        <v>2242</v>
      </c>
      <c r="E27" s="819">
        <v>42387</v>
      </c>
      <c r="F27" s="818" t="s">
        <v>2649</v>
      </c>
      <c r="G27" s="691"/>
      <c r="H27" s="691"/>
      <c r="I27" s="691"/>
      <c r="J27" s="691"/>
    </row>
    <row r="28" spans="1:10" s="821" customFormat="1" hidden="1">
      <c r="A28" s="691" t="s">
        <v>2400</v>
      </c>
      <c r="B28" s="693" t="e">
        <f>+#REF!+1</f>
        <v>#REF!</v>
      </c>
      <c r="C28" s="691" t="s">
        <v>2557</v>
      </c>
      <c r="D28" s="818" t="s">
        <v>2243</v>
      </c>
      <c r="E28" s="819">
        <v>42394</v>
      </c>
      <c r="F28" s="818"/>
      <c r="G28" s="691"/>
      <c r="H28" s="691"/>
      <c r="I28" s="691"/>
      <c r="J28" s="691"/>
    </row>
    <row r="29" spans="1:10" s="821" customFormat="1" hidden="1">
      <c r="A29" s="818" t="s">
        <v>2338</v>
      </c>
      <c r="B29" s="693" t="e">
        <f t="shared" si="0"/>
        <v>#REF!</v>
      </c>
      <c r="C29" s="818" t="s">
        <v>2496</v>
      </c>
      <c r="D29" s="818" t="s">
        <v>2181</v>
      </c>
      <c r="E29" s="819">
        <v>42408</v>
      </c>
      <c r="F29" s="818"/>
      <c r="G29" s="691"/>
      <c r="H29" s="691"/>
      <c r="I29" s="691"/>
      <c r="J29" s="691"/>
    </row>
    <row r="30" spans="1:10" s="821" customFormat="1" hidden="1">
      <c r="A30" s="691" t="s">
        <v>2472</v>
      </c>
      <c r="B30" s="693" t="e">
        <f t="shared" si="0"/>
        <v>#REF!</v>
      </c>
      <c r="C30" s="691" t="s">
        <v>2629</v>
      </c>
      <c r="D30" s="818" t="s">
        <v>2315</v>
      </c>
      <c r="E30" s="819">
        <v>42408</v>
      </c>
      <c r="F30" s="818"/>
      <c r="G30" s="691"/>
      <c r="H30" s="691"/>
      <c r="I30" s="691"/>
      <c r="J30" s="691"/>
    </row>
    <row r="31" spans="1:10" s="821" customFormat="1" hidden="1">
      <c r="A31" s="691" t="s">
        <v>2490</v>
      </c>
      <c r="B31" s="693" t="e">
        <f t="shared" si="0"/>
        <v>#REF!</v>
      </c>
      <c r="C31" s="691" t="s">
        <v>2647</v>
      </c>
      <c r="D31" s="818" t="s">
        <v>2332</v>
      </c>
      <c r="E31" s="819">
        <v>42412</v>
      </c>
      <c r="F31" s="818"/>
      <c r="G31" s="691"/>
      <c r="H31" s="691"/>
      <c r="I31" s="691"/>
      <c r="J31" s="691"/>
    </row>
    <row r="32" spans="1:10" s="821" customFormat="1" hidden="1">
      <c r="A32" s="818" t="s">
        <v>2335</v>
      </c>
      <c r="B32" s="693" t="e">
        <f t="shared" si="0"/>
        <v>#REF!</v>
      </c>
      <c r="C32" s="818" t="s">
        <v>2493</v>
      </c>
      <c r="D32" s="818" t="s">
        <v>2178</v>
      </c>
      <c r="E32" s="819">
        <v>42415</v>
      </c>
      <c r="F32" s="818"/>
      <c r="G32" s="691"/>
      <c r="H32" s="691"/>
      <c r="I32" s="691"/>
      <c r="J32" s="691"/>
    </row>
    <row r="33" spans="1:10" s="821" customFormat="1" hidden="1">
      <c r="A33" s="818" t="s">
        <v>2346</v>
      </c>
      <c r="B33" s="693" t="e">
        <f t="shared" si="0"/>
        <v>#REF!</v>
      </c>
      <c r="C33" s="818" t="s">
        <v>2504</v>
      </c>
      <c r="D33" s="818" t="s">
        <v>2189</v>
      </c>
      <c r="E33" s="819">
        <v>42415</v>
      </c>
      <c r="F33" s="818"/>
      <c r="G33" s="691"/>
      <c r="H33" s="691"/>
      <c r="I33" s="691"/>
      <c r="J33" s="691"/>
    </row>
    <row r="34" spans="1:10" s="821" customFormat="1" hidden="1">
      <c r="A34" s="818" t="s">
        <v>2341</v>
      </c>
      <c r="B34" s="693" t="e">
        <f t="shared" si="0"/>
        <v>#REF!</v>
      </c>
      <c r="C34" s="818" t="s">
        <v>2499</v>
      </c>
      <c r="D34" s="818" t="s">
        <v>2184</v>
      </c>
      <c r="E34" s="819">
        <v>42422</v>
      </c>
      <c r="F34" s="818" t="s">
        <v>2652</v>
      </c>
      <c r="G34" s="691"/>
      <c r="H34" s="691"/>
      <c r="I34" s="691"/>
      <c r="J34" s="691"/>
    </row>
    <row r="35" spans="1:10" s="821" customFormat="1" hidden="1">
      <c r="A35" s="691" t="s">
        <v>2488</v>
      </c>
      <c r="B35" s="693" t="e">
        <f t="shared" si="0"/>
        <v>#REF!</v>
      </c>
      <c r="C35" s="691" t="s">
        <v>2645</v>
      </c>
      <c r="D35" s="818" t="s">
        <v>2330</v>
      </c>
      <c r="E35" s="819">
        <v>42439</v>
      </c>
      <c r="F35" s="818"/>
      <c r="G35" s="691"/>
      <c r="H35" s="691"/>
      <c r="I35" s="691"/>
      <c r="J35" s="691"/>
    </row>
    <row r="36" spans="1:10" s="821" customFormat="1" hidden="1">
      <c r="A36" s="691" t="s">
        <v>2477</v>
      </c>
      <c r="B36" s="693" t="e">
        <f>+#REF!+1</f>
        <v>#REF!</v>
      </c>
      <c r="C36" s="691" t="s">
        <v>2634</v>
      </c>
      <c r="D36" s="818" t="s">
        <v>2320</v>
      </c>
      <c r="E36" s="819">
        <v>42444</v>
      </c>
      <c r="F36" s="818"/>
      <c r="G36" s="691"/>
      <c r="H36" s="691"/>
      <c r="I36" s="691"/>
      <c r="J36" s="691"/>
    </row>
    <row r="37" spans="1:10" s="821" customFormat="1" hidden="1">
      <c r="A37" s="691" t="s">
        <v>2416</v>
      </c>
      <c r="B37" s="693" t="e">
        <f>+#REF!+1</f>
        <v>#REF!</v>
      </c>
      <c r="C37" s="691" t="s">
        <v>2573</v>
      </c>
      <c r="D37" s="818" t="s">
        <v>2259</v>
      </c>
      <c r="E37" s="819">
        <v>42472</v>
      </c>
      <c r="F37" s="818"/>
      <c r="G37" s="691"/>
      <c r="H37" s="691"/>
      <c r="I37" s="691"/>
      <c r="J37" s="691"/>
    </row>
    <row r="38" spans="1:10" s="821" customFormat="1" hidden="1">
      <c r="A38" s="691" t="s">
        <v>2417</v>
      </c>
      <c r="B38" s="693" t="e">
        <f t="shared" si="0"/>
        <v>#REF!</v>
      </c>
      <c r="C38" s="691" t="s">
        <v>2574</v>
      </c>
      <c r="D38" s="818" t="s">
        <v>2260</v>
      </c>
      <c r="E38" s="819">
        <v>42472</v>
      </c>
      <c r="F38" s="818"/>
      <c r="G38" s="691"/>
      <c r="H38" s="691"/>
      <c r="I38" s="691"/>
      <c r="J38" s="691"/>
    </row>
    <row r="39" spans="1:10" s="821" customFormat="1" hidden="1">
      <c r="A39" s="818" t="s">
        <v>2349</v>
      </c>
      <c r="B39" s="693" t="e">
        <f t="shared" si="0"/>
        <v>#REF!</v>
      </c>
      <c r="C39" s="818" t="s">
        <v>2507</v>
      </c>
      <c r="D39" s="818" t="s">
        <v>2192</v>
      </c>
      <c r="E39" s="819">
        <v>42474</v>
      </c>
      <c r="F39" s="818"/>
      <c r="G39" s="691"/>
      <c r="H39" s="691"/>
      <c r="I39" s="691"/>
      <c r="J39" s="691"/>
    </row>
    <row r="40" spans="1:10" s="821" customFormat="1" hidden="1">
      <c r="A40" s="818" t="s">
        <v>2345</v>
      </c>
      <c r="B40" s="693" t="e">
        <f t="shared" si="0"/>
        <v>#REF!</v>
      </c>
      <c r="C40" s="818" t="s">
        <v>2503</v>
      </c>
      <c r="D40" s="818" t="s">
        <v>2188</v>
      </c>
      <c r="E40" s="819">
        <v>42478</v>
      </c>
      <c r="F40" s="818"/>
      <c r="G40" s="691"/>
      <c r="H40" s="691"/>
      <c r="I40" s="691"/>
      <c r="J40" s="691"/>
    </row>
    <row r="41" spans="1:10" s="821" customFormat="1" hidden="1">
      <c r="A41" s="818" t="s">
        <v>2333</v>
      </c>
      <c r="B41" s="693" t="e">
        <f>+#REF!+1</f>
        <v>#REF!</v>
      </c>
      <c r="C41" s="818" t="s">
        <v>2491</v>
      </c>
      <c r="D41" s="818" t="s">
        <v>2176</v>
      </c>
      <c r="E41" s="819">
        <v>42485</v>
      </c>
      <c r="F41" s="822"/>
      <c r="G41" s="691"/>
      <c r="H41" s="691"/>
      <c r="I41" s="691"/>
      <c r="J41" s="691"/>
    </row>
    <row r="42" spans="1:10" s="821" customFormat="1" hidden="1">
      <c r="A42" s="691" t="s">
        <v>2421</v>
      </c>
      <c r="B42" s="693" t="e">
        <f t="shared" si="0"/>
        <v>#REF!</v>
      </c>
      <c r="C42" s="691" t="s">
        <v>2578</v>
      </c>
      <c r="D42" s="818" t="s">
        <v>2264</v>
      </c>
      <c r="E42" s="819">
        <v>42485</v>
      </c>
      <c r="F42" s="818"/>
      <c r="G42" s="691"/>
      <c r="H42" s="691"/>
      <c r="I42" s="691"/>
      <c r="J42" s="691"/>
    </row>
    <row r="43" spans="1:10" s="821" customFormat="1" hidden="1">
      <c r="A43" s="691" t="s">
        <v>2423</v>
      </c>
      <c r="B43" s="693" t="e">
        <f t="shared" si="0"/>
        <v>#REF!</v>
      </c>
      <c r="C43" s="691" t="s">
        <v>2580</v>
      </c>
      <c r="D43" s="818" t="s">
        <v>2266</v>
      </c>
      <c r="E43" s="819">
        <v>42485</v>
      </c>
      <c r="F43" s="818"/>
      <c r="G43" s="691"/>
      <c r="H43" s="691"/>
      <c r="I43" s="691"/>
      <c r="J43" s="691"/>
    </row>
    <row r="44" spans="1:10" s="821" customFormat="1" hidden="1">
      <c r="A44" s="691" t="s">
        <v>2429</v>
      </c>
      <c r="B44" s="693" t="e">
        <f t="shared" si="0"/>
        <v>#REF!</v>
      </c>
      <c r="C44" s="691" t="s">
        <v>2586</v>
      </c>
      <c r="D44" s="818" t="s">
        <v>2272</v>
      </c>
      <c r="E44" s="819">
        <v>42506</v>
      </c>
      <c r="F44" s="818"/>
      <c r="G44" s="691"/>
      <c r="H44" s="691"/>
      <c r="I44" s="691"/>
      <c r="J44" s="691"/>
    </row>
    <row r="45" spans="1:10" s="821" customFormat="1" hidden="1">
      <c r="A45" s="691" t="s">
        <v>2486</v>
      </c>
      <c r="B45" s="693" t="e">
        <f t="shared" si="0"/>
        <v>#REF!</v>
      </c>
      <c r="C45" s="691" t="s">
        <v>2643</v>
      </c>
      <c r="D45" s="818" t="s">
        <v>2328</v>
      </c>
      <c r="E45" s="819">
        <v>42510</v>
      </c>
      <c r="F45" s="818" t="s">
        <v>2656</v>
      </c>
      <c r="G45" s="691"/>
      <c r="H45" s="691"/>
      <c r="I45" s="691"/>
      <c r="J45" s="691"/>
    </row>
    <row r="46" spans="1:10" s="821" customFormat="1" hidden="1">
      <c r="A46" s="691" t="s">
        <v>2430</v>
      </c>
      <c r="B46" s="693" t="e">
        <f t="shared" si="0"/>
        <v>#REF!</v>
      </c>
      <c r="C46" s="691" t="s">
        <v>2587</v>
      </c>
      <c r="D46" s="818" t="s">
        <v>2273</v>
      </c>
      <c r="E46" s="819">
        <v>42511</v>
      </c>
      <c r="F46" s="818"/>
      <c r="G46" s="691"/>
      <c r="H46" s="691"/>
      <c r="I46" s="691"/>
      <c r="J46" s="691"/>
    </row>
    <row r="47" spans="1:10" s="821" customFormat="1" hidden="1">
      <c r="A47" s="818" t="s">
        <v>2336</v>
      </c>
      <c r="B47" s="693" t="e">
        <f t="shared" si="0"/>
        <v>#REF!</v>
      </c>
      <c r="C47" s="818" t="s">
        <v>2494</v>
      </c>
      <c r="D47" s="818" t="s">
        <v>2179</v>
      </c>
      <c r="E47" s="819">
        <v>42520</v>
      </c>
      <c r="F47" s="818"/>
      <c r="G47" s="691"/>
      <c r="H47" s="691"/>
      <c r="I47" s="691"/>
      <c r="J47" s="691"/>
    </row>
    <row r="48" spans="1:10" s="821" customFormat="1" hidden="1">
      <c r="A48" s="691" t="s">
        <v>2431</v>
      </c>
      <c r="B48" s="693" t="e">
        <f>+#REF!+1</f>
        <v>#REF!</v>
      </c>
      <c r="C48" s="691" t="s">
        <v>2588</v>
      </c>
      <c r="D48" s="818" t="s">
        <v>2274</v>
      </c>
      <c r="E48" s="819">
        <v>42528</v>
      </c>
      <c r="F48" s="818"/>
      <c r="G48" s="691"/>
      <c r="H48" s="691"/>
      <c r="I48" s="691"/>
      <c r="J48" s="691"/>
    </row>
    <row r="49" spans="1:10" s="821" customFormat="1" hidden="1">
      <c r="A49" s="691" t="s">
        <v>2433</v>
      </c>
      <c r="B49" s="693" t="e">
        <f t="shared" si="0"/>
        <v>#REF!</v>
      </c>
      <c r="C49" s="691" t="s">
        <v>2590</v>
      </c>
      <c r="D49" s="818" t="s">
        <v>2276</v>
      </c>
      <c r="E49" s="819">
        <v>42534</v>
      </c>
      <c r="F49" s="818"/>
      <c r="G49" s="691"/>
      <c r="H49" s="691"/>
      <c r="I49" s="691"/>
      <c r="J49" s="691"/>
    </row>
    <row r="50" spans="1:10" s="821" customFormat="1" hidden="1">
      <c r="A50" s="818" t="s">
        <v>2339</v>
      </c>
      <c r="B50" s="693" t="e">
        <f t="shared" si="0"/>
        <v>#REF!</v>
      </c>
      <c r="C50" s="818" t="s">
        <v>2497</v>
      </c>
      <c r="D50" s="818" t="s">
        <v>2182</v>
      </c>
      <c r="E50" s="819">
        <v>42535</v>
      </c>
      <c r="F50" s="818"/>
      <c r="G50" s="691"/>
      <c r="H50" s="691"/>
      <c r="I50" s="691"/>
      <c r="J50" s="691"/>
    </row>
    <row r="51" spans="1:10" s="821" customFormat="1" hidden="1">
      <c r="A51" s="691" t="s">
        <v>2419</v>
      </c>
      <c r="B51" s="693" t="e">
        <f t="shared" si="0"/>
        <v>#REF!</v>
      </c>
      <c r="C51" s="691" t="s">
        <v>2576</v>
      </c>
      <c r="D51" s="818" t="s">
        <v>2262</v>
      </c>
      <c r="E51" s="819">
        <v>42537</v>
      </c>
      <c r="F51" s="818"/>
      <c r="G51" s="691"/>
      <c r="H51" s="691"/>
      <c r="I51" s="691"/>
      <c r="J51" s="691"/>
    </row>
    <row r="52" spans="1:10" s="821" customFormat="1" hidden="1">
      <c r="A52" s="691" t="s">
        <v>2436</v>
      </c>
      <c r="B52" s="693" t="e">
        <f t="shared" si="0"/>
        <v>#REF!</v>
      </c>
      <c r="C52" s="691" t="s">
        <v>2593</v>
      </c>
      <c r="D52" s="818" t="s">
        <v>2279</v>
      </c>
      <c r="E52" s="819">
        <v>42539</v>
      </c>
      <c r="F52" s="818"/>
      <c r="G52" s="691"/>
      <c r="H52" s="691"/>
      <c r="I52" s="691"/>
      <c r="J52" s="691"/>
    </row>
    <row r="53" spans="1:10" s="821" customFormat="1" hidden="1">
      <c r="A53" s="691" t="s">
        <v>2438</v>
      </c>
      <c r="B53" s="693" t="e">
        <f t="shared" si="0"/>
        <v>#REF!</v>
      </c>
      <c r="C53" s="691" t="s">
        <v>2595</v>
      </c>
      <c r="D53" s="818" t="s">
        <v>2281</v>
      </c>
      <c r="E53" s="819">
        <v>42549</v>
      </c>
      <c r="F53" s="818" t="s">
        <v>2652</v>
      </c>
      <c r="G53" s="691"/>
      <c r="H53" s="691"/>
      <c r="I53" s="691"/>
      <c r="J53" s="691"/>
    </row>
    <row r="54" spans="1:10" s="821" customFormat="1" hidden="1">
      <c r="A54" s="691" t="s">
        <v>2439</v>
      </c>
      <c r="B54" s="693" t="e">
        <f t="shared" si="0"/>
        <v>#REF!</v>
      </c>
      <c r="C54" s="691" t="s">
        <v>2596</v>
      </c>
      <c r="D54" s="818" t="s">
        <v>2282</v>
      </c>
      <c r="E54" s="819">
        <v>42565</v>
      </c>
      <c r="F54" s="818"/>
      <c r="G54" s="691"/>
      <c r="H54" s="691"/>
      <c r="I54" s="691"/>
      <c r="J54" s="691"/>
    </row>
    <row r="55" spans="1:10" s="821" customFormat="1" hidden="1">
      <c r="A55" s="691" t="s">
        <v>2475</v>
      </c>
      <c r="B55" s="693" t="e">
        <f t="shared" si="0"/>
        <v>#REF!</v>
      </c>
      <c r="C55" s="691" t="s">
        <v>2632</v>
      </c>
      <c r="D55" s="818" t="s">
        <v>2318</v>
      </c>
      <c r="E55" s="819">
        <v>42566</v>
      </c>
      <c r="F55" s="818"/>
      <c r="G55" s="691"/>
      <c r="H55" s="691"/>
      <c r="I55" s="691"/>
      <c r="J55" s="691"/>
    </row>
    <row r="56" spans="1:10" s="821" customFormat="1" hidden="1">
      <c r="A56" s="691" t="s">
        <v>2476</v>
      </c>
      <c r="B56" s="693" t="e">
        <f t="shared" si="0"/>
        <v>#REF!</v>
      </c>
      <c r="C56" s="691" t="s">
        <v>2633</v>
      </c>
      <c r="D56" s="818" t="s">
        <v>2319</v>
      </c>
      <c r="E56" s="819">
        <v>42584</v>
      </c>
      <c r="F56" s="818"/>
      <c r="G56" s="691"/>
      <c r="H56" s="691"/>
      <c r="I56" s="691"/>
      <c r="J56" s="691"/>
    </row>
    <row r="57" spans="1:10" s="821" customFormat="1" hidden="1">
      <c r="A57" s="691" t="s">
        <v>2443</v>
      </c>
      <c r="B57" s="693" t="e">
        <f t="shared" si="0"/>
        <v>#REF!</v>
      </c>
      <c r="C57" s="691" t="s">
        <v>2600</v>
      </c>
      <c r="D57" s="818" t="s">
        <v>2286</v>
      </c>
      <c r="E57" s="819">
        <v>42585</v>
      </c>
      <c r="F57" s="818"/>
      <c r="G57" s="691"/>
      <c r="H57" s="691"/>
      <c r="I57" s="691"/>
      <c r="J57" s="691"/>
    </row>
    <row r="58" spans="1:10" s="821" customFormat="1" hidden="1">
      <c r="A58" s="691" t="s">
        <v>2482</v>
      </c>
      <c r="B58" s="693" t="e">
        <f t="shared" ref="B58:B77" si="1">+B57+1</f>
        <v>#REF!</v>
      </c>
      <c r="C58" s="691" t="s">
        <v>2639</v>
      </c>
      <c r="D58" s="818" t="s">
        <v>2324</v>
      </c>
      <c r="E58" s="819">
        <v>42585</v>
      </c>
      <c r="F58" s="818"/>
      <c r="G58" s="691"/>
      <c r="H58" s="691"/>
      <c r="I58" s="691"/>
      <c r="J58" s="691"/>
    </row>
    <row r="59" spans="1:10" s="821" customFormat="1" hidden="1">
      <c r="A59" s="691" t="s">
        <v>2446</v>
      </c>
      <c r="B59" s="693" t="e">
        <f t="shared" si="1"/>
        <v>#REF!</v>
      </c>
      <c r="C59" s="691" t="s">
        <v>2603</v>
      </c>
      <c r="D59" s="818" t="s">
        <v>2289</v>
      </c>
      <c r="E59" s="819">
        <v>42604</v>
      </c>
      <c r="F59" s="818"/>
      <c r="G59" s="691"/>
      <c r="H59" s="691"/>
      <c r="I59" s="691"/>
      <c r="J59" s="691"/>
    </row>
    <row r="60" spans="1:10" s="821" customFormat="1" hidden="1">
      <c r="A60" s="691" t="s">
        <v>2489</v>
      </c>
      <c r="B60" s="693" t="e">
        <f t="shared" si="1"/>
        <v>#REF!</v>
      </c>
      <c r="C60" s="691" t="s">
        <v>2646</v>
      </c>
      <c r="D60" s="818" t="s">
        <v>2331</v>
      </c>
      <c r="E60" s="819">
        <v>42609</v>
      </c>
      <c r="F60" s="818"/>
      <c r="G60" s="691"/>
      <c r="H60" s="691"/>
      <c r="I60" s="691"/>
      <c r="J60" s="691"/>
    </row>
    <row r="61" spans="1:10" s="821" customFormat="1" hidden="1">
      <c r="A61" s="691" t="s">
        <v>2448</v>
      </c>
      <c r="B61" s="693" t="e">
        <f t="shared" si="1"/>
        <v>#REF!</v>
      </c>
      <c r="C61" s="691" t="s">
        <v>2605</v>
      </c>
      <c r="D61" s="818" t="s">
        <v>2291</v>
      </c>
      <c r="E61" s="819">
        <v>42621</v>
      </c>
      <c r="F61" s="818"/>
      <c r="G61" s="691"/>
      <c r="H61" s="691"/>
      <c r="I61" s="691"/>
      <c r="J61" s="691"/>
    </row>
    <row r="62" spans="1:10" s="821" customFormat="1" hidden="1">
      <c r="A62" s="691" t="s">
        <v>2449</v>
      </c>
      <c r="B62" s="693" t="e">
        <f t="shared" si="1"/>
        <v>#REF!</v>
      </c>
      <c r="C62" s="691" t="s">
        <v>2606</v>
      </c>
      <c r="D62" s="818" t="s">
        <v>2292</v>
      </c>
      <c r="E62" s="819">
        <v>42627</v>
      </c>
      <c r="F62" s="818"/>
      <c r="G62" s="691"/>
      <c r="H62" s="691"/>
      <c r="I62" s="691"/>
      <c r="J62" s="691"/>
    </row>
    <row r="63" spans="1:10" s="821" customFormat="1" hidden="1">
      <c r="A63" s="691" t="s">
        <v>2483</v>
      </c>
      <c r="B63" s="693" t="e">
        <f t="shared" si="1"/>
        <v>#REF!</v>
      </c>
      <c r="C63" s="691" t="s">
        <v>2640</v>
      </c>
      <c r="D63" s="818" t="s">
        <v>2325</v>
      </c>
      <c r="E63" s="819">
        <v>42634</v>
      </c>
      <c r="F63" s="818"/>
      <c r="G63" s="691"/>
      <c r="H63" s="691"/>
      <c r="I63" s="691"/>
      <c r="J63" s="691"/>
    </row>
    <row r="64" spans="1:10" s="821" customFormat="1" hidden="1">
      <c r="A64" s="691" t="s">
        <v>2470</v>
      </c>
      <c r="B64" s="693" t="e">
        <f t="shared" si="1"/>
        <v>#REF!</v>
      </c>
      <c r="C64" s="691" t="s">
        <v>2627</v>
      </c>
      <c r="D64" s="818" t="s">
        <v>2313</v>
      </c>
      <c r="E64" s="819">
        <v>42636</v>
      </c>
      <c r="F64" s="818"/>
      <c r="G64" s="691"/>
      <c r="H64" s="691"/>
      <c r="I64" s="691"/>
      <c r="J64" s="691"/>
    </row>
    <row r="65" spans="1:10" s="821" customFormat="1" hidden="1">
      <c r="A65" s="691" t="s">
        <v>2450</v>
      </c>
      <c r="B65" s="693" t="e">
        <f t="shared" si="1"/>
        <v>#REF!</v>
      </c>
      <c r="C65" s="691" t="s">
        <v>2607</v>
      </c>
      <c r="D65" s="818" t="s">
        <v>2293</v>
      </c>
      <c r="E65" s="819">
        <v>42639</v>
      </c>
      <c r="F65" s="818"/>
      <c r="G65" s="691"/>
      <c r="H65" s="691"/>
      <c r="I65" s="691"/>
      <c r="J65" s="691"/>
    </row>
    <row r="66" spans="1:10" s="821" customFormat="1" hidden="1">
      <c r="A66" s="691" t="s">
        <v>2451</v>
      </c>
      <c r="B66" s="693" t="e">
        <f t="shared" si="1"/>
        <v>#REF!</v>
      </c>
      <c r="C66" s="691" t="s">
        <v>2608</v>
      </c>
      <c r="D66" s="818" t="s">
        <v>2294</v>
      </c>
      <c r="E66" s="819">
        <v>42641</v>
      </c>
      <c r="F66" s="818"/>
      <c r="G66" s="691"/>
      <c r="H66" s="691"/>
      <c r="I66" s="691"/>
      <c r="J66" s="691"/>
    </row>
    <row r="67" spans="1:10" s="821" customFormat="1" hidden="1">
      <c r="A67" s="691" t="s">
        <v>2453</v>
      </c>
      <c r="B67" s="693" t="e">
        <f t="shared" si="1"/>
        <v>#REF!</v>
      </c>
      <c r="C67" s="691" t="s">
        <v>2610</v>
      </c>
      <c r="D67" s="818" t="s">
        <v>2296</v>
      </c>
      <c r="E67" s="819">
        <v>42646</v>
      </c>
      <c r="F67" s="818"/>
      <c r="G67" s="691"/>
      <c r="H67" s="691"/>
      <c r="I67" s="691"/>
      <c r="J67" s="691"/>
    </row>
    <row r="68" spans="1:10" s="821" customFormat="1" hidden="1">
      <c r="A68" s="818" t="s">
        <v>2342</v>
      </c>
      <c r="B68" s="693" t="e">
        <f t="shared" si="1"/>
        <v>#REF!</v>
      </c>
      <c r="C68" s="818" t="s">
        <v>2500</v>
      </c>
      <c r="D68" s="818" t="s">
        <v>2185</v>
      </c>
      <c r="E68" s="819">
        <v>42647</v>
      </c>
      <c r="F68" s="818"/>
      <c r="G68" s="691"/>
      <c r="H68" s="691"/>
      <c r="I68" s="691"/>
      <c r="J68" s="691"/>
    </row>
    <row r="69" spans="1:10" s="821" customFormat="1" hidden="1">
      <c r="A69" s="691" t="s">
        <v>2455</v>
      </c>
      <c r="B69" s="693" t="e">
        <f t="shared" si="1"/>
        <v>#REF!</v>
      </c>
      <c r="C69" s="691" t="s">
        <v>2612</v>
      </c>
      <c r="D69" s="818" t="s">
        <v>2298</v>
      </c>
      <c r="E69" s="819">
        <v>42654</v>
      </c>
      <c r="F69" s="818"/>
      <c r="G69" s="691"/>
      <c r="H69" s="691"/>
      <c r="I69" s="691"/>
      <c r="J69" s="691"/>
    </row>
    <row r="70" spans="1:10" s="821" customFormat="1" hidden="1">
      <c r="A70" s="691" t="s">
        <v>2456</v>
      </c>
      <c r="B70" s="693" t="e">
        <f t="shared" si="1"/>
        <v>#REF!</v>
      </c>
      <c r="C70" s="691" t="s">
        <v>2613</v>
      </c>
      <c r="D70" s="818" t="s">
        <v>2299</v>
      </c>
      <c r="E70" s="819">
        <v>42655</v>
      </c>
      <c r="F70" s="818"/>
      <c r="G70" s="691"/>
      <c r="H70" s="691"/>
      <c r="I70" s="691"/>
      <c r="J70" s="691"/>
    </row>
    <row r="71" spans="1:10" s="821" customFormat="1" hidden="1">
      <c r="A71" s="818" t="s">
        <v>2340</v>
      </c>
      <c r="B71" s="693" t="e">
        <f t="shared" si="1"/>
        <v>#REF!</v>
      </c>
      <c r="C71" s="818" t="s">
        <v>2498</v>
      </c>
      <c r="D71" s="818" t="s">
        <v>2183</v>
      </c>
      <c r="E71" s="819">
        <v>42662</v>
      </c>
      <c r="F71" s="818"/>
      <c r="G71" s="691"/>
      <c r="H71" s="691"/>
      <c r="I71" s="691"/>
      <c r="J71" s="691"/>
    </row>
    <row r="72" spans="1:10" s="821" customFormat="1" hidden="1">
      <c r="A72" s="691" t="s">
        <v>2459</v>
      </c>
      <c r="B72" s="693" t="e">
        <f t="shared" si="1"/>
        <v>#REF!</v>
      </c>
      <c r="C72" s="691" t="s">
        <v>2616</v>
      </c>
      <c r="D72" s="818" t="s">
        <v>2302</v>
      </c>
      <c r="E72" s="819">
        <v>42665</v>
      </c>
      <c r="F72" s="818"/>
      <c r="G72" s="691"/>
      <c r="H72" s="691"/>
      <c r="I72" s="691"/>
      <c r="J72" s="691"/>
    </row>
    <row r="73" spans="1:10" s="821" customFormat="1" hidden="1">
      <c r="A73" s="818" t="s">
        <v>2392</v>
      </c>
      <c r="B73" s="693" t="e">
        <f t="shared" si="1"/>
        <v>#REF!</v>
      </c>
      <c r="C73" s="818" t="s">
        <v>2549</v>
      </c>
      <c r="D73" s="818" t="s">
        <v>2235</v>
      </c>
      <c r="E73" s="819">
        <v>42678</v>
      </c>
      <c r="F73" s="818"/>
      <c r="G73" s="691"/>
      <c r="H73" s="691"/>
      <c r="I73" s="691"/>
      <c r="J73" s="691"/>
    </row>
    <row r="74" spans="1:10" s="821" customFormat="1" hidden="1">
      <c r="A74" s="818" t="s">
        <v>2365</v>
      </c>
      <c r="B74" s="693" t="e">
        <f t="shared" si="1"/>
        <v>#REF!</v>
      </c>
      <c r="C74" s="818" t="s">
        <v>2523</v>
      </c>
      <c r="D74" s="818" t="s">
        <v>2208</v>
      </c>
      <c r="E74" s="819">
        <v>42684</v>
      </c>
      <c r="F74" s="818"/>
      <c r="G74" s="691"/>
      <c r="H74" s="691"/>
      <c r="I74" s="691"/>
      <c r="J74" s="691"/>
    </row>
    <row r="75" spans="1:10" s="821" customFormat="1" hidden="1">
      <c r="A75" s="691" t="s">
        <v>2462</v>
      </c>
      <c r="B75" s="693" t="e">
        <f t="shared" si="1"/>
        <v>#REF!</v>
      </c>
      <c r="C75" s="691" t="s">
        <v>2619</v>
      </c>
      <c r="D75" s="818" t="s">
        <v>2305</v>
      </c>
      <c r="E75" s="819">
        <v>42690</v>
      </c>
      <c r="F75" s="818"/>
      <c r="G75" s="691"/>
      <c r="H75" s="691"/>
      <c r="I75" s="691"/>
      <c r="J75" s="691"/>
    </row>
    <row r="76" spans="1:10" s="821" customFormat="1" hidden="1">
      <c r="A76" s="691" t="s">
        <v>2463</v>
      </c>
      <c r="B76" s="693" t="e">
        <f t="shared" si="1"/>
        <v>#REF!</v>
      </c>
      <c r="C76" s="691" t="s">
        <v>2620</v>
      </c>
      <c r="D76" s="818" t="s">
        <v>2306</v>
      </c>
      <c r="E76" s="819">
        <v>42691</v>
      </c>
      <c r="F76" s="818"/>
      <c r="G76" s="691"/>
      <c r="H76" s="691"/>
      <c r="I76" s="691"/>
      <c r="J76" s="691"/>
    </row>
    <row r="77" spans="1:10" s="821" customFormat="1" hidden="1">
      <c r="A77" s="691" t="s">
        <v>2466</v>
      </c>
      <c r="B77" s="693" t="e">
        <f t="shared" si="1"/>
        <v>#REF!</v>
      </c>
      <c r="C77" s="691" t="s">
        <v>2623</v>
      </c>
      <c r="D77" s="818" t="s">
        <v>2309</v>
      </c>
      <c r="E77" s="819">
        <v>42711</v>
      </c>
      <c r="F77" s="818"/>
      <c r="G77" s="691"/>
      <c r="H77" s="691"/>
      <c r="I77" s="691"/>
      <c r="J77" s="691"/>
    </row>
    <row r="78" spans="1:10">
      <c r="A78" s="734"/>
      <c r="B78" s="804"/>
      <c r="C78" s="734"/>
      <c r="D78" s="735"/>
      <c r="E78" s="815"/>
      <c r="F78" s="735"/>
      <c r="G78" s="734"/>
      <c r="H78" s="734"/>
      <c r="I78" s="734"/>
      <c r="J78" s="734"/>
    </row>
    <row r="79" spans="1:10" s="821" customFormat="1" hidden="1">
      <c r="A79" s="818" t="s">
        <v>2351</v>
      </c>
      <c r="B79" s="693">
        <f t="shared" ref="B79:B91" si="2">+B78+1</f>
        <v>1</v>
      </c>
      <c r="C79" s="818" t="s">
        <v>2509</v>
      </c>
      <c r="D79" s="818" t="s">
        <v>2194</v>
      </c>
      <c r="E79" s="819">
        <v>42016</v>
      </c>
      <c r="F79" s="818"/>
      <c r="G79" s="691"/>
      <c r="H79" s="691"/>
      <c r="I79" s="691"/>
      <c r="J79" s="691"/>
    </row>
    <row r="80" spans="1:10">
      <c r="A80" s="734" t="s">
        <v>2474</v>
      </c>
      <c r="B80" s="804">
        <f t="shared" si="2"/>
        <v>2</v>
      </c>
      <c r="C80" s="734" t="s">
        <v>2631</v>
      </c>
      <c r="D80" s="735" t="s">
        <v>2317</v>
      </c>
      <c r="E80" s="815">
        <v>42019</v>
      </c>
      <c r="F80" s="735"/>
      <c r="G80" s="734"/>
      <c r="H80" s="734"/>
      <c r="I80" s="734"/>
      <c r="J80" s="734"/>
    </row>
    <row r="81" spans="1:10">
      <c r="A81" s="735" t="s">
        <v>2352</v>
      </c>
      <c r="B81" s="804">
        <f t="shared" si="2"/>
        <v>3</v>
      </c>
      <c r="C81" s="735" t="s">
        <v>2510</v>
      </c>
      <c r="D81" s="735" t="s">
        <v>2195</v>
      </c>
      <c r="E81" s="815">
        <v>42020</v>
      </c>
      <c r="F81" s="735"/>
      <c r="G81" s="734"/>
      <c r="H81" s="734"/>
      <c r="I81" s="734"/>
      <c r="J81" s="734"/>
    </row>
    <row r="82" spans="1:10" s="821" customFormat="1" hidden="1">
      <c r="A82" s="818" t="s">
        <v>2354</v>
      </c>
      <c r="B82" s="693">
        <f t="shared" si="2"/>
        <v>4</v>
      </c>
      <c r="C82" s="818" t="s">
        <v>2512</v>
      </c>
      <c r="D82" s="818" t="s">
        <v>2197</v>
      </c>
      <c r="E82" s="819">
        <v>42032</v>
      </c>
      <c r="F82" s="818"/>
      <c r="G82" s="691"/>
      <c r="H82" s="691"/>
      <c r="I82" s="691"/>
      <c r="J82" s="691"/>
    </row>
    <row r="83" spans="1:10" s="821" customFormat="1" hidden="1">
      <c r="A83" s="818" t="s">
        <v>2356</v>
      </c>
      <c r="B83" s="693">
        <f t="shared" si="2"/>
        <v>5</v>
      </c>
      <c r="C83" s="818" t="s">
        <v>2514</v>
      </c>
      <c r="D83" s="818" t="s">
        <v>2199</v>
      </c>
      <c r="E83" s="819">
        <v>42044</v>
      </c>
      <c r="F83" s="818" t="s">
        <v>2655</v>
      </c>
      <c r="G83" s="691"/>
      <c r="H83" s="691"/>
      <c r="I83" s="691"/>
      <c r="J83" s="691"/>
    </row>
    <row r="84" spans="1:10" s="821" customFormat="1" hidden="1">
      <c r="A84" s="818" t="s">
        <v>2360</v>
      </c>
      <c r="B84" s="693">
        <f t="shared" si="2"/>
        <v>6</v>
      </c>
      <c r="C84" s="818" t="s">
        <v>2518</v>
      </c>
      <c r="D84" s="818" t="s">
        <v>2203</v>
      </c>
      <c r="E84" s="819">
        <v>42069</v>
      </c>
      <c r="F84" s="818"/>
      <c r="G84" s="691"/>
      <c r="H84" s="691"/>
      <c r="I84" s="691"/>
      <c r="J84" s="691"/>
    </row>
    <row r="85" spans="1:10">
      <c r="A85" s="735" t="s">
        <v>2362</v>
      </c>
      <c r="B85" s="804">
        <f t="shared" si="2"/>
        <v>7</v>
      </c>
      <c r="C85" s="735" t="s">
        <v>2520</v>
      </c>
      <c r="D85" s="735" t="s">
        <v>2205</v>
      </c>
      <c r="E85" s="815">
        <v>42074</v>
      </c>
      <c r="F85" s="735"/>
      <c r="G85" s="734"/>
      <c r="H85" s="734"/>
      <c r="I85" s="734"/>
      <c r="J85" s="734"/>
    </row>
    <row r="86" spans="1:10" s="821" customFormat="1" hidden="1">
      <c r="A86" s="818" t="s">
        <v>2361</v>
      </c>
      <c r="B86" s="693">
        <f t="shared" si="2"/>
        <v>8</v>
      </c>
      <c r="C86" s="818" t="s">
        <v>2519</v>
      </c>
      <c r="D86" s="818" t="s">
        <v>2204</v>
      </c>
      <c r="E86" s="819">
        <v>42089</v>
      </c>
      <c r="F86" s="818"/>
      <c r="G86" s="691"/>
      <c r="H86" s="691"/>
      <c r="I86" s="691"/>
      <c r="J86" s="691"/>
    </row>
    <row r="87" spans="1:10" s="821" customFormat="1" hidden="1">
      <c r="A87" s="818" t="s">
        <v>2364</v>
      </c>
      <c r="B87" s="693">
        <f t="shared" si="2"/>
        <v>9</v>
      </c>
      <c r="C87" s="818" t="s">
        <v>2522</v>
      </c>
      <c r="D87" s="818" t="s">
        <v>2207</v>
      </c>
      <c r="E87" s="819">
        <v>42103</v>
      </c>
      <c r="F87" s="818" t="s">
        <v>2651</v>
      </c>
      <c r="G87" s="691"/>
      <c r="H87" s="691"/>
      <c r="I87" s="691"/>
      <c r="J87" s="691"/>
    </row>
    <row r="88" spans="1:10" s="821" customFormat="1" hidden="1">
      <c r="A88" s="818" t="s">
        <v>2366</v>
      </c>
      <c r="B88" s="693" t="e">
        <f>+#REF!+1</f>
        <v>#REF!</v>
      </c>
      <c r="C88" s="818" t="s">
        <v>2524</v>
      </c>
      <c r="D88" s="818" t="s">
        <v>2209</v>
      </c>
      <c r="E88" s="819">
        <v>42129</v>
      </c>
      <c r="F88" s="818"/>
      <c r="G88" s="691"/>
      <c r="H88" s="691"/>
      <c r="I88" s="691"/>
      <c r="J88" s="691"/>
    </row>
    <row r="89" spans="1:10" s="821" customFormat="1" hidden="1">
      <c r="A89" s="818" t="s">
        <v>2367</v>
      </c>
      <c r="B89" s="693" t="e">
        <f t="shared" si="2"/>
        <v>#REF!</v>
      </c>
      <c r="C89" s="818" t="s">
        <v>2525</v>
      </c>
      <c r="D89" s="818" t="s">
        <v>2210</v>
      </c>
      <c r="E89" s="819">
        <v>42130</v>
      </c>
      <c r="F89" s="818" t="s">
        <v>2652</v>
      </c>
      <c r="G89" s="691"/>
      <c r="H89" s="691"/>
      <c r="I89" s="691"/>
      <c r="J89" s="691"/>
    </row>
    <row r="90" spans="1:10" s="821" customFormat="1" hidden="1">
      <c r="A90" s="818" t="s">
        <v>2368</v>
      </c>
      <c r="B90" s="693" t="e">
        <f t="shared" si="2"/>
        <v>#REF!</v>
      </c>
      <c r="C90" s="818" t="s">
        <v>2526</v>
      </c>
      <c r="D90" s="818" t="s">
        <v>2211</v>
      </c>
      <c r="E90" s="819">
        <v>42135</v>
      </c>
      <c r="F90" s="818" t="s">
        <v>2652</v>
      </c>
      <c r="G90" s="691"/>
      <c r="H90" s="691"/>
      <c r="I90" s="691"/>
      <c r="J90" s="691"/>
    </row>
    <row r="91" spans="1:10" s="821" customFormat="1" hidden="1">
      <c r="A91" s="818" t="s">
        <v>2369</v>
      </c>
      <c r="B91" s="693" t="e">
        <f t="shared" si="2"/>
        <v>#REF!</v>
      </c>
      <c r="C91" s="818" t="s">
        <v>2527</v>
      </c>
      <c r="D91" s="818" t="s">
        <v>2212</v>
      </c>
      <c r="E91" s="819">
        <v>42135</v>
      </c>
      <c r="F91" s="818"/>
      <c r="G91" s="691"/>
      <c r="H91" s="691"/>
      <c r="I91" s="691"/>
      <c r="J91" s="691"/>
    </row>
    <row r="92" spans="1:10" s="821" customFormat="1" hidden="1">
      <c r="A92" s="818" t="s">
        <v>2370</v>
      </c>
      <c r="B92" s="693" t="e">
        <f>+#REF!+1</f>
        <v>#REF!</v>
      </c>
      <c r="C92" s="818" t="s">
        <v>2528</v>
      </c>
      <c r="D92" s="818" t="s">
        <v>2213</v>
      </c>
      <c r="E92" s="819">
        <v>42159</v>
      </c>
      <c r="F92" s="818"/>
      <c r="G92" s="691"/>
      <c r="H92" s="691"/>
      <c r="I92" s="691"/>
      <c r="J92" s="691"/>
    </row>
    <row r="93" spans="1:10" s="821" customFormat="1" hidden="1">
      <c r="A93" s="818" t="s">
        <v>2371</v>
      </c>
      <c r="B93" s="693" t="e">
        <f>+B92+1</f>
        <v>#REF!</v>
      </c>
      <c r="C93" s="818" t="s">
        <v>2529</v>
      </c>
      <c r="D93" s="818" t="s">
        <v>2214</v>
      </c>
      <c r="E93" s="819">
        <v>42163</v>
      </c>
      <c r="F93" s="818"/>
      <c r="G93" s="691"/>
      <c r="H93" s="691"/>
      <c r="I93" s="691"/>
      <c r="J93" s="691"/>
    </row>
    <row r="94" spans="1:10" s="821" customFormat="1" hidden="1">
      <c r="A94" s="818" t="s">
        <v>2372</v>
      </c>
      <c r="B94" s="693" t="e">
        <f>+#REF!+1</f>
        <v>#REF!</v>
      </c>
      <c r="C94" s="818"/>
      <c r="D94" s="818" t="s">
        <v>2215</v>
      </c>
      <c r="E94" s="819">
        <v>42192</v>
      </c>
      <c r="F94" s="818"/>
      <c r="G94" s="691"/>
      <c r="H94" s="691" t="s">
        <v>2648</v>
      </c>
      <c r="I94" s="691"/>
      <c r="J94" s="691"/>
    </row>
    <row r="95" spans="1:10" s="821" customFormat="1" hidden="1">
      <c r="A95" s="818" t="s">
        <v>2373</v>
      </c>
      <c r="B95" s="693" t="e">
        <f t="shared" ref="B95:B103" si="3">+B94+1</f>
        <v>#REF!</v>
      </c>
      <c r="C95" s="818" t="s">
        <v>2530</v>
      </c>
      <c r="D95" s="818" t="s">
        <v>2216</v>
      </c>
      <c r="E95" s="819">
        <v>42192</v>
      </c>
      <c r="F95" s="818"/>
      <c r="G95" s="691"/>
      <c r="H95" s="691"/>
      <c r="I95" s="691"/>
      <c r="J95" s="691"/>
    </row>
    <row r="96" spans="1:10" s="821" customFormat="1" hidden="1">
      <c r="A96" s="818" t="s">
        <v>2374</v>
      </c>
      <c r="B96" s="693" t="e">
        <f t="shared" si="3"/>
        <v>#REF!</v>
      </c>
      <c r="C96" s="818" t="s">
        <v>2531</v>
      </c>
      <c r="D96" s="818" t="s">
        <v>2217</v>
      </c>
      <c r="E96" s="819">
        <v>42198</v>
      </c>
      <c r="F96" s="818"/>
      <c r="G96" s="691"/>
      <c r="H96" s="691"/>
      <c r="I96" s="691">
        <v>1</v>
      </c>
      <c r="J96" s="691"/>
    </row>
    <row r="97" spans="1:10" s="821" customFormat="1" hidden="1">
      <c r="A97" s="818" t="s">
        <v>2375</v>
      </c>
      <c r="B97" s="693" t="e">
        <f t="shared" si="3"/>
        <v>#REF!</v>
      </c>
      <c r="C97" s="818" t="s">
        <v>2532</v>
      </c>
      <c r="D97" s="818" t="s">
        <v>2218</v>
      </c>
      <c r="E97" s="819">
        <v>42220</v>
      </c>
      <c r="F97" s="818"/>
      <c r="G97" s="691"/>
      <c r="H97" s="691"/>
      <c r="I97" s="691"/>
      <c r="J97" s="691"/>
    </row>
    <row r="98" spans="1:10" s="821" customFormat="1" hidden="1">
      <c r="A98" s="691" t="s">
        <v>2484</v>
      </c>
      <c r="B98" s="693" t="e">
        <f t="shared" si="3"/>
        <v>#REF!</v>
      </c>
      <c r="C98" s="691" t="s">
        <v>2641</v>
      </c>
      <c r="D98" s="818" t="s">
        <v>2326</v>
      </c>
      <c r="E98" s="819">
        <v>42220</v>
      </c>
      <c r="F98" s="818"/>
      <c r="G98" s="691"/>
      <c r="H98" s="691"/>
      <c r="I98" s="691"/>
      <c r="J98" s="691"/>
    </row>
    <row r="99" spans="1:10" s="821" customFormat="1" hidden="1">
      <c r="A99" s="818" t="s">
        <v>2377</v>
      </c>
      <c r="B99" s="693" t="e">
        <f t="shared" si="3"/>
        <v>#REF!</v>
      </c>
      <c r="C99" s="818" t="s">
        <v>2534</v>
      </c>
      <c r="D99" s="818" t="s">
        <v>2220</v>
      </c>
      <c r="E99" s="819">
        <v>42230</v>
      </c>
      <c r="F99" s="818" t="s">
        <v>2652</v>
      </c>
      <c r="G99" s="691"/>
      <c r="H99" s="691"/>
      <c r="I99" s="691"/>
      <c r="J99" s="691"/>
    </row>
    <row r="100" spans="1:10" s="821" customFormat="1" hidden="1">
      <c r="A100" s="818" t="s">
        <v>2378</v>
      </c>
      <c r="B100" s="693" t="e">
        <f t="shared" si="3"/>
        <v>#REF!</v>
      </c>
      <c r="C100" s="818" t="s">
        <v>2535</v>
      </c>
      <c r="D100" s="818" t="s">
        <v>2221</v>
      </c>
      <c r="E100" s="819">
        <v>42230</v>
      </c>
      <c r="F100" s="818" t="s">
        <v>2658</v>
      </c>
      <c r="G100" s="691"/>
      <c r="H100" s="691"/>
      <c r="I100" s="691"/>
      <c r="J100" s="691"/>
    </row>
    <row r="101" spans="1:10" s="821" customFormat="1" hidden="1">
      <c r="A101" s="818" t="s">
        <v>2379</v>
      </c>
      <c r="B101" s="693" t="e">
        <f t="shared" si="3"/>
        <v>#REF!</v>
      </c>
      <c r="C101" s="818" t="s">
        <v>2536</v>
      </c>
      <c r="D101" s="818" t="s">
        <v>2222</v>
      </c>
      <c r="E101" s="819">
        <v>42230</v>
      </c>
      <c r="F101" s="818" t="s">
        <v>2652</v>
      </c>
      <c r="G101" s="691"/>
      <c r="H101" s="691"/>
      <c r="I101" s="691"/>
      <c r="J101" s="691"/>
    </row>
    <row r="102" spans="1:10">
      <c r="A102" s="734" t="s">
        <v>2478</v>
      </c>
      <c r="B102" s="804" t="e">
        <f t="shared" si="3"/>
        <v>#REF!</v>
      </c>
      <c r="C102" s="734" t="s">
        <v>2635</v>
      </c>
      <c r="D102" s="735" t="s">
        <v>2659</v>
      </c>
      <c r="E102" s="815">
        <v>42241</v>
      </c>
      <c r="F102" s="735"/>
      <c r="G102" s="734"/>
      <c r="H102" s="734"/>
      <c r="I102" s="734"/>
      <c r="J102" s="734"/>
    </row>
    <row r="103" spans="1:10" s="821" customFormat="1" hidden="1">
      <c r="A103" s="818" t="s">
        <v>2380</v>
      </c>
      <c r="B103" s="693" t="e">
        <f t="shared" si="3"/>
        <v>#REF!</v>
      </c>
      <c r="C103" s="818" t="s">
        <v>2537</v>
      </c>
      <c r="D103" s="818" t="s">
        <v>2223</v>
      </c>
      <c r="E103" s="819">
        <v>42244</v>
      </c>
      <c r="F103" s="818" t="s">
        <v>2651</v>
      </c>
      <c r="G103" s="691"/>
      <c r="H103" s="691" t="s">
        <v>2650</v>
      </c>
      <c r="I103" s="691"/>
      <c r="J103" s="691"/>
    </row>
    <row r="104" spans="1:10" s="821" customFormat="1" hidden="1">
      <c r="A104" s="818" t="s">
        <v>2383</v>
      </c>
      <c r="B104" s="693" t="e">
        <f>+#REF!+1</f>
        <v>#REF!</v>
      </c>
      <c r="C104" s="818" t="s">
        <v>2540</v>
      </c>
      <c r="D104" s="818" t="s">
        <v>2226</v>
      </c>
      <c r="E104" s="819">
        <v>42258</v>
      </c>
      <c r="F104" s="818" t="s">
        <v>2652</v>
      </c>
      <c r="G104" s="691"/>
      <c r="H104" s="691"/>
      <c r="I104" s="691"/>
      <c r="J104" s="691"/>
    </row>
    <row r="105" spans="1:10" s="821" customFormat="1" hidden="1">
      <c r="A105" s="818" t="s">
        <v>2384</v>
      </c>
      <c r="B105" s="693" t="e">
        <f t="shared" ref="B105:B111" si="4">+B104+1</f>
        <v>#REF!</v>
      </c>
      <c r="C105" s="818" t="s">
        <v>2541</v>
      </c>
      <c r="D105" s="818" t="s">
        <v>2227</v>
      </c>
      <c r="E105" s="819">
        <v>42283</v>
      </c>
      <c r="F105" s="818"/>
      <c r="G105" s="691"/>
      <c r="H105" s="691"/>
      <c r="I105" s="691"/>
      <c r="J105" s="691"/>
    </row>
    <row r="106" spans="1:10" s="821" customFormat="1" hidden="1">
      <c r="A106" s="818" t="s">
        <v>2385</v>
      </c>
      <c r="B106" s="693" t="e">
        <f t="shared" si="4"/>
        <v>#REF!</v>
      </c>
      <c r="C106" s="818" t="s">
        <v>2542</v>
      </c>
      <c r="D106" s="818" t="s">
        <v>2228</v>
      </c>
      <c r="E106" s="819">
        <v>42285</v>
      </c>
      <c r="F106" s="818"/>
      <c r="G106" s="691"/>
      <c r="H106" s="691"/>
      <c r="I106" s="691"/>
      <c r="J106" s="691"/>
    </row>
    <row r="107" spans="1:10" s="821" customFormat="1" hidden="1">
      <c r="A107" s="818" t="s">
        <v>2386</v>
      </c>
      <c r="B107" s="693" t="e">
        <f t="shared" si="4"/>
        <v>#REF!</v>
      </c>
      <c r="C107" s="818" t="s">
        <v>2543</v>
      </c>
      <c r="D107" s="818" t="s">
        <v>2229</v>
      </c>
      <c r="E107" s="819">
        <v>42285</v>
      </c>
      <c r="F107" s="818" t="s">
        <v>2652</v>
      </c>
      <c r="G107" s="691"/>
      <c r="H107" s="691"/>
      <c r="I107" s="691"/>
      <c r="J107" s="691"/>
    </row>
    <row r="108" spans="1:10" s="821" customFormat="1" hidden="1">
      <c r="A108" s="818" t="s">
        <v>2387</v>
      </c>
      <c r="B108" s="693" t="e">
        <f t="shared" si="4"/>
        <v>#REF!</v>
      </c>
      <c r="C108" s="818" t="s">
        <v>2544</v>
      </c>
      <c r="D108" s="818" t="s">
        <v>2230</v>
      </c>
      <c r="E108" s="819">
        <v>42305</v>
      </c>
      <c r="F108" s="818"/>
      <c r="G108" s="691"/>
      <c r="H108" s="691"/>
      <c r="I108" s="691"/>
      <c r="J108" s="691"/>
    </row>
    <row r="109" spans="1:10" s="821" customFormat="1" hidden="1">
      <c r="A109" s="818" t="s">
        <v>2388</v>
      </c>
      <c r="B109" s="693" t="e">
        <f t="shared" si="4"/>
        <v>#REF!</v>
      </c>
      <c r="C109" s="818" t="s">
        <v>2545</v>
      </c>
      <c r="D109" s="818" t="s">
        <v>2231</v>
      </c>
      <c r="E109" s="819">
        <v>42317</v>
      </c>
      <c r="F109" s="818" t="s">
        <v>2652</v>
      </c>
      <c r="G109" s="691"/>
      <c r="H109" s="691"/>
      <c r="I109" s="691"/>
      <c r="J109" s="691"/>
    </row>
    <row r="110" spans="1:10" s="821" customFormat="1" hidden="1">
      <c r="A110" s="818" t="s">
        <v>2389</v>
      </c>
      <c r="B110" s="693" t="e">
        <f t="shared" si="4"/>
        <v>#REF!</v>
      </c>
      <c r="C110" s="818" t="s">
        <v>2546</v>
      </c>
      <c r="D110" s="818" t="s">
        <v>2232</v>
      </c>
      <c r="E110" s="819">
        <v>42321</v>
      </c>
      <c r="F110" s="818"/>
      <c r="G110" s="691"/>
      <c r="H110" s="691"/>
      <c r="I110" s="691"/>
      <c r="J110" s="691"/>
    </row>
    <row r="111" spans="1:10" s="821" customFormat="1" hidden="1">
      <c r="A111" s="818" t="s">
        <v>2390</v>
      </c>
      <c r="B111" s="693" t="e">
        <f t="shared" si="4"/>
        <v>#REF!</v>
      </c>
      <c r="C111" s="818" t="s">
        <v>2547</v>
      </c>
      <c r="D111" s="818" t="s">
        <v>2233</v>
      </c>
      <c r="E111" s="819">
        <v>42341</v>
      </c>
      <c r="F111" s="818" t="s">
        <v>2658</v>
      </c>
      <c r="G111" s="691"/>
      <c r="H111" s="691"/>
      <c r="I111" s="691"/>
      <c r="J111" s="691"/>
    </row>
    <row r="112" spans="1:10" s="821" customFormat="1" hidden="1">
      <c r="A112" s="818" t="s">
        <v>2394</v>
      </c>
      <c r="B112" s="693" t="e">
        <f>+#REF!+1</f>
        <v>#REF!</v>
      </c>
      <c r="C112" s="818" t="s">
        <v>2551</v>
      </c>
      <c r="D112" s="818" t="s">
        <v>2237</v>
      </c>
      <c r="E112" s="819">
        <v>42375</v>
      </c>
      <c r="F112" s="818" t="s">
        <v>2652</v>
      </c>
      <c r="G112" s="820"/>
      <c r="H112" s="691"/>
      <c r="I112" s="691"/>
      <c r="J112" s="691"/>
    </row>
    <row r="113" spans="1:10" s="821" customFormat="1" hidden="1">
      <c r="A113" s="691" t="s">
        <v>2395</v>
      </c>
      <c r="B113" s="693" t="e">
        <f t="shared" ref="B113:B142" si="5">+B112+1</f>
        <v>#REF!</v>
      </c>
      <c r="C113" s="691" t="s">
        <v>2552</v>
      </c>
      <c r="D113" s="818" t="s">
        <v>2238</v>
      </c>
      <c r="E113" s="819">
        <v>42375</v>
      </c>
      <c r="F113" s="818" t="s">
        <v>2653</v>
      </c>
      <c r="G113" s="691"/>
      <c r="H113" s="691"/>
      <c r="I113" s="691"/>
      <c r="J113" s="691"/>
    </row>
    <row r="114" spans="1:10" s="821" customFormat="1" hidden="1">
      <c r="A114" s="691" t="s">
        <v>2396</v>
      </c>
      <c r="B114" s="693" t="e">
        <f t="shared" si="5"/>
        <v>#REF!</v>
      </c>
      <c r="C114" s="691" t="s">
        <v>2553</v>
      </c>
      <c r="D114" s="818" t="s">
        <v>2239</v>
      </c>
      <c r="E114" s="819">
        <v>42375</v>
      </c>
      <c r="F114" s="818"/>
      <c r="G114" s="691"/>
      <c r="H114" s="691"/>
      <c r="I114" s="691"/>
      <c r="J114" s="691"/>
    </row>
    <row r="115" spans="1:10" s="821" customFormat="1" hidden="1">
      <c r="A115" s="691" t="s">
        <v>2398</v>
      </c>
      <c r="B115" s="693" t="e">
        <f>+#REF!+1</f>
        <v>#REF!</v>
      </c>
      <c r="C115" s="691" t="s">
        <v>2555</v>
      </c>
      <c r="D115" s="818" t="s">
        <v>2241</v>
      </c>
      <c r="E115" s="819">
        <v>42384</v>
      </c>
      <c r="F115" s="818"/>
      <c r="G115" s="691"/>
      <c r="H115" s="691"/>
      <c r="I115" s="691"/>
      <c r="J115" s="691"/>
    </row>
    <row r="116" spans="1:10" s="821" customFormat="1" hidden="1">
      <c r="A116" s="818" t="s">
        <v>2391</v>
      </c>
      <c r="B116" s="693" t="e">
        <f t="shared" si="5"/>
        <v>#REF!</v>
      </c>
      <c r="C116" s="818" t="s">
        <v>2548</v>
      </c>
      <c r="D116" s="818" t="s">
        <v>2234</v>
      </c>
      <c r="E116" s="819">
        <v>42397</v>
      </c>
      <c r="F116" s="818"/>
      <c r="G116" s="691"/>
      <c r="H116" s="691"/>
      <c r="I116" s="691"/>
      <c r="J116" s="691"/>
    </row>
    <row r="117" spans="1:10" s="821" customFormat="1" hidden="1">
      <c r="A117" s="691" t="s">
        <v>2401</v>
      </c>
      <c r="B117" s="693" t="e">
        <f t="shared" si="5"/>
        <v>#REF!</v>
      </c>
      <c r="C117" s="691" t="s">
        <v>2558</v>
      </c>
      <c r="D117" s="818" t="s">
        <v>2244</v>
      </c>
      <c r="E117" s="819">
        <v>42399</v>
      </c>
      <c r="F117" s="818" t="s">
        <v>2652</v>
      </c>
      <c r="G117" s="691"/>
      <c r="H117" s="691"/>
      <c r="I117" s="691"/>
      <c r="J117" s="691"/>
    </row>
    <row r="118" spans="1:10" s="821" customFormat="1" hidden="1">
      <c r="A118" s="691" t="s">
        <v>2402</v>
      </c>
      <c r="B118" s="693" t="e">
        <f t="shared" si="5"/>
        <v>#REF!</v>
      </c>
      <c r="C118" s="691" t="s">
        <v>2559</v>
      </c>
      <c r="D118" s="818" t="s">
        <v>2245</v>
      </c>
      <c r="E118" s="819">
        <v>42399</v>
      </c>
      <c r="F118" s="818"/>
      <c r="G118" s="691"/>
      <c r="H118" s="691"/>
      <c r="I118" s="691"/>
      <c r="J118" s="691"/>
    </row>
    <row r="119" spans="1:10" s="821" customFormat="1" hidden="1">
      <c r="A119" s="691" t="s">
        <v>2403</v>
      </c>
      <c r="B119" s="693" t="e">
        <f t="shared" si="5"/>
        <v>#REF!</v>
      </c>
      <c r="C119" s="691" t="s">
        <v>2560</v>
      </c>
      <c r="D119" s="818" t="s">
        <v>2246</v>
      </c>
      <c r="E119" s="819">
        <v>42405</v>
      </c>
      <c r="F119" s="818"/>
      <c r="G119" s="691"/>
      <c r="H119" s="691"/>
      <c r="I119" s="691"/>
      <c r="J119" s="691"/>
    </row>
    <row r="120" spans="1:10" s="821" customFormat="1" hidden="1">
      <c r="A120" s="691" t="s">
        <v>2404</v>
      </c>
      <c r="B120" s="693" t="e">
        <f t="shared" si="5"/>
        <v>#REF!</v>
      </c>
      <c r="C120" s="691" t="s">
        <v>2561</v>
      </c>
      <c r="D120" s="818" t="s">
        <v>2247</v>
      </c>
      <c r="E120" s="819">
        <v>42408</v>
      </c>
      <c r="F120" s="818"/>
      <c r="G120" s="691"/>
      <c r="H120" s="691"/>
      <c r="I120" s="691"/>
      <c r="J120" s="691"/>
    </row>
    <row r="121" spans="1:10" s="821" customFormat="1" hidden="1">
      <c r="A121" s="691" t="s">
        <v>2405</v>
      </c>
      <c r="B121" s="693" t="e">
        <f t="shared" si="5"/>
        <v>#REF!</v>
      </c>
      <c r="C121" s="691" t="s">
        <v>2562</v>
      </c>
      <c r="D121" s="818" t="s">
        <v>2248</v>
      </c>
      <c r="E121" s="819">
        <v>42412</v>
      </c>
      <c r="F121" s="818"/>
      <c r="G121" s="691"/>
      <c r="H121" s="691"/>
      <c r="I121" s="691"/>
      <c r="J121" s="691"/>
    </row>
    <row r="122" spans="1:10" s="821" customFormat="1" hidden="1">
      <c r="A122" s="818" t="s">
        <v>2348</v>
      </c>
      <c r="B122" s="693" t="e">
        <f t="shared" si="5"/>
        <v>#REF!</v>
      </c>
      <c r="C122" s="818" t="s">
        <v>2506</v>
      </c>
      <c r="D122" s="818" t="s">
        <v>2191</v>
      </c>
      <c r="E122" s="819">
        <v>42415</v>
      </c>
      <c r="F122" s="818"/>
      <c r="G122" s="691"/>
      <c r="H122" s="691" t="s">
        <v>2654</v>
      </c>
      <c r="I122" s="691"/>
      <c r="J122" s="691"/>
    </row>
    <row r="123" spans="1:10" s="821" customFormat="1" hidden="1">
      <c r="A123" s="691" t="s">
        <v>2406</v>
      </c>
      <c r="B123" s="693" t="e">
        <f t="shared" si="5"/>
        <v>#REF!</v>
      </c>
      <c r="C123" s="691" t="s">
        <v>2563</v>
      </c>
      <c r="D123" s="818" t="s">
        <v>2249</v>
      </c>
      <c r="E123" s="819">
        <v>42415</v>
      </c>
      <c r="F123" s="818" t="s">
        <v>2024</v>
      </c>
      <c r="G123" s="691"/>
      <c r="H123" s="691"/>
      <c r="I123" s="691"/>
      <c r="J123" s="691"/>
    </row>
    <row r="124" spans="1:10" s="821" customFormat="1" hidden="1">
      <c r="A124" s="691" t="s">
        <v>2407</v>
      </c>
      <c r="B124" s="693" t="e">
        <f t="shared" si="5"/>
        <v>#REF!</v>
      </c>
      <c r="C124" s="691" t="s">
        <v>2564</v>
      </c>
      <c r="D124" s="818" t="s">
        <v>2250</v>
      </c>
      <c r="E124" s="819">
        <v>42423</v>
      </c>
      <c r="F124" s="818"/>
      <c r="G124" s="691"/>
      <c r="H124" s="691"/>
      <c r="I124" s="691"/>
      <c r="J124" s="691"/>
    </row>
    <row r="125" spans="1:10" s="821" customFormat="1" hidden="1">
      <c r="A125" s="691" t="s">
        <v>2408</v>
      </c>
      <c r="B125" s="693" t="e">
        <f>+#REF!+1</f>
        <v>#REF!</v>
      </c>
      <c r="C125" s="691" t="s">
        <v>2565</v>
      </c>
      <c r="D125" s="818" t="s">
        <v>2251</v>
      </c>
      <c r="E125" s="819">
        <v>42426</v>
      </c>
      <c r="F125" s="818"/>
      <c r="G125" s="691"/>
      <c r="H125" s="691"/>
      <c r="I125" s="691"/>
      <c r="J125" s="691"/>
    </row>
    <row r="126" spans="1:10" s="821" customFormat="1" hidden="1">
      <c r="A126" s="691" t="s">
        <v>2409</v>
      </c>
      <c r="B126" s="693" t="e">
        <f t="shared" si="5"/>
        <v>#REF!</v>
      </c>
      <c r="C126" s="691" t="s">
        <v>2566</v>
      </c>
      <c r="D126" s="818" t="s">
        <v>2252</v>
      </c>
      <c r="E126" s="819">
        <v>42440</v>
      </c>
      <c r="F126" s="818"/>
      <c r="G126" s="691"/>
      <c r="H126" s="691"/>
      <c r="I126" s="691"/>
      <c r="J126" s="691"/>
    </row>
    <row r="127" spans="1:10" s="821" customFormat="1" hidden="1">
      <c r="A127" s="691" t="s">
        <v>2410</v>
      </c>
      <c r="B127" s="693" t="e">
        <f t="shared" si="5"/>
        <v>#REF!</v>
      </c>
      <c r="C127" s="691" t="s">
        <v>2567</v>
      </c>
      <c r="D127" s="818" t="s">
        <v>2253</v>
      </c>
      <c r="E127" s="819">
        <v>42440</v>
      </c>
      <c r="F127" s="818"/>
      <c r="G127" s="691"/>
      <c r="H127" s="691"/>
      <c r="I127" s="691"/>
      <c r="J127" s="691"/>
    </row>
    <row r="128" spans="1:10" s="821" customFormat="1" hidden="1">
      <c r="A128" s="691" t="s">
        <v>2411</v>
      </c>
      <c r="B128" s="693" t="e">
        <f t="shared" si="5"/>
        <v>#REF!</v>
      </c>
      <c r="C128" s="691" t="s">
        <v>2568</v>
      </c>
      <c r="D128" s="818" t="s">
        <v>2254</v>
      </c>
      <c r="E128" s="819">
        <v>42447</v>
      </c>
      <c r="F128" s="818"/>
      <c r="G128" s="691"/>
      <c r="H128" s="691"/>
      <c r="I128" s="691"/>
      <c r="J128" s="691"/>
    </row>
    <row r="129" spans="1:10" s="821" customFormat="1" hidden="1">
      <c r="A129" s="691" t="s">
        <v>2412</v>
      </c>
      <c r="B129" s="693" t="e">
        <f t="shared" si="5"/>
        <v>#REF!</v>
      </c>
      <c r="C129" s="691" t="s">
        <v>2569</v>
      </c>
      <c r="D129" s="818" t="s">
        <v>2255</v>
      </c>
      <c r="E129" s="819">
        <v>42453</v>
      </c>
      <c r="F129" s="818"/>
      <c r="G129" s="691"/>
      <c r="H129" s="691"/>
      <c r="I129" s="691"/>
      <c r="J129" s="691"/>
    </row>
    <row r="130" spans="1:10" s="821" customFormat="1" hidden="1">
      <c r="A130" s="691" t="s">
        <v>2413</v>
      </c>
      <c r="B130" s="693" t="e">
        <f t="shared" si="5"/>
        <v>#REF!</v>
      </c>
      <c r="C130" s="691" t="s">
        <v>2570</v>
      </c>
      <c r="D130" s="818" t="s">
        <v>2256</v>
      </c>
      <c r="E130" s="819">
        <v>42458</v>
      </c>
      <c r="F130" s="818"/>
      <c r="G130" s="691"/>
      <c r="H130" s="691"/>
      <c r="I130" s="691"/>
      <c r="J130" s="691"/>
    </row>
    <row r="131" spans="1:10" s="821" customFormat="1" hidden="1">
      <c r="A131" s="691" t="s">
        <v>2414</v>
      </c>
      <c r="B131" s="693" t="e">
        <f t="shared" si="5"/>
        <v>#REF!</v>
      </c>
      <c r="C131" s="691" t="s">
        <v>2571</v>
      </c>
      <c r="D131" s="818" t="s">
        <v>2257</v>
      </c>
      <c r="E131" s="819">
        <v>42468</v>
      </c>
      <c r="F131" s="818"/>
      <c r="G131" s="691"/>
      <c r="H131" s="691"/>
      <c r="I131" s="691"/>
      <c r="J131" s="691"/>
    </row>
    <row r="132" spans="1:10" s="821" customFormat="1" hidden="1">
      <c r="A132" s="691" t="s">
        <v>2415</v>
      </c>
      <c r="B132" s="693" t="e">
        <f t="shared" si="5"/>
        <v>#REF!</v>
      </c>
      <c r="C132" s="691" t="s">
        <v>2572</v>
      </c>
      <c r="D132" s="818" t="s">
        <v>2258</v>
      </c>
      <c r="E132" s="819">
        <v>42468</v>
      </c>
      <c r="F132" s="818"/>
      <c r="G132" s="691"/>
      <c r="H132" s="691"/>
      <c r="I132" s="691"/>
      <c r="J132" s="691"/>
    </row>
    <row r="133" spans="1:10" s="821" customFormat="1" hidden="1">
      <c r="A133" s="691" t="s">
        <v>2418</v>
      </c>
      <c r="B133" s="693" t="e">
        <f t="shared" si="5"/>
        <v>#REF!</v>
      </c>
      <c r="C133" s="691" t="s">
        <v>2575</v>
      </c>
      <c r="D133" s="818" t="s">
        <v>2261</v>
      </c>
      <c r="E133" s="819">
        <v>42481</v>
      </c>
      <c r="F133" s="818"/>
      <c r="G133" s="691"/>
      <c r="H133" s="691"/>
      <c r="I133" s="691"/>
      <c r="J133" s="691"/>
    </row>
    <row r="134" spans="1:10" s="821" customFormat="1" hidden="1">
      <c r="A134" s="691" t="s">
        <v>2422</v>
      </c>
      <c r="B134" s="693" t="e">
        <f t="shared" si="5"/>
        <v>#REF!</v>
      </c>
      <c r="C134" s="691" t="s">
        <v>2579</v>
      </c>
      <c r="D134" s="818" t="s">
        <v>2265</v>
      </c>
      <c r="E134" s="819">
        <v>42485</v>
      </c>
      <c r="F134" s="818"/>
      <c r="G134" s="691"/>
      <c r="H134" s="691"/>
      <c r="I134" s="691"/>
      <c r="J134" s="691"/>
    </row>
    <row r="135" spans="1:10" s="821" customFormat="1" hidden="1">
      <c r="A135" s="691" t="s">
        <v>2425</v>
      </c>
      <c r="B135" s="693" t="e">
        <f t="shared" si="5"/>
        <v>#REF!</v>
      </c>
      <c r="C135" s="691" t="s">
        <v>2582</v>
      </c>
      <c r="D135" s="818" t="s">
        <v>2268</v>
      </c>
      <c r="E135" s="819">
        <v>42493</v>
      </c>
      <c r="F135" s="818"/>
      <c r="G135" s="691"/>
      <c r="H135" s="691"/>
      <c r="I135" s="691"/>
      <c r="J135" s="691"/>
    </row>
    <row r="136" spans="1:10" s="821" customFormat="1" hidden="1">
      <c r="A136" s="691" t="s">
        <v>2427</v>
      </c>
      <c r="B136" s="693" t="e">
        <f t="shared" si="5"/>
        <v>#REF!</v>
      </c>
      <c r="C136" s="691" t="s">
        <v>2584</v>
      </c>
      <c r="D136" s="818" t="s">
        <v>2270</v>
      </c>
      <c r="E136" s="819">
        <v>42501</v>
      </c>
      <c r="F136" s="818"/>
      <c r="G136" s="691"/>
      <c r="H136" s="691"/>
      <c r="I136" s="691"/>
      <c r="J136" s="691"/>
    </row>
    <row r="137" spans="1:10" s="821" customFormat="1" hidden="1">
      <c r="A137" s="691" t="s">
        <v>2428</v>
      </c>
      <c r="B137" s="693" t="e">
        <f t="shared" si="5"/>
        <v>#REF!</v>
      </c>
      <c r="C137" s="691" t="s">
        <v>2585</v>
      </c>
      <c r="D137" s="818" t="s">
        <v>2271</v>
      </c>
      <c r="E137" s="819">
        <v>42502</v>
      </c>
      <c r="F137" s="818"/>
      <c r="G137" s="691"/>
      <c r="H137" s="691"/>
      <c r="I137" s="691"/>
      <c r="J137" s="691"/>
    </row>
    <row r="138" spans="1:10" s="821" customFormat="1" hidden="1">
      <c r="A138" s="818" t="s">
        <v>2344</v>
      </c>
      <c r="B138" s="693" t="e">
        <f t="shared" si="5"/>
        <v>#REF!</v>
      </c>
      <c r="C138" s="818" t="s">
        <v>2502</v>
      </c>
      <c r="D138" s="818" t="s">
        <v>2187</v>
      </c>
      <c r="E138" s="819">
        <v>42510</v>
      </c>
      <c r="F138" s="818"/>
      <c r="G138" s="691"/>
      <c r="H138" s="691"/>
      <c r="I138" s="691"/>
      <c r="J138" s="691"/>
    </row>
    <row r="139" spans="1:10" s="821" customFormat="1" hidden="1">
      <c r="A139" s="818" t="s">
        <v>2347</v>
      </c>
      <c r="B139" s="693" t="e">
        <f t="shared" si="5"/>
        <v>#REF!</v>
      </c>
      <c r="C139" s="818" t="s">
        <v>2505</v>
      </c>
      <c r="D139" s="818" t="s">
        <v>2190</v>
      </c>
      <c r="E139" s="819">
        <v>42528</v>
      </c>
      <c r="F139" s="818"/>
      <c r="G139" s="691"/>
      <c r="H139" s="691"/>
      <c r="I139" s="691"/>
      <c r="J139" s="691"/>
    </row>
    <row r="140" spans="1:10" s="821" customFormat="1" hidden="1">
      <c r="A140" s="818" t="s">
        <v>2357</v>
      </c>
      <c r="B140" s="693" t="e">
        <f t="shared" si="5"/>
        <v>#REF!</v>
      </c>
      <c r="C140" s="818" t="s">
        <v>2515</v>
      </c>
      <c r="D140" s="818" t="s">
        <v>2200</v>
      </c>
      <c r="E140" s="819">
        <v>42529</v>
      </c>
      <c r="F140" s="818"/>
      <c r="G140" s="691"/>
      <c r="H140" s="691"/>
      <c r="I140" s="691"/>
      <c r="J140" s="691"/>
    </row>
    <row r="141" spans="1:10" s="821" customFormat="1" hidden="1">
      <c r="A141" s="691" t="s">
        <v>2432</v>
      </c>
      <c r="B141" s="693" t="e">
        <f t="shared" si="5"/>
        <v>#REF!</v>
      </c>
      <c r="C141" s="691" t="s">
        <v>2589</v>
      </c>
      <c r="D141" s="818" t="s">
        <v>2275</v>
      </c>
      <c r="E141" s="819">
        <v>42534</v>
      </c>
      <c r="F141" s="818"/>
      <c r="G141" s="691"/>
      <c r="H141" s="691"/>
      <c r="I141" s="691"/>
      <c r="J141" s="691"/>
    </row>
    <row r="142" spans="1:10" s="821" customFormat="1" hidden="1">
      <c r="A142" s="691" t="s">
        <v>2434</v>
      </c>
      <c r="B142" s="693" t="e">
        <f t="shared" si="5"/>
        <v>#REF!</v>
      </c>
      <c r="C142" s="691" t="s">
        <v>2591</v>
      </c>
      <c r="D142" s="818" t="s">
        <v>2277</v>
      </c>
      <c r="E142" s="819">
        <v>42534</v>
      </c>
      <c r="F142" s="818"/>
      <c r="G142" s="691"/>
      <c r="H142" s="691"/>
      <c r="I142" s="691"/>
      <c r="J142" s="691"/>
    </row>
    <row r="143" spans="1:10" s="821" customFormat="1" hidden="1">
      <c r="A143" s="691" t="s">
        <v>2435</v>
      </c>
      <c r="B143" s="693" t="e">
        <f t="shared" ref="B143:B166" si="6">+B142+1</f>
        <v>#REF!</v>
      </c>
      <c r="C143" s="691" t="s">
        <v>2592</v>
      </c>
      <c r="D143" s="818" t="s">
        <v>2278</v>
      </c>
      <c r="E143" s="819">
        <v>42538</v>
      </c>
      <c r="F143" s="818"/>
      <c r="G143" s="691"/>
      <c r="H143" s="691"/>
      <c r="I143" s="691"/>
      <c r="J143" s="691"/>
    </row>
    <row r="144" spans="1:10" s="821" customFormat="1" hidden="1">
      <c r="A144" s="691" t="s">
        <v>2424</v>
      </c>
      <c r="B144" s="693" t="e">
        <f t="shared" si="6"/>
        <v>#REF!</v>
      </c>
      <c r="C144" s="691" t="s">
        <v>2581</v>
      </c>
      <c r="D144" s="818" t="s">
        <v>2267</v>
      </c>
      <c r="E144" s="819">
        <v>42542</v>
      </c>
      <c r="F144" s="818"/>
      <c r="G144" s="691"/>
      <c r="H144" s="691"/>
      <c r="I144" s="691"/>
      <c r="J144" s="691"/>
    </row>
    <row r="145" spans="1:10" s="821" customFormat="1" hidden="1">
      <c r="A145" s="691" t="s">
        <v>2426</v>
      </c>
      <c r="B145" s="693" t="e">
        <f t="shared" si="6"/>
        <v>#REF!</v>
      </c>
      <c r="C145" s="691" t="s">
        <v>2583</v>
      </c>
      <c r="D145" s="818" t="s">
        <v>2269</v>
      </c>
      <c r="E145" s="819">
        <v>42546</v>
      </c>
      <c r="F145" s="818"/>
      <c r="G145" s="691"/>
      <c r="H145" s="691"/>
      <c r="I145" s="691"/>
      <c r="J145" s="691"/>
    </row>
    <row r="146" spans="1:10" s="821" customFormat="1" hidden="1">
      <c r="A146" s="691" t="s">
        <v>2437</v>
      </c>
      <c r="B146" s="693" t="e">
        <f t="shared" si="6"/>
        <v>#REF!</v>
      </c>
      <c r="C146" s="691" t="s">
        <v>2594</v>
      </c>
      <c r="D146" s="818" t="s">
        <v>2280</v>
      </c>
      <c r="E146" s="819">
        <v>42549</v>
      </c>
      <c r="F146" s="818" t="s">
        <v>2657</v>
      </c>
      <c r="G146" s="691"/>
      <c r="H146" s="691"/>
      <c r="I146" s="691"/>
      <c r="J146" s="691"/>
    </row>
    <row r="147" spans="1:10" s="821" customFormat="1" hidden="1">
      <c r="A147" s="691" t="s">
        <v>2440</v>
      </c>
      <c r="B147" s="693" t="e">
        <f t="shared" si="6"/>
        <v>#REF!</v>
      </c>
      <c r="C147" s="691" t="s">
        <v>2597</v>
      </c>
      <c r="D147" s="818" t="s">
        <v>2283</v>
      </c>
      <c r="E147" s="819">
        <v>42572</v>
      </c>
      <c r="F147" s="820"/>
      <c r="G147" s="691"/>
      <c r="H147" s="691"/>
      <c r="I147" s="691"/>
      <c r="J147" s="691"/>
    </row>
    <row r="148" spans="1:10" s="821" customFormat="1" hidden="1">
      <c r="A148" s="691" t="s">
        <v>2441</v>
      </c>
      <c r="B148" s="693" t="e">
        <f t="shared" si="6"/>
        <v>#REF!</v>
      </c>
      <c r="C148" s="691" t="s">
        <v>2598</v>
      </c>
      <c r="D148" s="818" t="s">
        <v>2284</v>
      </c>
      <c r="E148" s="819">
        <v>42574</v>
      </c>
      <c r="F148" s="820"/>
      <c r="G148" s="691"/>
      <c r="H148" s="691"/>
      <c r="I148" s="691"/>
      <c r="J148" s="691"/>
    </row>
    <row r="149" spans="1:10" s="821" customFormat="1" hidden="1">
      <c r="A149" s="691" t="s">
        <v>2480</v>
      </c>
      <c r="B149" s="693" t="e">
        <f t="shared" si="6"/>
        <v>#REF!</v>
      </c>
      <c r="C149" s="691" t="s">
        <v>2637</v>
      </c>
      <c r="D149" s="818" t="s">
        <v>2322</v>
      </c>
      <c r="E149" s="819">
        <v>42580</v>
      </c>
      <c r="F149" s="820"/>
      <c r="G149" s="691"/>
      <c r="H149" s="691"/>
      <c r="I149" s="691"/>
      <c r="J149" s="691"/>
    </row>
    <row r="150" spans="1:10" s="821" customFormat="1" hidden="1">
      <c r="A150" s="691" t="s">
        <v>2442</v>
      </c>
      <c r="B150" s="693" t="e">
        <f t="shared" si="6"/>
        <v>#REF!</v>
      </c>
      <c r="C150" s="691" t="s">
        <v>2599</v>
      </c>
      <c r="D150" s="818" t="s">
        <v>2285</v>
      </c>
      <c r="E150" s="819">
        <v>42585</v>
      </c>
      <c r="F150" s="820"/>
      <c r="G150" s="691"/>
      <c r="H150" s="691"/>
      <c r="I150" s="691"/>
      <c r="J150" s="691"/>
    </row>
    <row r="151" spans="1:10" s="821" customFormat="1" hidden="1">
      <c r="A151" s="691" t="s">
        <v>2444</v>
      </c>
      <c r="B151" s="693" t="e">
        <f t="shared" si="6"/>
        <v>#REF!</v>
      </c>
      <c r="C151" s="691" t="s">
        <v>2601</v>
      </c>
      <c r="D151" s="818" t="s">
        <v>2287</v>
      </c>
      <c r="E151" s="819">
        <v>42594</v>
      </c>
      <c r="F151" s="820"/>
      <c r="G151" s="691"/>
      <c r="H151" s="691"/>
      <c r="I151" s="691"/>
      <c r="J151" s="691"/>
    </row>
    <row r="152" spans="1:10" s="821" customFormat="1" hidden="1">
      <c r="A152" s="691" t="s">
        <v>2445</v>
      </c>
      <c r="B152" s="693" t="e">
        <f t="shared" si="6"/>
        <v>#REF!</v>
      </c>
      <c r="C152" s="691" t="s">
        <v>2602</v>
      </c>
      <c r="D152" s="818" t="s">
        <v>2288</v>
      </c>
      <c r="E152" s="819">
        <v>42602</v>
      </c>
      <c r="F152" s="820"/>
      <c r="G152" s="691"/>
      <c r="H152" s="691"/>
      <c r="I152" s="691"/>
      <c r="J152" s="691"/>
    </row>
    <row r="153" spans="1:10" s="821" customFormat="1" hidden="1">
      <c r="A153" s="691" t="s">
        <v>2447</v>
      </c>
      <c r="B153" s="693" t="e">
        <f t="shared" si="6"/>
        <v>#REF!</v>
      </c>
      <c r="C153" s="691" t="s">
        <v>2604</v>
      </c>
      <c r="D153" s="818" t="s">
        <v>2290</v>
      </c>
      <c r="E153" s="819">
        <v>42607</v>
      </c>
      <c r="F153" s="820"/>
      <c r="G153" s="691"/>
      <c r="H153" s="691"/>
      <c r="I153" s="691"/>
      <c r="J153" s="691"/>
    </row>
    <row r="154" spans="1:10" s="821" customFormat="1" hidden="1">
      <c r="A154" s="691" t="s">
        <v>2420</v>
      </c>
      <c r="B154" s="693" t="e">
        <f t="shared" si="6"/>
        <v>#REF!</v>
      </c>
      <c r="C154" s="691" t="s">
        <v>2577</v>
      </c>
      <c r="D154" s="818" t="s">
        <v>2263</v>
      </c>
      <c r="E154" s="819">
        <v>42622</v>
      </c>
      <c r="F154" s="820"/>
      <c r="G154" s="691"/>
      <c r="H154" s="691"/>
      <c r="I154" s="691"/>
      <c r="J154" s="691"/>
    </row>
    <row r="155" spans="1:10" s="821" customFormat="1" hidden="1">
      <c r="A155" s="691" t="s">
        <v>2452</v>
      </c>
      <c r="B155" s="693" t="e">
        <f t="shared" si="6"/>
        <v>#REF!</v>
      </c>
      <c r="C155" s="691" t="s">
        <v>2609</v>
      </c>
      <c r="D155" s="818" t="s">
        <v>2295</v>
      </c>
      <c r="E155" s="819">
        <v>42641</v>
      </c>
      <c r="F155" s="820"/>
      <c r="G155" s="691"/>
      <c r="H155" s="691"/>
      <c r="I155" s="691"/>
      <c r="J155" s="691"/>
    </row>
    <row r="156" spans="1:10" s="821" customFormat="1" hidden="1">
      <c r="A156" s="691" t="s">
        <v>2454</v>
      </c>
      <c r="B156" s="693" t="e">
        <f t="shared" si="6"/>
        <v>#REF!</v>
      </c>
      <c r="C156" s="691" t="s">
        <v>2611</v>
      </c>
      <c r="D156" s="818" t="s">
        <v>2297</v>
      </c>
      <c r="E156" s="819">
        <v>42648</v>
      </c>
      <c r="F156" s="820"/>
      <c r="G156" s="691"/>
      <c r="H156" s="691"/>
      <c r="I156" s="691"/>
      <c r="J156" s="691"/>
    </row>
    <row r="157" spans="1:10" s="821" customFormat="1" hidden="1">
      <c r="A157" s="691" t="s">
        <v>2457</v>
      </c>
      <c r="B157" s="693" t="e">
        <f t="shared" si="6"/>
        <v>#REF!</v>
      </c>
      <c r="C157" s="691" t="s">
        <v>2614</v>
      </c>
      <c r="D157" s="818" t="s">
        <v>2300</v>
      </c>
      <c r="E157" s="819">
        <v>42661</v>
      </c>
      <c r="F157" s="820"/>
      <c r="G157" s="691"/>
      <c r="H157" s="691"/>
      <c r="I157" s="691"/>
      <c r="J157" s="691"/>
    </row>
    <row r="158" spans="1:10" s="821" customFormat="1" hidden="1">
      <c r="A158" s="691" t="s">
        <v>2458</v>
      </c>
      <c r="B158" s="693" t="e">
        <f t="shared" si="6"/>
        <v>#REF!</v>
      </c>
      <c r="C158" s="691" t="s">
        <v>2615</v>
      </c>
      <c r="D158" s="818" t="s">
        <v>2301</v>
      </c>
      <c r="E158" s="819">
        <v>42662</v>
      </c>
      <c r="F158" s="820"/>
      <c r="G158" s="691"/>
      <c r="H158" s="691"/>
      <c r="I158" s="691"/>
      <c r="J158" s="691"/>
    </row>
    <row r="159" spans="1:10" s="821" customFormat="1" hidden="1">
      <c r="A159" s="691" t="s">
        <v>2460</v>
      </c>
      <c r="B159" s="693" t="e">
        <f t="shared" si="6"/>
        <v>#REF!</v>
      </c>
      <c r="C159" s="691" t="s">
        <v>2617</v>
      </c>
      <c r="D159" s="818" t="s">
        <v>2303</v>
      </c>
      <c r="E159" s="819">
        <v>42681</v>
      </c>
      <c r="F159" s="820"/>
      <c r="G159" s="691"/>
      <c r="H159" s="691"/>
      <c r="I159" s="691"/>
      <c r="J159" s="691"/>
    </row>
    <row r="160" spans="1:10" s="821" customFormat="1" hidden="1">
      <c r="A160" s="691" t="s">
        <v>2461</v>
      </c>
      <c r="B160" s="693" t="e">
        <f t="shared" si="6"/>
        <v>#REF!</v>
      </c>
      <c r="C160" s="691" t="s">
        <v>2618</v>
      </c>
      <c r="D160" s="818" t="s">
        <v>2304</v>
      </c>
      <c r="E160" s="819">
        <v>42685</v>
      </c>
      <c r="F160" s="820"/>
      <c r="G160" s="691"/>
      <c r="H160" s="691"/>
      <c r="I160" s="691"/>
      <c r="J160" s="691"/>
    </row>
    <row r="161" spans="1:10" s="821" customFormat="1" hidden="1">
      <c r="A161" s="691" t="s">
        <v>2464</v>
      </c>
      <c r="B161" s="693" t="e">
        <f t="shared" si="6"/>
        <v>#REF!</v>
      </c>
      <c r="C161" s="691" t="s">
        <v>2621</v>
      </c>
      <c r="D161" s="818" t="s">
        <v>2307</v>
      </c>
      <c r="E161" s="819">
        <v>42692</v>
      </c>
      <c r="F161" s="820"/>
      <c r="G161" s="691"/>
      <c r="H161" s="691"/>
      <c r="I161" s="691"/>
      <c r="J161" s="691"/>
    </row>
    <row r="162" spans="1:10" s="821" customFormat="1" hidden="1">
      <c r="A162" s="691" t="s">
        <v>2465</v>
      </c>
      <c r="B162" s="693" t="e">
        <f t="shared" si="6"/>
        <v>#REF!</v>
      </c>
      <c r="C162" s="691" t="s">
        <v>2622</v>
      </c>
      <c r="D162" s="818" t="s">
        <v>2308</v>
      </c>
      <c r="E162" s="819">
        <v>42697</v>
      </c>
      <c r="F162" s="820"/>
      <c r="G162" s="691"/>
      <c r="H162" s="691"/>
      <c r="I162" s="691"/>
      <c r="J162" s="691"/>
    </row>
    <row r="163" spans="1:10" s="821" customFormat="1" hidden="1">
      <c r="A163" s="691" t="s">
        <v>2473</v>
      </c>
      <c r="B163" s="693" t="e">
        <f t="shared" si="6"/>
        <v>#REF!</v>
      </c>
      <c r="C163" s="691" t="s">
        <v>2630</v>
      </c>
      <c r="D163" s="818" t="s">
        <v>2316</v>
      </c>
      <c r="E163" s="819">
        <v>42699</v>
      </c>
      <c r="F163" s="820"/>
      <c r="G163" s="691"/>
      <c r="H163" s="691"/>
      <c r="I163" s="691"/>
      <c r="J163" s="691"/>
    </row>
    <row r="164" spans="1:10" s="821" customFormat="1" hidden="1">
      <c r="A164" s="691" t="s">
        <v>2467</v>
      </c>
      <c r="B164" s="693" t="e">
        <f t="shared" si="6"/>
        <v>#REF!</v>
      </c>
      <c r="C164" s="691" t="s">
        <v>2624</v>
      </c>
      <c r="D164" s="818" t="s">
        <v>2310</v>
      </c>
      <c r="E164" s="819">
        <v>42717</v>
      </c>
      <c r="F164" s="820"/>
      <c r="G164" s="691"/>
      <c r="H164" s="691"/>
      <c r="I164" s="691"/>
      <c r="J164" s="691"/>
    </row>
    <row r="165" spans="1:10" s="821" customFormat="1" hidden="1">
      <c r="A165" s="691" t="s">
        <v>2468</v>
      </c>
      <c r="B165" s="693" t="e">
        <f t="shared" si="6"/>
        <v>#REF!</v>
      </c>
      <c r="C165" s="691" t="s">
        <v>2625</v>
      </c>
      <c r="D165" s="818" t="s">
        <v>2311</v>
      </c>
      <c r="E165" s="819">
        <v>42717</v>
      </c>
      <c r="F165" s="820"/>
      <c r="G165" s="691"/>
      <c r="H165" s="691"/>
      <c r="I165" s="691"/>
      <c r="J165" s="691"/>
    </row>
    <row r="166" spans="1:10" s="821" customFormat="1" hidden="1">
      <c r="A166" s="691" t="s">
        <v>2469</v>
      </c>
      <c r="B166" s="693" t="e">
        <f t="shared" si="6"/>
        <v>#REF!</v>
      </c>
      <c r="C166" s="691" t="s">
        <v>2626</v>
      </c>
      <c r="D166" s="818" t="s">
        <v>2312</v>
      </c>
      <c r="E166" s="819">
        <v>42732</v>
      </c>
      <c r="F166" s="820"/>
      <c r="G166" s="691"/>
      <c r="H166" s="691"/>
      <c r="I166" s="691"/>
      <c r="J166" s="691"/>
    </row>
    <row r="167" spans="1:10" s="817" customFormat="1">
      <c r="A167" s="816"/>
      <c r="B167" s="816"/>
      <c r="C167" s="816"/>
      <c r="D167" s="816" t="s">
        <v>1049</v>
      </c>
      <c r="E167" s="816"/>
      <c r="F167" s="816"/>
      <c r="G167" s="816"/>
      <c r="H167" s="816"/>
      <c r="I167" s="816"/>
      <c r="J167" s="816"/>
    </row>
  </sheetData>
  <autoFilter ref="A7:J167" xr:uid="{00000000-0009-0000-0000-00000E000000}">
    <filterColumn colId="5">
      <colorFilter dxfId="2" cellColor="0"/>
    </filterColumn>
  </autoFilter>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F44"/>
  <sheetViews>
    <sheetView topLeftCell="A16" workbookViewId="0">
      <selection activeCell="D12" sqref="D12:D28"/>
    </sheetView>
  </sheetViews>
  <sheetFormatPr defaultRowHeight="13.2"/>
  <cols>
    <col min="1" max="1" width="3" bestFit="1" customWidth="1"/>
    <col min="2" max="2" width="27.88671875" customWidth="1"/>
    <col min="3" max="3" width="15.6640625" customWidth="1"/>
    <col min="4" max="4" width="15.5546875" customWidth="1"/>
    <col min="5" max="5" width="110.109375" bestFit="1" customWidth="1"/>
  </cols>
  <sheetData>
    <row r="1" spans="1:6">
      <c r="B1" s="696"/>
      <c r="C1" s="696"/>
      <c r="D1" s="696"/>
      <c r="E1" s="696"/>
    </row>
    <row r="2" spans="1:6">
      <c r="B2" s="1064" t="s">
        <v>1099</v>
      </c>
      <c r="C2" s="1064"/>
      <c r="D2" s="1064"/>
      <c r="E2" s="1064"/>
    </row>
    <row r="3" spans="1:6">
      <c r="B3" s="696"/>
      <c r="C3" s="696"/>
      <c r="D3" s="696"/>
      <c r="E3" s="696"/>
    </row>
    <row r="4" spans="1:6" ht="52.8">
      <c r="A4" s="685" t="s">
        <v>245</v>
      </c>
      <c r="B4" s="681" t="s">
        <v>1095</v>
      </c>
      <c r="C4" s="681" t="s">
        <v>1096</v>
      </c>
      <c r="D4" s="681" t="s">
        <v>1097</v>
      </c>
      <c r="E4" s="681" t="s">
        <v>1032</v>
      </c>
      <c r="F4" s="685" t="s">
        <v>1098</v>
      </c>
    </row>
    <row r="5" spans="1:6" ht="14.4">
      <c r="A5" s="691">
        <v>1</v>
      </c>
      <c r="B5" s="644" t="s">
        <v>1052</v>
      </c>
      <c r="C5" s="690">
        <v>161212</v>
      </c>
      <c r="D5" s="690">
        <v>161212</v>
      </c>
      <c r="E5" s="689" t="s">
        <v>1053</v>
      </c>
      <c r="F5" s="684">
        <v>56102</v>
      </c>
    </row>
    <row r="6" spans="1:6" ht="14.4">
      <c r="A6" s="1144">
        <f>+A5+1</f>
        <v>2</v>
      </c>
      <c r="B6" s="1146" t="s">
        <v>1054</v>
      </c>
      <c r="C6" s="690">
        <f>427661-427661*16/20</f>
        <v>85532.200000000012</v>
      </c>
      <c r="D6" s="690">
        <v>85532.2</v>
      </c>
      <c r="E6" s="689" t="s">
        <v>1055</v>
      </c>
      <c r="F6" s="684">
        <v>56102</v>
      </c>
    </row>
    <row r="7" spans="1:6" ht="14.4">
      <c r="A7" s="1144"/>
      <c r="B7" s="1146"/>
      <c r="C7" s="690">
        <f>85532.2-85532.2*16/20</f>
        <v>17106.440000000002</v>
      </c>
      <c r="D7" s="690">
        <v>17106.439999999999</v>
      </c>
      <c r="E7" s="689" t="s">
        <v>1056</v>
      </c>
      <c r="F7" s="684">
        <v>56102</v>
      </c>
    </row>
    <row r="8" spans="1:6" ht="14.4">
      <c r="A8" s="1144"/>
      <c r="B8" s="1146"/>
      <c r="C8" s="690">
        <f>213830.5-213830.5*16/20</f>
        <v>42766.100000000006</v>
      </c>
      <c r="D8" s="690">
        <v>42766.1</v>
      </c>
      <c r="E8" s="689" t="s">
        <v>1057</v>
      </c>
      <c r="F8" s="691">
        <v>56106</v>
      </c>
    </row>
    <row r="9" spans="1:6" ht="14.4">
      <c r="A9" s="1144">
        <v>3</v>
      </c>
      <c r="B9" s="1147" t="s">
        <v>1058</v>
      </c>
      <c r="C9" s="690">
        <f>427661-427661*15/20</f>
        <v>106915.25</v>
      </c>
      <c r="D9" s="690">
        <v>106915.3</v>
      </c>
      <c r="E9" s="689" t="s">
        <v>1059</v>
      </c>
      <c r="F9" s="684">
        <v>56102</v>
      </c>
    </row>
    <row r="10" spans="1:6" ht="14.4">
      <c r="A10" s="1144"/>
      <c r="B10" s="1147"/>
      <c r="C10" s="690">
        <f>85532.2-85532.2*15/20</f>
        <v>21383.049999999996</v>
      </c>
      <c r="D10" s="690">
        <v>21383.1</v>
      </c>
      <c r="E10" s="689" t="s">
        <v>1060</v>
      </c>
      <c r="F10" s="684">
        <v>56102</v>
      </c>
    </row>
    <row r="11" spans="1:6" ht="14.4">
      <c r="A11" s="1144"/>
      <c r="B11" s="1147"/>
      <c r="C11" s="690">
        <f>128298.3-128298.3*15/20</f>
        <v>32074.574999999997</v>
      </c>
      <c r="D11" s="690">
        <v>32074.6</v>
      </c>
      <c r="E11" s="644" t="s">
        <v>1061</v>
      </c>
      <c r="F11" s="691">
        <v>56106</v>
      </c>
    </row>
    <row r="12" spans="1:6" ht="14.4">
      <c r="A12" s="644">
        <v>4</v>
      </c>
      <c r="B12" s="644" t="s">
        <v>1062</v>
      </c>
      <c r="C12" s="690">
        <f>161357.7/3</f>
        <v>53785.9</v>
      </c>
      <c r="D12" s="690">
        <v>53785.9</v>
      </c>
      <c r="E12" s="689" t="s">
        <v>1063</v>
      </c>
      <c r="F12" s="684">
        <v>56102</v>
      </c>
    </row>
    <row r="13" spans="1:6" ht="14.4">
      <c r="A13" s="1145">
        <v>5</v>
      </c>
      <c r="B13" s="1147" t="s">
        <v>1064</v>
      </c>
      <c r="C13" s="690">
        <f>591645-591645*20/22</f>
        <v>53785.909090909059</v>
      </c>
      <c r="D13" s="690">
        <v>53785.9</v>
      </c>
      <c r="E13" s="689" t="s">
        <v>1065</v>
      </c>
      <c r="F13" s="684">
        <v>56102</v>
      </c>
    </row>
    <row r="14" spans="1:6" ht="14.4">
      <c r="A14" s="1145"/>
      <c r="B14" s="1147"/>
      <c r="C14" s="690">
        <f>177493.5-177493.5*20/22</f>
        <v>16135.772727272735</v>
      </c>
      <c r="D14" s="690">
        <v>16135.77</v>
      </c>
      <c r="E14" s="689" t="s">
        <v>1066</v>
      </c>
      <c r="F14" s="684">
        <v>56102</v>
      </c>
    </row>
    <row r="15" spans="1:6" ht="14.4">
      <c r="A15" s="1145"/>
      <c r="B15" s="1147"/>
      <c r="C15" s="690">
        <f>59164.5-59164.5*20/22</f>
        <v>5378.5909090909117</v>
      </c>
      <c r="D15" s="690">
        <v>5378.6</v>
      </c>
      <c r="E15" s="644" t="s">
        <v>1067</v>
      </c>
      <c r="F15" s="691">
        <v>56106</v>
      </c>
    </row>
    <row r="16" spans="1:6" ht="14.4">
      <c r="A16" s="692">
        <v>6</v>
      </c>
      <c r="B16" s="644" t="s">
        <v>1068</v>
      </c>
      <c r="C16" s="690">
        <f>209286.08/4</f>
        <v>52321.52</v>
      </c>
      <c r="D16" s="690">
        <v>52321.5</v>
      </c>
      <c r="E16" s="689" t="s">
        <v>1069</v>
      </c>
      <c r="F16" s="684">
        <v>56102</v>
      </c>
    </row>
    <row r="17" spans="1:6" ht="14.4">
      <c r="A17" s="692">
        <v>7</v>
      </c>
      <c r="B17" s="644" t="s">
        <v>1070</v>
      </c>
      <c r="C17" s="690">
        <f>427661/21</f>
        <v>20364.809523809523</v>
      </c>
      <c r="D17" s="690">
        <f>427661/21</f>
        <v>20364.809523809523</v>
      </c>
      <c r="E17" s="689" t="s">
        <v>1071</v>
      </c>
      <c r="F17" s="684">
        <v>56102</v>
      </c>
    </row>
    <row r="18" spans="1:6" ht="14.4">
      <c r="A18" s="692">
        <v>8</v>
      </c>
      <c r="B18" s="644" t="s">
        <v>1072</v>
      </c>
      <c r="C18" s="690">
        <v>29582.25</v>
      </c>
      <c r="D18" s="690">
        <v>29582.3</v>
      </c>
      <c r="E18" s="689" t="s">
        <v>1073</v>
      </c>
      <c r="F18" s="684">
        <v>56102</v>
      </c>
    </row>
    <row r="19" spans="1:6" ht="14.4">
      <c r="A19" s="692">
        <v>13</v>
      </c>
      <c r="B19" s="644" t="s">
        <v>1072</v>
      </c>
      <c r="C19" s="690">
        <v>56347</v>
      </c>
      <c r="D19" s="690">
        <v>56347</v>
      </c>
      <c r="E19" s="689" t="s">
        <v>1074</v>
      </c>
      <c r="F19" s="684">
        <v>56102</v>
      </c>
    </row>
    <row r="20" spans="1:6" ht="14.4">
      <c r="A20" s="692">
        <v>14</v>
      </c>
      <c r="B20" s="644" t="s">
        <v>1072</v>
      </c>
      <c r="C20" s="690">
        <v>22538</v>
      </c>
      <c r="D20" s="690">
        <v>22538</v>
      </c>
      <c r="E20" s="689" t="s">
        <v>1075</v>
      </c>
      <c r="F20" s="684">
        <v>56102</v>
      </c>
    </row>
    <row r="21" spans="1:6" ht="14.4">
      <c r="A21" s="1145">
        <v>15</v>
      </c>
      <c r="B21" s="1147" t="s">
        <v>1076</v>
      </c>
      <c r="C21" s="690">
        <v>112694.3</v>
      </c>
      <c r="D21" s="690">
        <v>112694.3</v>
      </c>
      <c r="E21" s="689" t="s">
        <v>1077</v>
      </c>
      <c r="F21" s="684">
        <v>56102</v>
      </c>
    </row>
    <row r="22" spans="1:6" ht="14.4">
      <c r="A22" s="1145"/>
      <c r="B22" s="1147"/>
      <c r="C22" s="690">
        <f>+C21*30/100</f>
        <v>33808.29</v>
      </c>
      <c r="D22" s="690">
        <f>+D21*30/100</f>
        <v>33808.29</v>
      </c>
      <c r="E22" s="689" t="s">
        <v>1078</v>
      </c>
      <c r="F22" s="684">
        <v>56102</v>
      </c>
    </row>
    <row r="23" spans="1:6" ht="14.4">
      <c r="A23" s="1145"/>
      <c r="B23" s="1147"/>
      <c r="C23" s="690">
        <f>+C21/2</f>
        <v>56347.15</v>
      </c>
      <c r="D23" s="690">
        <f>+D21/2</f>
        <v>56347.15</v>
      </c>
      <c r="E23" s="644" t="s">
        <v>1079</v>
      </c>
      <c r="F23" s="691">
        <v>56106</v>
      </c>
    </row>
    <row r="24" spans="1:6" ht="14.4">
      <c r="A24" s="1143">
        <v>16</v>
      </c>
      <c r="B24" s="1148" t="s">
        <v>1080</v>
      </c>
      <c r="C24" s="690">
        <v>235446.9</v>
      </c>
      <c r="D24" s="690">
        <v>235446.9</v>
      </c>
      <c r="E24" s="689" t="s">
        <v>1081</v>
      </c>
      <c r="F24" s="684">
        <v>56102</v>
      </c>
    </row>
    <row r="25" spans="1:6" ht="14.4">
      <c r="A25" s="1143"/>
      <c r="B25" s="1148"/>
      <c r="C25" s="690">
        <f>+C24*20/100</f>
        <v>47089.38</v>
      </c>
      <c r="D25" s="690">
        <v>47089.38</v>
      </c>
      <c r="E25" s="689" t="s">
        <v>1082</v>
      </c>
      <c r="F25" s="684">
        <v>56102</v>
      </c>
    </row>
    <row r="26" spans="1:6" ht="14.4">
      <c r="A26" s="1143"/>
      <c r="B26" s="1148"/>
      <c r="C26" s="690">
        <f>+C24*30/100</f>
        <v>70634.070000000007</v>
      </c>
      <c r="D26" s="690">
        <v>70694.070000000007</v>
      </c>
      <c r="E26" s="644" t="s">
        <v>1083</v>
      </c>
      <c r="F26" s="691">
        <v>56106</v>
      </c>
    </row>
    <row r="27" spans="1:6" ht="14.4">
      <c r="A27" s="1143">
        <v>17</v>
      </c>
      <c r="B27" s="1148" t="s">
        <v>1084</v>
      </c>
      <c r="C27" s="690">
        <v>153535.79999999999</v>
      </c>
      <c r="D27" s="690">
        <v>153535.79999999999</v>
      </c>
      <c r="E27" s="689" t="s">
        <v>1085</v>
      </c>
      <c r="F27" s="684">
        <v>56102</v>
      </c>
    </row>
    <row r="28" spans="1:6" ht="14.4">
      <c r="A28" s="1143"/>
      <c r="B28" s="1148"/>
      <c r="C28" s="690">
        <f>+C27*50/100</f>
        <v>76767.899999999994</v>
      </c>
      <c r="D28" s="690">
        <v>76767.899999999994</v>
      </c>
      <c r="E28" s="689" t="s">
        <v>1086</v>
      </c>
      <c r="F28" s="684">
        <v>56102</v>
      </c>
    </row>
    <row r="29" spans="1:6" ht="14.4">
      <c r="A29" s="1143"/>
      <c r="B29" s="1148"/>
      <c r="C29" s="690">
        <f>+C27*20/100</f>
        <v>30707.16</v>
      </c>
      <c r="D29" s="690">
        <v>30707.16</v>
      </c>
      <c r="E29" s="644" t="s">
        <v>1087</v>
      </c>
      <c r="F29" s="691">
        <v>56106</v>
      </c>
    </row>
    <row r="30" spans="1:6" ht="14.4">
      <c r="A30" s="693">
        <v>18</v>
      </c>
      <c r="B30" s="644" t="s">
        <v>1088</v>
      </c>
      <c r="C30" s="690">
        <v>102193.27</v>
      </c>
      <c r="D30" s="690"/>
      <c r="E30" s="689" t="s">
        <v>1089</v>
      </c>
      <c r="F30" s="684">
        <v>56102</v>
      </c>
    </row>
    <row r="31" spans="1:6" ht="14.4">
      <c r="A31" s="693">
        <v>19</v>
      </c>
      <c r="B31" s="644" t="s">
        <v>1090</v>
      </c>
      <c r="C31" s="690">
        <f>236800*3</f>
        <v>710400</v>
      </c>
      <c r="D31" s="690">
        <v>710000</v>
      </c>
      <c r="E31" s="644" t="s">
        <v>1091</v>
      </c>
      <c r="F31" s="691">
        <v>56118</v>
      </c>
    </row>
    <row r="32" spans="1:6" ht="14.4">
      <c r="A32" s="694">
        <v>20</v>
      </c>
      <c r="B32" s="697" t="s">
        <v>1092</v>
      </c>
      <c r="C32" s="690">
        <v>855322</v>
      </c>
      <c r="D32" s="690"/>
      <c r="E32" s="689" t="s">
        <v>1093</v>
      </c>
      <c r="F32" s="684">
        <v>56118</v>
      </c>
    </row>
    <row r="33" spans="1:6" ht="14.4">
      <c r="A33" s="694">
        <v>21</v>
      </c>
      <c r="B33" s="697" t="s">
        <v>1094</v>
      </c>
      <c r="C33" s="690">
        <v>933228</v>
      </c>
      <c r="D33" s="690"/>
      <c r="E33" s="689" t="s">
        <v>1093</v>
      </c>
      <c r="F33" s="684">
        <v>56118</v>
      </c>
    </row>
    <row r="34" spans="1:6">
      <c r="A34" s="691"/>
      <c r="B34" s="691" t="s">
        <v>216</v>
      </c>
      <c r="C34" s="695">
        <f>SUM(C5:C33)</f>
        <v>4195403.5872510821</v>
      </c>
      <c r="D34" s="695">
        <f>SUM(D5:D33)</f>
        <v>2304320.4695238094</v>
      </c>
      <c r="E34" s="691"/>
      <c r="F34" s="691"/>
    </row>
    <row r="36" spans="1:6">
      <c r="D36" s="686"/>
    </row>
    <row r="37" spans="1:6">
      <c r="B37" t="str">
        <f>+'4.а-восита'!B30</f>
        <v>АТ "Халқ банк"нинг Ички Аудит</v>
      </c>
    </row>
    <row r="38" spans="1:6">
      <c r="B38" t="str">
        <f>+'4.а-восита'!B31</f>
        <v>Департаменти бўлим бошлиғи:</v>
      </c>
      <c r="E38" s="688" t="s">
        <v>1012</v>
      </c>
    </row>
    <row r="39" spans="1:6">
      <c r="E39" s="688"/>
    </row>
    <row r="40" spans="1:6">
      <c r="B40" t="str">
        <f>+'4.а-восита'!B33</f>
        <v>АТ "Халқ банк" Фаргона вилояти вилояти</v>
      </c>
      <c r="E40" s="688"/>
    </row>
    <row r="41" spans="1:6">
      <c r="B41" t="str">
        <f>+'4.а-восита'!B34</f>
        <v>Бешариқ филиали филиал бошқарувчиси:</v>
      </c>
      <c r="E41" s="688" t="s">
        <v>1015</v>
      </c>
    </row>
    <row r="42" spans="1:6">
      <c r="E42" s="688"/>
    </row>
    <row r="43" spans="1:6">
      <c r="B43" t="str">
        <f>+'4.а-восита'!B36</f>
        <v>Бош бухгалтери:</v>
      </c>
      <c r="E43" s="688" t="s">
        <v>1100</v>
      </c>
    </row>
    <row r="44" spans="1:6">
      <c r="E44" s="688"/>
    </row>
  </sheetData>
  <autoFilter ref="A4:F34" xr:uid="{00000000-0009-0000-0000-00000F000000}"/>
  <mergeCells count="13">
    <mergeCell ref="A27:A29"/>
    <mergeCell ref="B2:E2"/>
    <mergeCell ref="A6:A8"/>
    <mergeCell ref="A9:A11"/>
    <mergeCell ref="A13:A15"/>
    <mergeCell ref="A21:A23"/>
    <mergeCell ref="A24:A26"/>
    <mergeCell ref="B6:B8"/>
    <mergeCell ref="B9:B11"/>
    <mergeCell ref="B13:B15"/>
    <mergeCell ref="B21:B23"/>
    <mergeCell ref="B24:B26"/>
    <mergeCell ref="B27:B29"/>
  </mergeCells>
  <pageMargins left="0.70866141732283472" right="0.70866141732283472" top="0.74803149606299213" bottom="0.74803149606299213" header="0.31496062992125984" footer="0.31496062992125984"/>
  <pageSetup paperSize="9" scale="7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1" filterMode="1">
    <tabColor indexed="10"/>
  </sheetPr>
  <dimension ref="A1:N371"/>
  <sheetViews>
    <sheetView topLeftCell="A355" zoomScaleSheetLayoutView="100" workbookViewId="0">
      <selection activeCell="A369" sqref="A369"/>
    </sheetView>
  </sheetViews>
  <sheetFormatPr defaultColWidth="9.109375" defaultRowHeight="13.8"/>
  <cols>
    <col min="1" max="1" width="4.88671875" style="31" customWidth="1"/>
    <col min="2" max="2" width="11.33203125" style="29" customWidth="1"/>
    <col min="3" max="3" width="6.5546875" style="29" bestFit="1" customWidth="1"/>
    <col min="4" max="4" width="30.109375" style="29" customWidth="1"/>
    <col min="5" max="5" width="10.6640625" style="29" customWidth="1"/>
    <col min="6" max="6" width="14.6640625" style="33" customWidth="1"/>
    <col min="7" max="7" width="7.109375" style="29" customWidth="1"/>
    <col min="8" max="8" width="23.88671875" style="29" customWidth="1"/>
    <col min="9" max="9" width="11.88671875" style="29" customWidth="1"/>
    <col min="10" max="10" width="59.88671875" style="35" customWidth="1"/>
    <col min="11" max="11" width="29.6640625" style="35" customWidth="1"/>
    <col min="12" max="12" width="23.109375" style="29" customWidth="1"/>
    <col min="13" max="16384" width="9.109375" style="29"/>
  </cols>
  <sheetData>
    <row r="1" spans="1:14">
      <c r="A1" s="29"/>
      <c r="F1" s="29"/>
      <c r="H1" s="30"/>
      <c r="J1" s="29"/>
      <c r="K1" s="319" t="s">
        <v>193</v>
      </c>
    </row>
    <row r="2" spans="1:14" ht="34.5" customHeight="1">
      <c r="A2" s="1149" t="str">
        <f>""&amp;(Шаблон!B1)&amp;"нинг "&amp;(Шаблон!B2)&amp;" шахар "&amp;(Шаблон!B3)&amp;" филиалида 19907, 19908, 19909, 19921, 19925 ва 19929-ҳисобварақлари орқали амалга оширилган нотўғри амалиётлар тўғрисида "&amp;(Шаблон!B15)&amp;" ҳолатига"</f>
        <v>АТ "Халқ банк"нинг Фаргона вилояти шахар Бешариқ филиали филиалида 19907, 19908, 19909, 19921, 19925 ва 19929-ҳисобварақлари орқали амалга оширилган нотўғри амалиётлар тўғрисида 2024 йил 1 январ ҳолатига</v>
      </c>
      <c r="B2" s="1149"/>
      <c r="C2" s="1149"/>
      <c r="D2" s="1149"/>
      <c r="E2" s="1149"/>
      <c r="F2" s="1149"/>
      <c r="G2" s="1149"/>
      <c r="H2" s="1149"/>
      <c r="I2" s="1149"/>
      <c r="J2" s="1149"/>
      <c r="K2" s="1149"/>
    </row>
    <row r="3" spans="1:14" ht="15" customHeight="1">
      <c r="A3" s="1149" t="s">
        <v>197</v>
      </c>
      <c r="B3" s="1149"/>
      <c r="C3" s="1149"/>
      <c r="D3" s="1149"/>
      <c r="E3" s="1149"/>
      <c r="F3" s="1149"/>
      <c r="G3" s="1149"/>
      <c r="H3" s="1149"/>
      <c r="I3" s="1149"/>
      <c r="J3" s="1149"/>
      <c r="K3" s="1149"/>
    </row>
    <row r="4" spans="1:14" ht="14.4" thickBot="1">
      <c r="A4" s="320"/>
      <c r="B4" s="320"/>
      <c r="C4" s="32"/>
      <c r="D4" s="32"/>
      <c r="E4" s="32"/>
      <c r="G4" s="32"/>
      <c r="H4" s="32"/>
      <c r="I4" s="32"/>
      <c r="J4" s="34"/>
      <c r="K4" s="320" t="s">
        <v>379</v>
      </c>
    </row>
    <row r="5" spans="1:14" s="124" customFormat="1" ht="28.2" thickBot="1">
      <c r="A5" s="404" t="s">
        <v>213</v>
      </c>
      <c r="B5" s="405" t="s">
        <v>191</v>
      </c>
      <c r="C5" s="405"/>
      <c r="D5" s="405" t="s">
        <v>374</v>
      </c>
      <c r="E5" s="405" t="s">
        <v>375</v>
      </c>
      <c r="F5" s="406" t="s">
        <v>201</v>
      </c>
      <c r="G5" s="405" t="s">
        <v>273</v>
      </c>
      <c r="H5" s="407" t="s">
        <v>376</v>
      </c>
      <c r="I5" s="405" t="s">
        <v>377</v>
      </c>
      <c r="J5" s="407" t="s">
        <v>306</v>
      </c>
      <c r="K5" s="408" t="s">
        <v>378</v>
      </c>
      <c r="L5" s="409" t="s">
        <v>98</v>
      </c>
    </row>
    <row r="6" spans="1:14" s="415" customFormat="1" ht="12" customHeight="1">
      <c r="A6" s="410" t="s">
        <v>208</v>
      </c>
      <c r="B6" s="411" t="s">
        <v>209</v>
      </c>
      <c r="C6" s="411"/>
      <c r="D6" s="411" t="s">
        <v>372</v>
      </c>
      <c r="E6" s="411" t="s">
        <v>286</v>
      </c>
      <c r="F6" s="412">
        <v>3</v>
      </c>
      <c r="G6" s="411" t="s">
        <v>287</v>
      </c>
      <c r="H6" s="411" t="s">
        <v>373</v>
      </c>
      <c r="I6" s="411" t="s">
        <v>288</v>
      </c>
      <c r="J6" s="411" t="s">
        <v>289</v>
      </c>
      <c r="K6" s="413" t="s">
        <v>290</v>
      </c>
      <c r="L6" s="414" t="s">
        <v>99</v>
      </c>
    </row>
    <row r="7" spans="1:14" s="124" customFormat="1" ht="27.6" hidden="1">
      <c r="A7" s="827">
        <v>1</v>
      </c>
      <c r="B7" s="806" t="s">
        <v>2765</v>
      </c>
      <c r="C7" s="830" t="str">
        <f t="shared" ref="C7:C70" si="0">+MID(B7,4,8)</f>
        <v>02.2016</v>
      </c>
      <c r="D7" s="828" t="s">
        <v>101</v>
      </c>
      <c r="E7" s="827">
        <v>16561</v>
      </c>
      <c r="F7" s="647">
        <v>800000</v>
      </c>
      <c r="G7" s="806" t="s">
        <v>2805</v>
      </c>
      <c r="H7" s="663" t="s">
        <v>2799</v>
      </c>
      <c r="I7" s="828" t="s">
        <v>2794</v>
      </c>
      <c r="J7" s="829" t="s">
        <v>2806</v>
      </c>
      <c r="K7" s="841" t="s">
        <v>2854</v>
      </c>
      <c r="L7" s="829"/>
      <c r="N7" s="840"/>
    </row>
    <row r="8" spans="1:14" s="124" customFormat="1" ht="27.6" hidden="1">
      <c r="A8" s="827">
        <f>+A7+1</f>
        <v>2</v>
      </c>
      <c r="B8" s="806" t="s">
        <v>2766</v>
      </c>
      <c r="C8" s="830" t="str">
        <f t="shared" si="0"/>
        <v>06.2016</v>
      </c>
      <c r="D8" s="828" t="s">
        <v>101</v>
      </c>
      <c r="E8" s="827">
        <v>16561</v>
      </c>
      <c r="F8" s="647">
        <v>800000</v>
      </c>
      <c r="G8" s="806" t="s">
        <v>2805</v>
      </c>
      <c r="H8" s="663" t="s">
        <v>2800</v>
      </c>
      <c r="I8" s="828" t="s">
        <v>2795</v>
      </c>
      <c r="J8" s="829" t="s">
        <v>2807</v>
      </c>
      <c r="K8" s="841" t="s">
        <v>2854</v>
      </c>
      <c r="L8" s="829"/>
      <c r="N8" s="840"/>
    </row>
    <row r="9" spans="1:14" s="124" customFormat="1" ht="27.6" hidden="1">
      <c r="A9" s="827">
        <f t="shared" ref="A9:A72" si="1">+A8+1</f>
        <v>3</v>
      </c>
      <c r="B9" s="806" t="s">
        <v>2767</v>
      </c>
      <c r="C9" s="830" t="str">
        <f t="shared" si="0"/>
        <v>07.2016</v>
      </c>
      <c r="D9" s="828" t="s">
        <v>101</v>
      </c>
      <c r="E9" s="827">
        <v>16561</v>
      </c>
      <c r="F9" s="647">
        <v>1762030.9</v>
      </c>
      <c r="G9" s="806" t="s">
        <v>2805</v>
      </c>
      <c r="H9" s="663" t="s">
        <v>2801</v>
      </c>
      <c r="I9" s="828" t="s">
        <v>2796</v>
      </c>
      <c r="J9" s="829" t="s">
        <v>2808</v>
      </c>
      <c r="K9" s="841" t="s">
        <v>2854</v>
      </c>
      <c r="L9" s="829"/>
      <c r="N9" s="840"/>
    </row>
    <row r="10" spans="1:14" s="124" customFormat="1" ht="27.6" hidden="1">
      <c r="A10" s="827">
        <f t="shared" si="1"/>
        <v>4</v>
      </c>
      <c r="B10" s="806" t="s">
        <v>2768</v>
      </c>
      <c r="C10" s="830" t="str">
        <f t="shared" si="0"/>
        <v>07.2016</v>
      </c>
      <c r="D10" s="828" t="s">
        <v>101</v>
      </c>
      <c r="E10" s="827">
        <v>16561</v>
      </c>
      <c r="F10" s="647">
        <v>7875000</v>
      </c>
      <c r="G10" s="806" t="s">
        <v>2805</v>
      </c>
      <c r="H10" s="663" t="s">
        <v>2801</v>
      </c>
      <c r="I10" s="828" t="s">
        <v>2796</v>
      </c>
      <c r="J10" s="829" t="s">
        <v>2809</v>
      </c>
      <c r="K10" s="841" t="s">
        <v>2854</v>
      </c>
      <c r="L10" s="829"/>
      <c r="N10" s="840"/>
    </row>
    <row r="11" spans="1:14" s="124" customFormat="1" ht="27.6" hidden="1">
      <c r="A11" s="827">
        <f t="shared" si="1"/>
        <v>5</v>
      </c>
      <c r="B11" s="806" t="s">
        <v>2769</v>
      </c>
      <c r="C11" s="830" t="str">
        <f t="shared" si="0"/>
        <v>10.2016</v>
      </c>
      <c r="D11" s="828" t="s">
        <v>101</v>
      </c>
      <c r="E11" s="827">
        <v>16561</v>
      </c>
      <c r="F11" s="647">
        <v>3558768.04</v>
      </c>
      <c r="G11" s="806" t="s">
        <v>2805</v>
      </c>
      <c r="H11" s="663" t="s">
        <v>2801</v>
      </c>
      <c r="I11" s="828" t="s">
        <v>2796</v>
      </c>
      <c r="J11" s="829" t="s">
        <v>2810</v>
      </c>
      <c r="K11" s="841" t="s">
        <v>2854</v>
      </c>
      <c r="L11" s="829"/>
      <c r="N11" s="840"/>
    </row>
    <row r="12" spans="1:14" s="124" customFormat="1" ht="27.6" hidden="1">
      <c r="A12" s="827">
        <f t="shared" si="1"/>
        <v>6</v>
      </c>
      <c r="B12" s="806" t="s">
        <v>2769</v>
      </c>
      <c r="C12" s="830" t="str">
        <f t="shared" si="0"/>
        <v>10.2016</v>
      </c>
      <c r="D12" s="828" t="s">
        <v>101</v>
      </c>
      <c r="E12" s="827">
        <v>16561</v>
      </c>
      <c r="F12" s="647">
        <v>7117536.0800000001</v>
      </c>
      <c r="G12" s="806" t="s">
        <v>2805</v>
      </c>
      <c r="H12" s="663" t="s">
        <v>2801</v>
      </c>
      <c r="I12" s="828" t="s">
        <v>2796</v>
      </c>
      <c r="J12" s="829" t="s">
        <v>2811</v>
      </c>
      <c r="K12" s="841" t="s">
        <v>2854</v>
      </c>
      <c r="L12" s="829"/>
      <c r="N12" s="840"/>
    </row>
    <row r="13" spans="1:14" s="124" customFormat="1" ht="41.4" hidden="1">
      <c r="A13" s="827">
        <f t="shared" si="1"/>
        <v>7</v>
      </c>
      <c r="B13" s="806" t="s">
        <v>2770</v>
      </c>
      <c r="C13" s="830" t="str">
        <f t="shared" si="0"/>
        <v>11.2016</v>
      </c>
      <c r="D13" s="828" t="s">
        <v>101</v>
      </c>
      <c r="E13" s="827">
        <v>16561</v>
      </c>
      <c r="F13" s="647">
        <v>600000</v>
      </c>
      <c r="G13" s="806" t="s">
        <v>2805</v>
      </c>
      <c r="H13" s="663" t="s">
        <v>2800</v>
      </c>
      <c r="I13" s="828" t="s">
        <v>2795</v>
      </c>
      <c r="J13" s="829" t="s">
        <v>2812</v>
      </c>
      <c r="K13" s="841" t="s">
        <v>2854</v>
      </c>
      <c r="L13" s="829"/>
      <c r="N13" s="840"/>
    </row>
    <row r="14" spans="1:14" s="649" customFormat="1" ht="27.6" hidden="1">
      <c r="A14" s="868">
        <f t="shared" si="1"/>
        <v>8</v>
      </c>
      <c r="B14" s="869" t="s">
        <v>2771</v>
      </c>
      <c r="C14" s="717" t="str">
        <f t="shared" si="0"/>
        <v>12.2016</v>
      </c>
      <c r="D14" s="870" t="s">
        <v>101</v>
      </c>
      <c r="E14" s="868">
        <v>16561</v>
      </c>
      <c r="F14" s="742">
        <v>1811411.91</v>
      </c>
      <c r="G14" s="869" t="s">
        <v>2805</v>
      </c>
      <c r="H14" s="731" t="s">
        <v>2801</v>
      </c>
      <c r="I14" s="870" t="s">
        <v>2796</v>
      </c>
      <c r="J14" s="871" t="s">
        <v>2813</v>
      </c>
      <c r="K14" s="881" t="s">
        <v>2854</v>
      </c>
      <c r="L14" s="871"/>
      <c r="N14" s="872"/>
    </row>
    <row r="15" spans="1:14" s="124" customFormat="1" ht="27.6" hidden="1">
      <c r="A15" s="827">
        <f t="shared" si="1"/>
        <v>9</v>
      </c>
      <c r="B15" s="806" t="s">
        <v>2771</v>
      </c>
      <c r="C15" s="830" t="str">
        <f t="shared" si="0"/>
        <v>12.2016</v>
      </c>
      <c r="D15" s="828" t="s">
        <v>101</v>
      </c>
      <c r="E15" s="827">
        <v>16561</v>
      </c>
      <c r="F15" s="647">
        <v>307459.17</v>
      </c>
      <c r="G15" s="806" t="s">
        <v>2805</v>
      </c>
      <c r="H15" s="663" t="s">
        <v>2801</v>
      </c>
      <c r="I15" s="828" t="s">
        <v>2796</v>
      </c>
      <c r="J15" s="829" t="s">
        <v>2814</v>
      </c>
      <c r="K15" s="841" t="s">
        <v>2854</v>
      </c>
      <c r="L15" s="829"/>
      <c r="N15" s="840"/>
    </row>
    <row r="16" spans="1:14" s="124" customFormat="1" ht="41.4">
      <c r="A16" s="827">
        <f t="shared" si="1"/>
        <v>10</v>
      </c>
      <c r="B16" s="806" t="s">
        <v>2772</v>
      </c>
      <c r="C16" s="830" t="str">
        <f t="shared" si="0"/>
        <v>01.2017</v>
      </c>
      <c r="D16" s="828" t="s">
        <v>101</v>
      </c>
      <c r="E16" s="827">
        <v>16561</v>
      </c>
      <c r="F16" s="647">
        <v>136000</v>
      </c>
      <c r="G16" s="806" t="s">
        <v>2805</v>
      </c>
      <c r="H16" s="663" t="s">
        <v>2802</v>
      </c>
      <c r="I16" s="828" t="s">
        <v>2797</v>
      </c>
      <c r="J16" s="829" t="s">
        <v>2815</v>
      </c>
      <c r="K16" s="841" t="s">
        <v>2854</v>
      </c>
      <c r="L16" s="829"/>
      <c r="N16" s="840"/>
    </row>
    <row r="17" spans="1:14" s="124" customFormat="1" ht="27.6">
      <c r="A17" s="827">
        <f t="shared" si="1"/>
        <v>11</v>
      </c>
      <c r="B17" s="806" t="s">
        <v>2773</v>
      </c>
      <c r="C17" s="830" t="str">
        <f t="shared" si="0"/>
        <v>01.2017</v>
      </c>
      <c r="D17" s="828" t="s">
        <v>101</v>
      </c>
      <c r="E17" s="827">
        <v>16561</v>
      </c>
      <c r="F17" s="647">
        <v>672468.01</v>
      </c>
      <c r="G17" s="806" t="s">
        <v>2805</v>
      </c>
      <c r="H17" s="663" t="s">
        <v>2801</v>
      </c>
      <c r="I17" s="828" t="s">
        <v>2796</v>
      </c>
      <c r="J17" s="829" t="s">
        <v>2816</v>
      </c>
      <c r="K17" s="841" t="s">
        <v>2854</v>
      </c>
      <c r="L17" s="829"/>
      <c r="N17" s="840"/>
    </row>
    <row r="18" spans="1:14" s="124" customFormat="1" ht="27.6">
      <c r="A18" s="827">
        <f t="shared" si="1"/>
        <v>12</v>
      </c>
      <c r="B18" s="806" t="s">
        <v>2774</v>
      </c>
      <c r="C18" s="830" t="str">
        <f t="shared" si="0"/>
        <v>02.2017</v>
      </c>
      <c r="D18" s="828" t="s">
        <v>101</v>
      </c>
      <c r="E18" s="827">
        <v>16561</v>
      </c>
      <c r="F18" s="647">
        <v>2528665.46</v>
      </c>
      <c r="G18" s="806" t="s">
        <v>2805</v>
      </c>
      <c r="H18" s="663" t="s">
        <v>2801</v>
      </c>
      <c r="I18" s="828" t="s">
        <v>2796</v>
      </c>
      <c r="J18" s="829" t="s">
        <v>2817</v>
      </c>
      <c r="K18" s="841" t="s">
        <v>2854</v>
      </c>
      <c r="L18" s="829"/>
      <c r="N18" s="840"/>
    </row>
    <row r="19" spans="1:14" s="649" customFormat="1" ht="27.6" hidden="1">
      <c r="A19" s="868">
        <f t="shared" si="1"/>
        <v>13</v>
      </c>
      <c r="B19" s="869" t="s">
        <v>2775</v>
      </c>
      <c r="C19" s="717" t="str">
        <f t="shared" si="0"/>
        <v>03.2017</v>
      </c>
      <c r="D19" s="870" t="s">
        <v>101</v>
      </c>
      <c r="E19" s="868">
        <v>16561</v>
      </c>
      <c r="F19" s="742">
        <v>3688782.76</v>
      </c>
      <c r="G19" s="869" t="s">
        <v>2805</v>
      </c>
      <c r="H19" s="731" t="s">
        <v>2801</v>
      </c>
      <c r="I19" s="870" t="s">
        <v>2796</v>
      </c>
      <c r="J19" s="871" t="s">
        <v>2818</v>
      </c>
      <c r="K19" s="881" t="s">
        <v>2854</v>
      </c>
      <c r="L19" s="871"/>
      <c r="N19" s="872"/>
    </row>
    <row r="20" spans="1:14" s="649" customFormat="1" ht="27.6" hidden="1">
      <c r="A20" s="868">
        <f t="shared" si="1"/>
        <v>14</v>
      </c>
      <c r="B20" s="869" t="s">
        <v>2776</v>
      </c>
      <c r="C20" s="717" t="str">
        <f t="shared" si="0"/>
        <v>04.2017</v>
      </c>
      <c r="D20" s="870" t="s">
        <v>101</v>
      </c>
      <c r="E20" s="868">
        <v>16561</v>
      </c>
      <c r="F20" s="742">
        <v>5681814.3300000001</v>
      </c>
      <c r="G20" s="869" t="s">
        <v>2805</v>
      </c>
      <c r="H20" s="731" t="s">
        <v>2801</v>
      </c>
      <c r="I20" s="870" t="s">
        <v>2796</v>
      </c>
      <c r="J20" s="871" t="s">
        <v>2819</v>
      </c>
      <c r="K20" s="881" t="s">
        <v>2854</v>
      </c>
      <c r="L20" s="871"/>
      <c r="N20" s="872"/>
    </row>
    <row r="21" spans="1:14" s="649" customFormat="1" ht="27.6" hidden="1">
      <c r="A21" s="868">
        <f t="shared" si="1"/>
        <v>15</v>
      </c>
      <c r="B21" s="869" t="s">
        <v>2777</v>
      </c>
      <c r="C21" s="717" t="str">
        <f t="shared" si="0"/>
        <v>05.2017</v>
      </c>
      <c r="D21" s="870" t="s">
        <v>101</v>
      </c>
      <c r="E21" s="868">
        <v>16561</v>
      </c>
      <c r="F21" s="742">
        <v>9756690.5500000007</v>
      </c>
      <c r="G21" s="869" t="s">
        <v>2805</v>
      </c>
      <c r="H21" s="731" t="s">
        <v>2801</v>
      </c>
      <c r="I21" s="870" t="s">
        <v>2796</v>
      </c>
      <c r="J21" s="871" t="s">
        <v>2820</v>
      </c>
      <c r="K21" s="881" t="s">
        <v>2854</v>
      </c>
      <c r="L21" s="871"/>
      <c r="N21" s="872"/>
    </row>
    <row r="22" spans="1:14" s="124" customFormat="1" ht="27.6">
      <c r="A22" s="827">
        <f t="shared" si="1"/>
        <v>16</v>
      </c>
      <c r="B22" s="806" t="s">
        <v>2778</v>
      </c>
      <c r="C22" s="830" t="str">
        <f t="shared" si="0"/>
        <v>05.2017</v>
      </c>
      <c r="D22" s="828" t="s">
        <v>101</v>
      </c>
      <c r="E22" s="827">
        <v>16561</v>
      </c>
      <c r="F22" s="647">
        <v>11127425.4</v>
      </c>
      <c r="G22" s="806" t="s">
        <v>2805</v>
      </c>
      <c r="H22" s="663" t="s">
        <v>2801</v>
      </c>
      <c r="I22" s="828" t="s">
        <v>2796</v>
      </c>
      <c r="J22" s="829" t="s">
        <v>2821</v>
      </c>
      <c r="K22" s="841" t="s">
        <v>2854</v>
      </c>
      <c r="L22" s="829"/>
      <c r="N22" s="840"/>
    </row>
    <row r="23" spans="1:14" s="649" customFormat="1" ht="27.6" hidden="1">
      <c r="A23" s="868">
        <f t="shared" si="1"/>
        <v>17</v>
      </c>
      <c r="B23" s="869" t="s">
        <v>2779</v>
      </c>
      <c r="C23" s="717" t="str">
        <f t="shared" si="0"/>
        <v>06.2017</v>
      </c>
      <c r="D23" s="870" t="s">
        <v>101</v>
      </c>
      <c r="E23" s="868">
        <v>16561</v>
      </c>
      <c r="F23" s="742">
        <v>100389120</v>
      </c>
      <c r="G23" s="869" t="s">
        <v>2805</v>
      </c>
      <c r="H23" s="731" t="s">
        <v>2801</v>
      </c>
      <c r="I23" s="870" t="s">
        <v>2796</v>
      </c>
      <c r="J23" s="871" t="s">
        <v>2822</v>
      </c>
      <c r="K23" s="881" t="s">
        <v>2854</v>
      </c>
      <c r="L23" s="871"/>
      <c r="N23" s="872"/>
    </row>
    <row r="24" spans="1:14" s="124" customFormat="1" ht="27.6">
      <c r="A24" s="827">
        <f t="shared" si="1"/>
        <v>18</v>
      </c>
      <c r="B24" s="806" t="s">
        <v>2780</v>
      </c>
      <c r="C24" s="830" t="str">
        <f t="shared" si="0"/>
        <v>07.2017</v>
      </c>
      <c r="D24" s="828" t="s">
        <v>101</v>
      </c>
      <c r="E24" s="827">
        <v>16561</v>
      </c>
      <c r="F24" s="647">
        <v>4692216.5999999996</v>
      </c>
      <c r="G24" s="806" t="s">
        <v>2805</v>
      </c>
      <c r="H24" s="663" t="s">
        <v>2801</v>
      </c>
      <c r="I24" s="828" t="s">
        <v>2796</v>
      </c>
      <c r="J24" s="829" t="s">
        <v>2823</v>
      </c>
      <c r="K24" s="841" t="s">
        <v>2854</v>
      </c>
      <c r="L24" s="829"/>
      <c r="N24" s="840"/>
    </row>
    <row r="25" spans="1:14" s="649" customFormat="1" ht="27.6" hidden="1">
      <c r="A25" s="868">
        <f t="shared" si="1"/>
        <v>19</v>
      </c>
      <c r="B25" s="869" t="s">
        <v>2781</v>
      </c>
      <c r="C25" s="717" t="str">
        <f t="shared" si="0"/>
        <v>07.2017</v>
      </c>
      <c r="D25" s="870" t="s">
        <v>101</v>
      </c>
      <c r="E25" s="868">
        <v>16561</v>
      </c>
      <c r="F25" s="742">
        <v>14670000</v>
      </c>
      <c r="G25" s="869" t="s">
        <v>2805</v>
      </c>
      <c r="H25" s="731" t="s">
        <v>2801</v>
      </c>
      <c r="I25" s="870" t="s">
        <v>2796</v>
      </c>
      <c r="J25" s="871" t="s">
        <v>2824</v>
      </c>
      <c r="K25" s="881" t="s">
        <v>2854</v>
      </c>
      <c r="L25" s="871"/>
      <c r="N25" s="872"/>
    </row>
    <row r="26" spans="1:14" s="649" customFormat="1" ht="27.6" hidden="1">
      <c r="A26" s="868">
        <f t="shared" si="1"/>
        <v>20</v>
      </c>
      <c r="B26" s="869" t="s">
        <v>2782</v>
      </c>
      <c r="C26" s="717" t="str">
        <f t="shared" si="0"/>
        <v>08.2017</v>
      </c>
      <c r="D26" s="870" t="s">
        <v>101</v>
      </c>
      <c r="E26" s="868">
        <v>16561</v>
      </c>
      <c r="F26" s="742">
        <v>3540000</v>
      </c>
      <c r="G26" s="869" t="s">
        <v>2805</v>
      </c>
      <c r="H26" s="731" t="s">
        <v>2801</v>
      </c>
      <c r="I26" s="870" t="s">
        <v>2796</v>
      </c>
      <c r="J26" s="871" t="s">
        <v>2825</v>
      </c>
      <c r="K26" s="881" t="s">
        <v>2854</v>
      </c>
      <c r="L26" s="871"/>
      <c r="N26" s="872"/>
    </row>
    <row r="27" spans="1:14" s="649" customFormat="1" ht="27.6" hidden="1">
      <c r="A27" s="868">
        <f t="shared" si="1"/>
        <v>21</v>
      </c>
      <c r="B27" s="869" t="s">
        <v>2783</v>
      </c>
      <c r="C27" s="717" t="str">
        <f t="shared" si="0"/>
        <v>08.2017</v>
      </c>
      <c r="D27" s="870" t="s">
        <v>101</v>
      </c>
      <c r="E27" s="868">
        <v>16561</v>
      </c>
      <c r="F27" s="742">
        <v>4826589.3</v>
      </c>
      <c r="G27" s="869" t="s">
        <v>2805</v>
      </c>
      <c r="H27" s="731" t="s">
        <v>2801</v>
      </c>
      <c r="I27" s="870" t="s">
        <v>2796</v>
      </c>
      <c r="J27" s="871" t="s">
        <v>2826</v>
      </c>
      <c r="K27" s="881" t="s">
        <v>2854</v>
      </c>
      <c r="L27" s="871"/>
      <c r="N27" s="872"/>
    </row>
    <row r="28" spans="1:14" s="124" customFormat="1" ht="27.6">
      <c r="A28" s="827">
        <f t="shared" si="1"/>
        <v>22</v>
      </c>
      <c r="B28" s="806" t="s">
        <v>2784</v>
      </c>
      <c r="C28" s="830" t="str">
        <f t="shared" si="0"/>
        <v>08.2017</v>
      </c>
      <c r="D28" s="828" t="s">
        <v>101</v>
      </c>
      <c r="E28" s="827">
        <v>16561</v>
      </c>
      <c r="F28" s="647">
        <v>7950000</v>
      </c>
      <c r="G28" s="806" t="s">
        <v>2805</v>
      </c>
      <c r="H28" s="663" t="s">
        <v>2801</v>
      </c>
      <c r="I28" s="828" t="s">
        <v>2796</v>
      </c>
      <c r="J28" s="829" t="s">
        <v>2827</v>
      </c>
      <c r="K28" s="841" t="s">
        <v>2854</v>
      </c>
      <c r="L28" s="829"/>
      <c r="N28" s="840"/>
    </row>
    <row r="29" spans="1:14" s="649" customFormat="1" ht="27.6" hidden="1">
      <c r="A29" s="868">
        <f t="shared" si="1"/>
        <v>23</v>
      </c>
      <c r="B29" s="869" t="s">
        <v>2784</v>
      </c>
      <c r="C29" s="717" t="str">
        <f t="shared" si="0"/>
        <v>08.2017</v>
      </c>
      <c r="D29" s="870" t="s">
        <v>101</v>
      </c>
      <c r="E29" s="868">
        <v>16561</v>
      </c>
      <c r="F29" s="742">
        <v>8970988.8000000007</v>
      </c>
      <c r="G29" s="869" t="s">
        <v>2805</v>
      </c>
      <c r="H29" s="731" t="s">
        <v>2801</v>
      </c>
      <c r="I29" s="870" t="s">
        <v>2796</v>
      </c>
      <c r="J29" s="871" t="s">
        <v>2828</v>
      </c>
      <c r="K29" s="881" t="s">
        <v>2854</v>
      </c>
      <c r="L29" s="871"/>
      <c r="N29" s="872"/>
    </row>
    <row r="30" spans="1:14" s="124" customFormat="1" ht="27.6">
      <c r="A30" s="827">
        <f t="shared" si="1"/>
        <v>24</v>
      </c>
      <c r="B30" s="806" t="s">
        <v>2785</v>
      </c>
      <c r="C30" s="830" t="str">
        <f t="shared" si="0"/>
        <v>09.2017</v>
      </c>
      <c r="D30" s="828" t="s">
        <v>101</v>
      </c>
      <c r="E30" s="827">
        <v>16561</v>
      </c>
      <c r="F30" s="647">
        <v>6917038.9000000004</v>
      </c>
      <c r="G30" s="806" t="s">
        <v>2805</v>
      </c>
      <c r="H30" s="663" t="s">
        <v>2801</v>
      </c>
      <c r="I30" s="828" t="s">
        <v>2796</v>
      </c>
      <c r="J30" s="829" t="s">
        <v>2829</v>
      </c>
      <c r="K30" s="841" t="s">
        <v>2854</v>
      </c>
      <c r="L30" s="829"/>
      <c r="N30" s="840"/>
    </row>
    <row r="31" spans="1:14" s="124" customFormat="1" ht="27.6">
      <c r="A31" s="827">
        <f t="shared" si="1"/>
        <v>25</v>
      </c>
      <c r="B31" s="806" t="s">
        <v>2786</v>
      </c>
      <c r="C31" s="830" t="str">
        <f t="shared" si="0"/>
        <v>09.2017</v>
      </c>
      <c r="D31" s="828" t="s">
        <v>101</v>
      </c>
      <c r="E31" s="827">
        <v>16561</v>
      </c>
      <c r="F31" s="647">
        <v>7481649.4000000004</v>
      </c>
      <c r="G31" s="806" t="s">
        <v>2805</v>
      </c>
      <c r="H31" s="663" t="s">
        <v>2801</v>
      </c>
      <c r="I31" s="828" t="s">
        <v>2796</v>
      </c>
      <c r="J31" s="829" t="s">
        <v>2830</v>
      </c>
      <c r="K31" s="841" t="s">
        <v>2854</v>
      </c>
      <c r="L31" s="829"/>
      <c r="N31" s="840"/>
    </row>
    <row r="32" spans="1:14" s="124" customFormat="1" ht="27.6">
      <c r="A32" s="827">
        <f t="shared" si="1"/>
        <v>26</v>
      </c>
      <c r="B32" s="806" t="s">
        <v>2786</v>
      </c>
      <c r="C32" s="830" t="str">
        <f t="shared" si="0"/>
        <v>09.2017</v>
      </c>
      <c r="D32" s="828" t="s">
        <v>101</v>
      </c>
      <c r="E32" s="827">
        <v>16561</v>
      </c>
      <c r="F32" s="647">
        <v>564610.5</v>
      </c>
      <c r="G32" s="806" t="s">
        <v>2805</v>
      </c>
      <c r="H32" s="663" t="s">
        <v>2801</v>
      </c>
      <c r="I32" s="828" t="s">
        <v>2796</v>
      </c>
      <c r="J32" s="829" t="s">
        <v>2829</v>
      </c>
      <c r="K32" s="841" t="s">
        <v>2854</v>
      </c>
      <c r="L32" s="829"/>
      <c r="N32" s="840"/>
    </row>
    <row r="33" spans="1:14" s="649" customFormat="1" ht="41.4" hidden="1">
      <c r="A33" s="868">
        <f t="shared" si="1"/>
        <v>27</v>
      </c>
      <c r="B33" s="869" t="s">
        <v>2787</v>
      </c>
      <c r="C33" s="717" t="str">
        <f t="shared" si="0"/>
        <v>10.2017</v>
      </c>
      <c r="D33" s="870" t="s">
        <v>101</v>
      </c>
      <c r="E33" s="868">
        <v>16561</v>
      </c>
      <c r="F33" s="742">
        <v>23445412.399999999</v>
      </c>
      <c r="G33" s="869" t="s">
        <v>2805</v>
      </c>
      <c r="H33" s="731" t="s">
        <v>2801</v>
      </c>
      <c r="I33" s="870" t="s">
        <v>2796</v>
      </c>
      <c r="J33" s="871" t="s">
        <v>2831</v>
      </c>
      <c r="K33" s="881" t="s">
        <v>2854</v>
      </c>
      <c r="L33" s="871"/>
      <c r="N33" s="872"/>
    </row>
    <row r="34" spans="1:14" s="124" customFormat="1" ht="27.6">
      <c r="A34" s="827">
        <f t="shared" si="1"/>
        <v>28</v>
      </c>
      <c r="B34" s="806" t="s">
        <v>2788</v>
      </c>
      <c r="C34" s="830" t="str">
        <f t="shared" si="0"/>
        <v>12.2017</v>
      </c>
      <c r="D34" s="828" t="s">
        <v>101</v>
      </c>
      <c r="E34" s="827">
        <v>16561</v>
      </c>
      <c r="F34" s="647">
        <v>43520361</v>
      </c>
      <c r="G34" s="806" t="s">
        <v>2805</v>
      </c>
      <c r="H34" s="663" t="s">
        <v>2801</v>
      </c>
      <c r="I34" s="828" t="s">
        <v>2796</v>
      </c>
      <c r="J34" s="829" t="s">
        <v>2832</v>
      </c>
      <c r="K34" s="841" t="s">
        <v>2854</v>
      </c>
      <c r="L34" s="829"/>
      <c r="N34" s="840"/>
    </row>
    <row r="35" spans="1:14" s="649" customFormat="1" ht="41.4" hidden="1">
      <c r="A35" s="868">
        <f t="shared" si="1"/>
        <v>29</v>
      </c>
      <c r="B35" s="869" t="s">
        <v>2715</v>
      </c>
      <c r="C35" s="717" t="str">
        <f t="shared" si="0"/>
        <v>12.2017</v>
      </c>
      <c r="D35" s="870" t="s">
        <v>101</v>
      </c>
      <c r="E35" s="868">
        <v>16561</v>
      </c>
      <c r="F35" s="742">
        <v>3950000</v>
      </c>
      <c r="G35" s="869" t="s">
        <v>2805</v>
      </c>
      <c r="H35" s="731" t="s">
        <v>2803</v>
      </c>
      <c r="I35" s="870" t="s">
        <v>2798</v>
      </c>
      <c r="J35" s="871" t="s">
        <v>2833</v>
      </c>
      <c r="K35" s="881" t="s">
        <v>2854</v>
      </c>
      <c r="L35" s="871"/>
      <c r="N35" s="872"/>
    </row>
    <row r="36" spans="1:14" s="649" customFormat="1" ht="27.6" hidden="1">
      <c r="A36" s="868">
        <f t="shared" si="1"/>
        <v>30</v>
      </c>
      <c r="B36" s="869" t="s">
        <v>2724</v>
      </c>
      <c r="C36" s="717" t="str">
        <f t="shared" si="0"/>
        <v>01.2018</v>
      </c>
      <c r="D36" s="870" t="s">
        <v>101</v>
      </c>
      <c r="E36" s="868">
        <v>16561</v>
      </c>
      <c r="F36" s="742">
        <v>2820000</v>
      </c>
      <c r="G36" s="869" t="s">
        <v>2805</v>
      </c>
      <c r="H36" s="731" t="s">
        <v>2804</v>
      </c>
      <c r="I36" s="870" t="s">
        <v>2795</v>
      </c>
      <c r="J36" s="871" t="s">
        <v>2834</v>
      </c>
      <c r="K36" s="881" t="s">
        <v>2854</v>
      </c>
      <c r="L36" s="871"/>
      <c r="N36" s="872"/>
    </row>
    <row r="37" spans="1:14" s="649" customFormat="1" ht="41.4" hidden="1">
      <c r="A37" s="868">
        <f t="shared" si="1"/>
        <v>31</v>
      </c>
      <c r="B37" s="869" t="s">
        <v>2733</v>
      </c>
      <c r="C37" s="717" t="str">
        <f t="shared" si="0"/>
        <v>02.2018</v>
      </c>
      <c r="D37" s="870" t="s">
        <v>101</v>
      </c>
      <c r="E37" s="868">
        <v>16561</v>
      </c>
      <c r="F37" s="742">
        <v>73719040</v>
      </c>
      <c r="G37" s="869" t="s">
        <v>2805</v>
      </c>
      <c r="H37" s="731" t="s">
        <v>2803</v>
      </c>
      <c r="I37" s="870" t="s">
        <v>2798</v>
      </c>
      <c r="J37" s="871" t="s">
        <v>2835</v>
      </c>
      <c r="K37" s="881" t="s">
        <v>2854</v>
      </c>
      <c r="L37" s="871"/>
      <c r="N37" s="872"/>
    </row>
    <row r="38" spans="1:14" s="649" customFormat="1" ht="27.6" hidden="1">
      <c r="A38" s="868">
        <f t="shared" si="1"/>
        <v>32</v>
      </c>
      <c r="B38" s="869" t="s">
        <v>2733</v>
      </c>
      <c r="C38" s="717" t="str">
        <f t="shared" si="0"/>
        <v>02.2018</v>
      </c>
      <c r="D38" s="870" t="s">
        <v>101</v>
      </c>
      <c r="E38" s="868">
        <v>16561</v>
      </c>
      <c r="F38" s="742">
        <v>17973</v>
      </c>
      <c r="G38" s="869" t="s">
        <v>2805</v>
      </c>
      <c r="H38" s="731" t="s">
        <v>2803</v>
      </c>
      <c r="I38" s="870" t="s">
        <v>2798</v>
      </c>
      <c r="J38" s="871" t="s">
        <v>2836</v>
      </c>
      <c r="K38" s="881" t="s">
        <v>2854</v>
      </c>
      <c r="L38" s="871"/>
      <c r="N38" s="872"/>
    </row>
    <row r="39" spans="1:14" s="649" customFormat="1" ht="27.6" hidden="1">
      <c r="A39" s="868">
        <f t="shared" si="1"/>
        <v>33</v>
      </c>
      <c r="B39" s="869" t="s">
        <v>2738</v>
      </c>
      <c r="C39" s="717" t="str">
        <f t="shared" si="0"/>
        <v>02.2018</v>
      </c>
      <c r="D39" s="870" t="s">
        <v>101</v>
      </c>
      <c r="E39" s="868">
        <v>16561</v>
      </c>
      <c r="F39" s="742">
        <v>4600000</v>
      </c>
      <c r="G39" s="869" t="s">
        <v>2805</v>
      </c>
      <c r="H39" s="731" t="s">
        <v>2804</v>
      </c>
      <c r="I39" s="870" t="s">
        <v>2795</v>
      </c>
      <c r="J39" s="871" t="s">
        <v>2837</v>
      </c>
      <c r="K39" s="881" t="s">
        <v>2854</v>
      </c>
      <c r="L39" s="871"/>
      <c r="N39" s="872"/>
    </row>
    <row r="40" spans="1:14" s="649" customFormat="1" ht="41.4" hidden="1">
      <c r="A40" s="868">
        <f t="shared" si="1"/>
        <v>34</v>
      </c>
      <c r="B40" s="869" t="s">
        <v>2789</v>
      </c>
      <c r="C40" s="717" t="str">
        <f t="shared" si="0"/>
        <v>02.2018</v>
      </c>
      <c r="D40" s="870" t="s">
        <v>101</v>
      </c>
      <c r="E40" s="868">
        <v>16561</v>
      </c>
      <c r="F40" s="742">
        <v>550000</v>
      </c>
      <c r="G40" s="869" t="s">
        <v>2805</v>
      </c>
      <c r="H40" s="731" t="s">
        <v>2804</v>
      </c>
      <c r="I40" s="870" t="s">
        <v>2795</v>
      </c>
      <c r="J40" s="871" t="s">
        <v>2838</v>
      </c>
      <c r="K40" s="881" t="s">
        <v>2854</v>
      </c>
      <c r="L40" s="871"/>
      <c r="N40" s="872"/>
    </row>
    <row r="41" spans="1:14" s="649" customFormat="1" ht="27.6" hidden="1">
      <c r="A41" s="868">
        <f t="shared" si="1"/>
        <v>35</v>
      </c>
      <c r="B41" s="869" t="s">
        <v>2695</v>
      </c>
      <c r="C41" s="717" t="str">
        <f t="shared" si="0"/>
        <v>02.2018</v>
      </c>
      <c r="D41" s="870" t="s">
        <v>101</v>
      </c>
      <c r="E41" s="868">
        <v>16561</v>
      </c>
      <c r="F41" s="742">
        <v>17224</v>
      </c>
      <c r="G41" s="869" t="s">
        <v>2805</v>
      </c>
      <c r="H41" s="731" t="s">
        <v>2804</v>
      </c>
      <c r="I41" s="870" t="s">
        <v>2795</v>
      </c>
      <c r="J41" s="871" t="s">
        <v>2839</v>
      </c>
      <c r="K41" s="881" t="s">
        <v>2854</v>
      </c>
      <c r="L41" s="871"/>
      <c r="N41" s="872"/>
    </row>
    <row r="42" spans="1:14" s="649" customFormat="1" ht="41.4" hidden="1">
      <c r="A42" s="868">
        <f t="shared" si="1"/>
        <v>36</v>
      </c>
      <c r="B42" s="869" t="s">
        <v>2695</v>
      </c>
      <c r="C42" s="717" t="str">
        <f t="shared" si="0"/>
        <v>02.2018</v>
      </c>
      <c r="D42" s="870" t="s">
        <v>101</v>
      </c>
      <c r="E42" s="868">
        <v>16561</v>
      </c>
      <c r="F42" s="742">
        <v>275584</v>
      </c>
      <c r="G42" s="869" t="s">
        <v>2805</v>
      </c>
      <c r="H42" s="731" t="s">
        <v>2804</v>
      </c>
      <c r="I42" s="870" t="s">
        <v>2795</v>
      </c>
      <c r="J42" s="871" t="s">
        <v>2840</v>
      </c>
      <c r="K42" s="881" t="s">
        <v>2854</v>
      </c>
      <c r="L42" s="871"/>
      <c r="N42" s="872"/>
    </row>
    <row r="43" spans="1:14" s="649" customFormat="1" ht="27.6" hidden="1">
      <c r="A43" s="868">
        <f t="shared" si="1"/>
        <v>37</v>
      </c>
      <c r="B43" s="869" t="s">
        <v>2695</v>
      </c>
      <c r="C43" s="717" t="str">
        <f t="shared" si="0"/>
        <v>02.2018</v>
      </c>
      <c r="D43" s="870" t="s">
        <v>101</v>
      </c>
      <c r="E43" s="868">
        <v>16561</v>
      </c>
      <c r="F43" s="742">
        <v>120568</v>
      </c>
      <c r="G43" s="869" t="s">
        <v>2805</v>
      </c>
      <c r="H43" s="731" t="s">
        <v>2804</v>
      </c>
      <c r="I43" s="870" t="s">
        <v>2795</v>
      </c>
      <c r="J43" s="871" t="s">
        <v>2841</v>
      </c>
      <c r="K43" s="881" t="s">
        <v>2854</v>
      </c>
      <c r="L43" s="871"/>
      <c r="N43" s="872"/>
    </row>
    <row r="44" spans="1:14" s="649" customFormat="1" ht="27.6" hidden="1">
      <c r="A44" s="868">
        <f t="shared" si="1"/>
        <v>38</v>
      </c>
      <c r="B44" s="869" t="s">
        <v>2695</v>
      </c>
      <c r="C44" s="717" t="str">
        <f t="shared" si="0"/>
        <v>02.2018</v>
      </c>
      <c r="D44" s="870" t="s">
        <v>101</v>
      </c>
      <c r="E44" s="868">
        <v>16561</v>
      </c>
      <c r="F44" s="742">
        <v>2211572</v>
      </c>
      <c r="G44" s="869" t="s">
        <v>2805</v>
      </c>
      <c r="H44" s="731" t="s">
        <v>2804</v>
      </c>
      <c r="I44" s="870" t="s">
        <v>2795</v>
      </c>
      <c r="J44" s="871" t="s">
        <v>2842</v>
      </c>
      <c r="K44" s="881" t="s">
        <v>2854</v>
      </c>
      <c r="L44" s="871"/>
      <c r="N44" s="872"/>
    </row>
    <row r="45" spans="1:14" s="649" customFormat="1" ht="27.6" hidden="1">
      <c r="A45" s="868">
        <f t="shared" si="1"/>
        <v>39</v>
      </c>
      <c r="B45" s="869" t="s">
        <v>2790</v>
      </c>
      <c r="C45" s="717" t="str">
        <f t="shared" si="0"/>
        <v>04.2018</v>
      </c>
      <c r="D45" s="870" t="s">
        <v>101</v>
      </c>
      <c r="E45" s="868">
        <v>16561</v>
      </c>
      <c r="F45" s="742">
        <v>2222293.16</v>
      </c>
      <c r="G45" s="869" t="s">
        <v>2805</v>
      </c>
      <c r="H45" s="731" t="s">
        <v>2801</v>
      </c>
      <c r="I45" s="870" t="s">
        <v>2796</v>
      </c>
      <c r="J45" s="871" t="s">
        <v>2843</v>
      </c>
      <c r="K45" s="881" t="s">
        <v>2854</v>
      </c>
      <c r="L45" s="871"/>
      <c r="N45" s="872"/>
    </row>
    <row r="46" spans="1:14" s="649" customFormat="1" ht="27.6" hidden="1">
      <c r="A46" s="868">
        <f t="shared" si="1"/>
        <v>40</v>
      </c>
      <c r="B46" s="869" t="s">
        <v>2791</v>
      </c>
      <c r="C46" s="717" t="str">
        <f t="shared" si="0"/>
        <v>05.2018</v>
      </c>
      <c r="D46" s="870" t="s">
        <v>101</v>
      </c>
      <c r="E46" s="868">
        <v>16561</v>
      </c>
      <c r="F46" s="742">
        <v>1500000</v>
      </c>
      <c r="G46" s="869" t="s">
        <v>2805</v>
      </c>
      <c r="H46" s="731" t="s">
        <v>2803</v>
      </c>
      <c r="I46" s="870" t="s">
        <v>2798</v>
      </c>
      <c r="J46" s="871" t="s">
        <v>2844</v>
      </c>
      <c r="K46" s="881" t="s">
        <v>2854</v>
      </c>
      <c r="L46" s="871"/>
      <c r="N46" s="872"/>
    </row>
    <row r="47" spans="1:14" s="649" customFormat="1" ht="27.6" hidden="1">
      <c r="A47" s="868">
        <f t="shared" si="1"/>
        <v>41</v>
      </c>
      <c r="B47" s="869" t="s">
        <v>2792</v>
      </c>
      <c r="C47" s="717" t="str">
        <f t="shared" si="0"/>
        <v>05.2018</v>
      </c>
      <c r="D47" s="870" t="s">
        <v>101</v>
      </c>
      <c r="E47" s="868">
        <v>16561</v>
      </c>
      <c r="F47" s="742">
        <v>17050009.199999999</v>
      </c>
      <c r="G47" s="869" t="s">
        <v>2805</v>
      </c>
      <c r="H47" s="731" t="s">
        <v>2801</v>
      </c>
      <c r="I47" s="870" t="s">
        <v>2796</v>
      </c>
      <c r="J47" s="871" t="s">
        <v>2845</v>
      </c>
      <c r="K47" s="881" t="s">
        <v>2854</v>
      </c>
      <c r="L47" s="871"/>
      <c r="N47" s="872"/>
    </row>
    <row r="48" spans="1:14" s="124" customFormat="1" ht="27.6">
      <c r="A48" s="827">
        <f t="shared" si="1"/>
        <v>42</v>
      </c>
      <c r="B48" s="806" t="s">
        <v>2793</v>
      </c>
      <c r="C48" s="830" t="str">
        <f t="shared" si="0"/>
        <v>07.2018</v>
      </c>
      <c r="D48" s="828" t="s">
        <v>101</v>
      </c>
      <c r="E48" s="827">
        <v>16561</v>
      </c>
      <c r="F48" s="647">
        <v>21273114.199999999</v>
      </c>
      <c r="G48" s="806" t="s">
        <v>2805</v>
      </c>
      <c r="H48" s="663" t="s">
        <v>2801</v>
      </c>
      <c r="I48" s="828" t="s">
        <v>2796</v>
      </c>
      <c r="J48" s="829" t="s">
        <v>2846</v>
      </c>
      <c r="K48" s="841" t="s">
        <v>2854</v>
      </c>
      <c r="L48" s="829"/>
      <c r="N48" s="840"/>
    </row>
    <row r="49" spans="1:14" s="124" customFormat="1" ht="41.4">
      <c r="A49" s="827">
        <f t="shared" si="1"/>
        <v>43</v>
      </c>
      <c r="B49" s="806" t="s">
        <v>2847</v>
      </c>
      <c r="C49" s="830" t="str">
        <f t="shared" si="0"/>
        <v>10.2017</v>
      </c>
      <c r="D49" s="828" t="s">
        <v>101</v>
      </c>
      <c r="E49" s="827">
        <v>16561</v>
      </c>
      <c r="F49" s="647">
        <v>2990329.6</v>
      </c>
      <c r="G49" s="806" t="s">
        <v>2805</v>
      </c>
      <c r="H49" s="663" t="s">
        <v>2852</v>
      </c>
      <c r="I49" s="828" t="s">
        <v>2851</v>
      </c>
      <c r="J49" s="829" t="s">
        <v>2849</v>
      </c>
      <c r="K49" s="829" t="s">
        <v>2853</v>
      </c>
      <c r="L49" s="829"/>
      <c r="N49" s="840"/>
    </row>
    <row r="50" spans="1:14" s="124" customFormat="1" ht="41.4">
      <c r="A50" s="827">
        <f t="shared" si="1"/>
        <v>44</v>
      </c>
      <c r="B50" s="806" t="s">
        <v>2848</v>
      </c>
      <c r="C50" s="830" t="str">
        <f t="shared" si="0"/>
        <v>10.2017</v>
      </c>
      <c r="D50" s="828" t="s">
        <v>101</v>
      </c>
      <c r="E50" s="827">
        <v>16561</v>
      </c>
      <c r="F50" s="647">
        <v>1495164.8</v>
      </c>
      <c r="G50" s="806" t="s">
        <v>2805</v>
      </c>
      <c r="H50" s="663" t="s">
        <v>2852</v>
      </c>
      <c r="I50" s="828" t="s">
        <v>2851</v>
      </c>
      <c r="J50" s="829" t="s">
        <v>2850</v>
      </c>
      <c r="K50" s="829" t="s">
        <v>2853</v>
      </c>
      <c r="L50" s="829"/>
      <c r="N50" s="840"/>
    </row>
    <row r="51" spans="1:14" s="124" customFormat="1" ht="41.4">
      <c r="A51" s="827">
        <f t="shared" si="1"/>
        <v>45</v>
      </c>
      <c r="B51" s="806" t="s">
        <v>2934</v>
      </c>
      <c r="C51" s="830" t="str">
        <f t="shared" si="0"/>
        <v>02.2017</v>
      </c>
      <c r="D51" s="828" t="s">
        <v>2173</v>
      </c>
      <c r="E51" s="827">
        <v>19907</v>
      </c>
      <c r="F51" s="647">
        <v>500000</v>
      </c>
      <c r="G51" s="806" t="s">
        <v>2900</v>
      </c>
      <c r="H51" s="663" t="s">
        <v>2882</v>
      </c>
      <c r="I51" s="828" t="s">
        <v>2866</v>
      </c>
      <c r="J51" s="829" t="s">
        <v>2911</v>
      </c>
      <c r="K51" s="827"/>
      <c r="L51" s="829"/>
      <c r="N51" s="840"/>
    </row>
    <row r="52" spans="1:14" s="124" customFormat="1" ht="27.6" hidden="1">
      <c r="A52" s="827">
        <f t="shared" si="1"/>
        <v>46</v>
      </c>
      <c r="B52" s="806" t="s">
        <v>2935</v>
      </c>
      <c r="C52" s="830" t="str">
        <f t="shared" si="0"/>
        <v>08.2016</v>
      </c>
      <c r="D52" s="828" t="s">
        <v>2173</v>
      </c>
      <c r="E52" s="827">
        <v>19907</v>
      </c>
      <c r="F52" s="647">
        <v>797187.6</v>
      </c>
      <c r="G52" s="806" t="s">
        <v>2901</v>
      </c>
      <c r="H52" s="663" t="s">
        <v>2883</v>
      </c>
      <c r="I52" s="828" t="s">
        <v>2867</v>
      </c>
      <c r="J52" s="829" t="s">
        <v>2912</v>
      </c>
      <c r="K52" s="827"/>
      <c r="L52" s="829"/>
      <c r="N52" s="840"/>
    </row>
    <row r="53" spans="1:14" s="124" customFormat="1" ht="41.4" hidden="1">
      <c r="A53" s="827">
        <f t="shared" si="1"/>
        <v>47</v>
      </c>
      <c r="B53" s="806" t="s">
        <v>2936</v>
      </c>
      <c r="C53" s="830" t="str">
        <f t="shared" si="0"/>
        <v>12.2016</v>
      </c>
      <c r="D53" s="828" t="s">
        <v>2173</v>
      </c>
      <c r="E53" s="827">
        <v>19907</v>
      </c>
      <c r="F53" s="647">
        <v>390000</v>
      </c>
      <c r="G53" s="806" t="s">
        <v>2902</v>
      </c>
      <c r="H53" s="663" t="s">
        <v>2884</v>
      </c>
      <c r="I53" s="828" t="s">
        <v>2868</v>
      </c>
      <c r="J53" s="829" t="s">
        <v>2913</v>
      </c>
      <c r="K53" s="827"/>
      <c r="L53" s="829"/>
      <c r="N53" s="840"/>
    </row>
    <row r="54" spans="1:14" s="649" customFormat="1" ht="41.4" hidden="1">
      <c r="A54" s="868">
        <f t="shared" si="1"/>
        <v>48</v>
      </c>
      <c r="B54" s="869" t="s">
        <v>2937</v>
      </c>
      <c r="C54" s="717" t="str">
        <f t="shared" si="0"/>
        <v>09.2017</v>
      </c>
      <c r="D54" s="870" t="s">
        <v>2173</v>
      </c>
      <c r="E54" s="868">
        <v>19907</v>
      </c>
      <c r="F54" s="742">
        <v>321000</v>
      </c>
      <c r="G54" s="869" t="s">
        <v>2903</v>
      </c>
      <c r="H54" s="731" t="s">
        <v>2885</v>
      </c>
      <c r="I54" s="870" t="s">
        <v>2869</v>
      </c>
      <c r="J54" s="871" t="s">
        <v>2914</v>
      </c>
      <c r="K54" s="868"/>
      <c r="L54" s="871"/>
      <c r="N54" s="872"/>
    </row>
    <row r="55" spans="1:14" s="649" customFormat="1" ht="27.6" hidden="1">
      <c r="A55" s="868">
        <f t="shared" si="1"/>
        <v>49</v>
      </c>
      <c r="B55" s="869" t="s">
        <v>2938</v>
      </c>
      <c r="C55" s="717" t="str">
        <f t="shared" si="0"/>
        <v>11.2017</v>
      </c>
      <c r="D55" s="870" t="s">
        <v>2173</v>
      </c>
      <c r="E55" s="868">
        <v>19907</v>
      </c>
      <c r="F55" s="742">
        <v>1056250</v>
      </c>
      <c r="G55" s="869" t="s">
        <v>2904</v>
      </c>
      <c r="H55" s="731" t="s">
        <v>2886</v>
      </c>
      <c r="I55" s="870" t="s">
        <v>2870</v>
      </c>
      <c r="J55" s="871" t="s">
        <v>2915</v>
      </c>
      <c r="K55" s="868"/>
      <c r="L55" s="871"/>
      <c r="N55" s="872"/>
    </row>
    <row r="56" spans="1:14" s="649" customFormat="1" ht="27.6" hidden="1">
      <c r="A56" s="868">
        <f t="shared" si="1"/>
        <v>50</v>
      </c>
      <c r="B56" s="869" t="s">
        <v>2709</v>
      </c>
      <c r="C56" s="717" t="str">
        <f t="shared" si="0"/>
        <v>12.2017</v>
      </c>
      <c r="D56" s="870" t="s">
        <v>2173</v>
      </c>
      <c r="E56" s="868">
        <v>19907</v>
      </c>
      <c r="F56" s="742">
        <v>1098500</v>
      </c>
      <c r="G56" s="869" t="s">
        <v>2904</v>
      </c>
      <c r="H56" s="731" t="s">
        <v>2886</v>
      </c>
      <c r="I56" s="870" t="s">
        <v>2870</v>
      </c>
      <c r="J56" s="871" t="s">
        <v>2916</v>
      </c>
      <c r="K56" s="868"/>
      <c r="L56" s="871"/>
      <c r="N56" s="872"/>
    </row>
    <row r="57" spans="1:14" s="124" customFormat="1" ht="41.4">
      <c r="A57" s="827">
        <f t="shared" si="1"/>
        <v>51</v>
      </c>
      <c r="B57" s="806" t="s">
        <v>2939</v>
      </c>
      <c r="C57" s="830" t="str">
        <f t="shared" si="0"/>
        <v>02.2018</v>
      </c>
      <c r="D57" s="828" t="s">
        <v>2173</v>
      </c>
      <c r="E57" s="827">
        <v>19907</v>
      </c>
      <c r="F57" s="647">
        <v>184723.76</v>
      </c>
      <c r="G57" s="806" t="s">
        <v>2901</v>
      </c>
      <c r="H57" s="663" t="s">
        <v>2887</v>
      </c>
      <c r="I57" s="828" t="s">
        <v>2867</v>
      </c>
      <c r="J57" s="829" t="s">
        <v>2917</v>
      </c>
      <c r="K57" s="827"/>
      <c r="L57" s="829"/>
      <c r="N57" s="840"/>
    </row>
    <row r="58" spans="1:14" s="124" customFormat="1" ht="27.6">
      <c r="A58" s="827">
        <f t="shared" si="1"/>
        <v>52</v>
      </c>
      <c r="B58" s="806" t="s">
        <v>2940</v>
      </c>
      <c r="C58" s="830" t="str">
        <f t="shared" si="0"/>
        <v>05.2018</v>
      </c>
      <c r="D58" s="828" t="s">
        <v>2173</v>
      </c>
      <c r="E58" s="827">
        <v>19907</v>
      </c>
      <c r="F58" s="647">
        <v>745078</v>
      </c>
      <c r="G58" s="806" t="s">
        <v>2901</v>
      </c>
      <c r="H58" s="663" t="s">
        <v>2887</v>
      </c>
      <c r="I58" s="828" t="s">
        <v>2867</v>
      </c>
      <c r="J58" s="829" t="s">
        <v>2918</v>
      </c>
      <c r="K58" s="827"/>
      <c r="L58" s="829"/>
      <c r="N58" s="840"/>
    </row>
    <row r="59" spans="1:14" s="649" customFormat="1" ht="41.4" hidden="1">
      <c r="A59" s="868">
        <f t="shared" si="1"/>
        <v>53</v>
      </c>
      <c r="B59" s="869" t="s">
        <v>2941</v>
      </c>
      <c r="C59" s="717" t="str">
        <f t="shared" si="0"/>
        <v>10.2016</v>
      </c>
      <c r="D59" s="870" t="s">
        <v>2173</v>
      </c>
      <c r="E59" s="868">
        <v>19907</v>
      </c>
      <c r="F59" s="742">
        <v>516300</v>
      </c>
      <c r="G59" s="869" t="s">
        <v>2905</v>
      </c>
      <c r="H59" s="731" t="s">
        <v>2888</v>
      </c>
      <c r="I59" s="870" t="s">
        <v>2871</v>
      </c>
      <c r="J59" s="871" t="s">
        <v>2919</v>
      </c>
      <c r="K59" s="868"/>
      <c r="L59" s="871"/>
      <c r="N59" s="872"/>
    </row>
    <row r="60" spans="1:14" s="124" customFormat="1" ht="41.4" hidden="1">
      <c r="A60" s="827">
        <f t="shared" si="1"/>
        <v>54</v>
      </c>
      <c r="B60" s="806" t="s">
        <v>2942</v>
      </c>
      <c r="C60" s="830" t="str">
        <f t="shared" si="0"/>
        <v>01.2016</v>
      </c>
      <c r="D60" s="828" t="s">
        <v>2173</v>
      </c>
      <c r="E60" s="827">
        <v>19907</v>
      </c>
      <c r="F60" s="647">
        <v>145768.91</v>
      </c>
      <c r="G60" s="806" t="s">
        <v>2906</v>
      </c>
      <c r="H60" s="663" t="s">
        <v>2889</v>
      </c>
      <c r="I60" s="828" t="s">
        <v>2872</v>
      </c>
      <c r="J60" s="829" t="s">
        <v>2920</v>
      </c>
      <c r="K60" s="827"/>
      <c r="L60" s="829"/>
      <c r="N60" s="840"/>
    </row>
    <row r="61" spans="1:14" s="124" customFormat="1" ht="27.6" hidden="1">
      <c r="A61" s="827">
        <f t="shared" si="1"/>
        <v>55</v>
      </c>
      <c r="B61" s="806" t="s">
        <v>2943</v>
      </c>
      <c r="C61" s="830" t="str">
        <f t="shared" si="0"/>
        <v>01.2016</v>
      </c>
      <c r="D61" s="828" t="s">
        <v>2173</v>
      </c>
      <c r="E61" s="827">
        <v>19907</v>
      </c>
      <c r="F61" s="647">
        <v>147993</v>
      </c>
      <c r="G61" s="806" t="s">
        <v>2907</v>
      </c>
      <c r="H61" s="663" t="s">
        <v>2890</v>
      </c>
      <c r="I61" s="828" t="s">
        <v>2873</v>
      </c>
      <c r="J61" s="829" t="s">
        <v>2921</v>
      </c>
      <c r="K61" s="827"/>
      <c r="L61" s="829"/>
      <c r="N61" s="840"/>
    </row>
    <row r="62" spans="1:14" s="649" customFormat="1" ht="41.4" hidden="1">
      <c r="A62" s="868">
        <f t="shared" si="1"/>
        <v>56</v>
      </c>
      <c r="B62" s="869" t="s">
        <v>2944</v>
      </c>
      <c r="C62" s="717" t="str">
        <f t="shared" si="0"/>
        <v>04.2018</v>
      </c>
      <c r="D62" s="870" t="s">
        <v>2173</v>
      </c>
      <c r="E62" s="868">
        <v>19907</v>
      </c>
      <c r="F62" s="742">
        <v>287627</v>
      </c>
      <c r="G62" s="869" t="s">
        <v>2907</v>
      </c>
      <c r="H62" s="731" t="s">
        <v>2891</v>
      </c>
      <c r="I62" s="870" t="s">
        <v>2874</v>
      </c>
      <c r="J62" s="871" t="s">
        <v>2922</v>
      </c>
      <c r="K62" s="868"/>
      <c r="L62" s="871"/>
      <c r="N62" s="872"/>
    </row>
    <row r="63" spans="1:14" s="124" customFormat="1" ht="27.6" hidden="1">
      <c r="A63" s="827">
        <f t="shared" si="1"/>
        <v>57</v>
      </c>
      <c r="B63" s="806" t="s">
        <v>2945</v>
      </c>
      <c r="C63" s="830" t="str">
        <f t="shared" si="0"/>
        <v>05.2016</v>
      </c>
      <c r="D63" s="828" t="s">
        <v>2173</v>
      </c>
      <c r="E63" s="827">
        <v>19907</v>
      </c>
      <c r="F63" s="647">
        <v>450000</v>
      </c>
      <c r="G63" s="806" t="s">
        <v>2908</v>
      </c>
      <c r="H63" s="663" t="s">
        <v>2892</v>
      </c>
      <c r="I63" s="828" t="s">
        <v>2875</v>
      </c>
      <c r="J63" s="829" t="s">
        <v>2923</v>
      </c>
      <c r="K63" s="827"/>
      <c r="L63" s="829"/>
      <c r="N63" s="840"/>
    </row>
    <row r="64" spans="1:14" s="124" customFormat="1" ht="27.6" hidden="1">
      <c r="A64" s="827">
        <f t="shared" si="1"/>
        <v>58</v>
      </c>
      <c r="B64" s="806" t="s">
        <v>2946</v>
      </c>
      <c r="C64" s="830" t="str">
        <f t="shared" si="0"/>
        <v>11.2016</v>
      </c>
      <c r="D64" s="828" t="s">
        <v>2173</v>
      </c>
      <c r="E64" s="827">
        <v>19907</v>
      </c>
      <c r="F64" s="647">
        <v>44700</v>
      </c>
      <c r="G64" s="806" t="s">
        <v>2908</v>
      </c>
      <c r="H64" s="663" t="s">
        <v>2893</v>
      </c>
      <c r="I64" s="828" t="s">
        <v>2876</v>
      </c>
      <c r="J64" s="829" t="s">
        <v>2924</v>
      </c>
      <c r="K64" s="827"/>
      <c r="L64" s="829"/>
      <c r="N64" s="840"/>
    </row>
    <row r="65" spans="1:14" s="649" customFormat="1" ht="27.6" hidden="1">
      <c r="A65" s="868">
        <f t="shared" si="1"/>
        <v>59</v>
      </c>
      <c r="B65" s="869" t="s">
        <v>2947</v>
      </c>
      <c r="C65" s="717" t="str">
        <f t="shared" si="0"/>
        <v>08.2017</v>
      </c>
      <c r="D65" s="870" t="s">
        <v>2173</v>
      </c>
      <c r="E65" s="868">
        <v>19907</v>
      </c>
      <c r="F65" s="742">
        <v>1500000</v>
      </c>
      <c r="G65" s="869" t="s">
        <v>2909</v>
      </c>
      <c r="H65" s="731" t="s">
        <v>2894</v>
      </c>
      <c r="I65" s="870" t="s">
        <v>2877</v>
      </c>
      <c r="J65" s="871" t="s">
        <v>2925</v>
      </c>
      <c r="K65" s="868"/>
      <c r="L65" s="871"/>
      <c r="N65" s="872"/>
    </row>
    <row r="66" spans="1:14" s="124" customFormat="1" ht="27.6" hidden="1">
      <c r="A66" s="827">
        <f t="shared" si="1"/>
        <v>60</v>
      </c>
      <c r="B66" s="806" t="s">
        <v>2069</v>
      </c>
      <c r="C66" s="830" t="str">
        <f t="shared" si="0"/>
        <v>03.2016</v>
      </c>
      <c r="D66" s="828" t="s">
        <v>2173</v>
      </c>
      <c r="E66" s="827">
        <v>19907</v>
      </c>
      <c r="F66" s="647">
        <v>1200000</v>
      </c>
      <c r="G66" s="806" t="s">
        <v>2805</v>
      </c>
      <c r="H66" s="663" t="s">
        <v>2895</v>
      </c>
      <c r="I66" s="828" t="s">
        <v>2878</v>
      </c>
      <c r="J66" s="829" t="s">
        <v>2926</v>
      </c>
      <c r="K66" s="827"/>
      <c r="L66" s="829"/>
      <c r="N66" s="840"/>
    </row>
    <row r="67" spans="1:14" s="649" customFormat="1" ht="41.4" hidden="1">
      <c r="A67" s="868">
        <f t="shared" si="1"/>
        <v>61</v>
      </c>
      <c r="B67" s="869" t="s">
        <v>2948</v>
      </c>
      <c r="C67" s="717" t="str">
        <f t="shared" si="0"/>
        <v>09.2017</v>
      </c>
      <c r="D67" s="870" t="s">
        <v>2173</v>
      </c>
      <c r="E67" s="868">
        <v>19907</v>
      </c>
      <c r="F67" s="742">
        <v>114000</v>
      </c>
      <c r="G67" s="869" t="s">
        <v>2900</v>
      </c>
      <c r="H67" s="731" t="s">
        <v>2896</v>
      </c>
      <c r="I67" s="870" t="s">
        <v>2879</v>
      </c>
      <c r="J67" s="871" t="s">
        <v>2927</v>
      </c>
      <c r="K67" s="868"/>
      <c r="L67" s="871"/>
      <c r="N67" s="872"/>
    </row>
    <row r="68" spans="1:14" s="124" customFormat="1" ht="41.4">
      <c r="A68" s="827">
        <f t="shared" si="1"/>
        <v>62</v>
      </c>
      <c r="B68" s="806" t="s">
        <v>2949</v>
      </c>
      <c r="C68" s="830" t="str">
        <f t="shared" si="0"/>
        <v>12.2017</v>
      </c>
      <c r="D68" s="828" t="s">
        <v>2173</v>
      </c>
      <c r="E68" s="827">
        <v>19907</v>
      </c>
      <c r="F68" s="647">
        <v>42000</v>
      </c>
      <c r="G68" s="806" t="s">
        <v>2900</v>
      </c>
      <c r="H68" s="663" t="s">
        <v>2896</v>
      </c>
      <c r="I68" s="828" t="s">
        <v>2879</v>
      </c>
      <c r="J68" s="829" t="s">
        <v>2927</v>
      </c>
      <c r="K68" s="827"/>
      <c r="L68" s="829"/>
      <c r="N68" s="840"/>
    </row>
    <row r="69" spans="1:14" s="649" customFormat="1" ht="41.4" hidden="1">
      <c r="A69" s="868">
        <f t="shared" si="1"/>
        <v>63</v>
      </c>
      <c r="B69" s="869" t="s">
        <v>2944</v>
      </c>
      <c r="C69" s="717" t="str">
        <f t="shared" si="0"/>
        <v>04.2018</v>
      </c>
      <c r="D69" s="870" t="s">
        <v>2173</v>
      </c>
      <c r="E69" s="868">
        <v>19907</v>
      </c>
      <c r="F69" s="742">
        <v>1000000</v>
      </c>
      <c r="G69" s="869" t="s">
        <v>2906</v>
      </c>
      <c r="H69" s="731" t="s">
        <v>2897</v>
      </c>
      <c r="I69" s="870" t="s">
        <v>2880</v>
      </c>
      <c r="J69" s="871" t="s">
        <v>2928</v>
      </c>
      <c r="K69" s="868"/>
      <c r="L69" s="871"/>
      <c r="N69" s="872"/>
    </row>
    <row r="70" spans="1:14" s="649" customFormat="1" ht="27.6" hidden="1">
      <c r="A70" s="868">
        <f t="shared" si="1"/>
        <v>64</v>
      </c>
      <c r="B70" s="869" t="s">
        <v>2950</v>
      </c>
      <c r="C70" s="717" t="str">
        <f t="shared" si="0"/>
        <v>06.2018</v>
      </c>
      <c r="D70" s="870" t="s">
        <v>2173</v>
      </c>
      <c r="E70" s="868">
        <v>19907</v>
      </c>
      <c r="F70" s="742">
        <v>1722400</v>
      </c>
      <c r="G70" s="869" t="s">
        <v>2910</v>
      </c>
      <c r="H70" s="731" t="s">
        <v>2898</v>
      </c>
      <c r="I70" s="870" t="s">
        <v>2881</v>
      </c>
      <c r="J70" s="871" t="s">
        <v>2929</v>
      </c>
      <c r="K70" s="868"/>
      <c r="L70" s="871"/>
      <c r="N70" s="872"/>
    </row>
    <row r="71" spans="1:14" s="649" customFormat="1" ht="41.4" hidden="1">
      <c r="A71" s="868">
        <f t="shared" si="1"/>
        <v>65</v>
      </c>
      <c r="B71" s="869" t="s">
        <v>2951</v>
      </c>
      <c r="C71" s="717" t="str">
        <f t="shared" ref="C71:C134" si="2">+MID(B71,4,8)</f>
        <v>07.2018</v>
      </c>
      <c r="D71" s="870" t="s">
        <v>2173</v>
      </c>
      <c r="E71" s="868">
        <v>19907</v>
      </c>
      <c r="F71" s="742">
        <v>400000</v>
      </c>
      <c r="G71" s="869" t="s">
        <v>2900</v>
      </c>
      <c r="H71" s="731" t="s">
        <v>2899</v>
      </c>
      <c r="I71" s="870" t="s">
        <v>2866</v>
      </c>
      <c r="J71" s="871" t="s">
        <v>2930</v>
      </c>
      <c r="K71" s="868"/>
      <c r="L71" s="871"/>
      <c r="N71" s="872"/>
    </row>
    <row r="72" spans="1:14" s="649" customFormat="1" ht="41.4" hidden="1">
      <c r="A72" s="868">
        <f t="shared" si="1"/>
        <v>66</v>
      </c>
      <c r="B72" s="869" t="s">
        <v>2951</v>
      </c>
      <c r="C72" s="717" t="str">
        <f t="shared" si="2"/>
        <v>07.2018</v>
      </c>
      <c r="D72" s="870" t="s">
        <v>2173</v>
      </c>
      <c r="E72" s="868">
        <v>19907</v>
      </c>
      <c r="F72" s="742">
        <v>500000</v>
      </c>
      <c r="G72" s="869" t="s">
        <v>2900</v>
      </c>
      <c r="H72" s="731" t="s">
        <v>2899</v>
      </c>
      <c r="I72" s="870" t="s">
        <v>2866</v>
      </c>
      <c r="J72" s="871" t="s">
        <v>2931</v>
      </c>
      <c r="K72" s="868"/>
      <c r="L72" s="871"/>
      <c r="N72" s="872"/>
    </row>
    <row r="73" spans="1:14" s="649" customFormat="1" ht="41.4" hidden="1">
      <c r="A73" s="868">
        <f t="shared" ref="A73:A136" si="3">+A72+1</f>
        <v>67</v>
      </c>
      <c r="B73" s="869" t="s">
        <v>2951</v>
      </c>
      <c r="C73" s="717" t="str">
        <f t="shared" si="2"/>
        <v>07.2018</v>
      </c>
      <c r="D73" s="870" t="s">
        <v>2173</v>
      </c>
      <c r="E73" s="868">
        <v>19907</v>
      </c>
      <c r="F73" s="742">
        <v>360000</v>
      </c>
      <c r="G73" s="869" t="s">
        <v>2900</v>
      </c>
      <c r="H73" s="731" t="s">
        <v>2899</v>
      </c>
      <c r="I73" s="870" t="s">
        <v>2866</v>
      </c>
      <c r="J73" s="871" t="s">
        <v>2932</v>
      </c>
      <c r="K73" s="868"/>
      <c r="L73" s="871"/>
      <c r="N73" s="872"/>
    </row>
    <row r="74" spans="1:14" s="649" customFormat="1" ht="41.4" hidden="1">
      <c r="A74" s="868">
        <f t="shared" si="3"/>
        <v>68</v>
      </c>
      <c r="B74" s="869" t="s">
        <v>2951</v>
      </c>
      <c r="C74" s="717" t="str">
        <f t="shared" si="2"/>
        <v>07.2018</v>
      </c>
      <c r="D74" s="870" t="s">
        <v>2173</v>
      </c>
      <c r="E74" s="868">
        <v>19907</v>
      </c>
      <c r="F74" s="742">
        <v>499980</v>
      </c>
      <c r="G74" s="869" t="s">
        <v>2900</v>
      </c>
      <c r="H74" s="731" t="s">
        <v>2899</v>
      </c>
      <c r="I74" s="870" t="s">
        <v>2866</v>
      </c>
      <c r="J74" s="871" t="s">
        <v>2933</v>
      </c>
      <c r="K74" s="868"/>
      <c r="L74" s="871"/>
      <c r="N74" s="872"/>
    </row>
    <row r="75" spans="1:14" s="124" customFormat="1" ht="41.4" hidden="1">
      <c r="A75" s="827">
        <f t="shared" si="3"/>
        <v>69</v>
      </c>
      <c r="B75" s="806" t="s">
        <v>2064</v>
      </c>
      <c r="C75" s="830" t="str">
        <f t="shared" si="2"/>
        <v>02.2016</v>
      </c>
      <c r="D75" s="828" t="s">
        <v>3013</v>
      </c>
      <c r="E75" s="827">
        <v>19909</v>
      </c>
      <c r="F75" s="647">
        <v>800000</v>
      </c>
      <c r="G75" s="806" t="s">
        <v>2805</v>
      </c>
      <c r="H75" s="663" t="s">
        <v>2977</v>
      </c>
      <c r="I75" s="828" t="s">
        <v>2952</v>
      </c>
      <c r="J75" s="829" t="s">
        <v>3059</v>
      </c>
      <c r="K75" s="827"/>
      <c r="L75" s="829"/>
      <c r="N75" s="840"/>
    </row>
    <row r="76" spans="1:14" s="124" customFormat="1" ht="41.4" hidden="1">
      <c r="A76" s="827">
        <f t="shared" si="3"/>
        <v>70</v>
      </c>
      <c r="B76" s="806" t="s">
        <v>3014</v>
      </c>
      <c r="C76" s="830" t="str">
        <f t="shared" si="2"/>
        <v>06.2016</v>
      </c>
      <c r="D76" s="828" t="s">
        <v>3013</v>
      </c>
      <c r="E76" s="827">
        <v>19909</v>
      </c>
      <c r="F76" s="647">
        <v>718800</v>
      </c>
      <c r="G76" s="806" t="s">
        <v>3001</v>
      </c>
      <c r="H76" s="663" t="s">
        <v>2978</v>
      </c>
      <c r="I76" s="828" t="s">
        <v>2953</v>
      </c>
      <c r="J76" s="829" t="s">
        <v>3060</v>
      </c>
      <c r="K76" s="827"/>
      <c r="L76" s="829"/>
      <c r="N76" s="840"/>
    </row>
    <row r="77" spans="1:14" s="124" customFormat="1" ht="41.4" hidden="1">
      <c r="A77" s="827">
        <f t="shared" si="3"/>
        <v>71</v>
      </c>
      <c r="B77" s="806" t="s">
        <v>3015</v>
      </c>
      <c r="C77" s="830" t="str">
        <f t="shared" si="2"/>
        <v>07.2016</v>
      </c>
      <c r="D77" s="828" t="s">
        <v>3013</v>
      </c>
      <c r="E77" s="827">
        <v>19909</v>
      </c>
      <c r="F77" s="647">
        <v>801800</v>
      </c>
      <c r="G77" s="806" t="s">
        <v>3001</v>
      </c>
      <c r="H77" s="663" t="s">
        <v>2978</v>
      </c>
      <c r="I77" s="828" t="s">
        <v>2954</v>
      </c>
      <c r="J77" s="829" t="s">
        <v>3061</v>
      </c>
      <c r="K77" s="827"/>
      <c r="L77" s="829"/>
      <c r="N77" s="840"/>
    </row>
    <row r="78" spans="1:14" s="124" customFormat="1" ht="41.4" hidden="1">
      <c r="A78" s="827">
        <f t="shared" si="3"/>
        <v>72</v>
      </c>
      <c r="B78" s="806" t="s">
        <v>3015</v>
      </c>
      <c r="C78" s="830" t="str">
        <f t="shared" si="2"/>
        <v>07.2016</v>
      </c>
      <c r="D78" s="828" t="s">
        <v>3013</v>
      </c>
      <c r="E78" s="827">
        <v>19909</v>
      </c>
      <c r="F78" s="647">
        <v>370000</v>
      </c>
      <c r="G78" s="806" t="s">
        <v>3001</v>
      </c>
      <c r="H78" s="663" t="s">
        <v>2978</v>
      </c>
      <c r="I78" s="828" t="s">
        <v>2953</v>
      </c>
      <c r="J78" s="829" t="s">
        <v>3062</v>
      </c>
      <c r="K78" s="827"/>
      <c r="L78" s="829"/>
      <c r="N78" s="840"/>
    </row>
    <row r="79" spans="1:14" s="649" customFormat="1" ht="41.4" hidden="1">
      <c r="A79" s="868">
        <f t="shared" si="3"/>
        <v>73</v>
      </c>
      <c r="B79" s="869" t="s">
        <v>3016</v>
      </c>
      <c r="C79" s="717" t="str">
        <f t="shared" si="2"/>
        <v>04.2017</v>
      </c>
      <c r="D79" s="870" t="s">
        <v>3013</v>
      </c>
      <c r="E79" s="868">
        <v>19909</v>
      </c>
      <c r="F79" s="742">
        <v>935800</v>
      </c>
      <c r="G79" s="869" t="s">
        <v>3001</v>
      </c>
      <c r="H79" s="731" t="s">
        <v>2978</v>
      </c>
      <c r="I79" s="870" t="s">
        <v>2953</v>
      </c>
      <c r="J79" s="871" t="s">
        <v>3063</v>
      </c>
      <c r="K79" s="868"/>
      <c r="L79" s="871"/>
      <c r="N79" s="872"/>
    </row>
    <row r="80" spans="1:14" s="649" customFormat="1" ht="41.4" hidden="1">
      <c r="A80" s="868">
        <f t="shared" si="3"/>
        <v>74</v>
      </c>
      <c r="B80" s="869" t="s">
        <v>3017</v>
      </c>
      <c r="C80" s="717" t="str">
        <f t="shared" si="2"/>
        <v>07.2017</v>
      </c>
      <c r="D80" s="870" t="s">
        <v>3013</v>
      </c>
      <c r="E80" s="868">
        <v>19909</v>
      </c>
      <c r="F80" s="742">
        <v>1042500</v>
      </c>
      <c r="G80" s="869" t="s">
        <v>3001</v>
      </c>
      <c r="H80" s="731" t="s">
        <v>2978</v>
      </c>
      <c r="I80" s="870" t="s">
        <v>2954</v>
      </c>
      <c r="J80" s="871" t="s">
        <v>3064</v>
      </c>
      <c r="K80" s="868"/>
      <c r="L80" s="871"/>
      <c r="N80" s="872"/>
    </row>
    <row r="81" spans="1:14" s="124" customFormat="1" ht="41.4">
      <c r="A81" s="827">
        <f t="shared" si="3"/>
        <v>75</v>
      </c>
      <c r="B81" s="806" t="s">
        <v>2780</v>
      </c>
      <c r="C81" s="830" t="str">
        <f t="shared" si="2"/>
        <v>07.2017</v>
      </c>
      <c r="D81" s="828" t="s">
        <v>3013</v>
      </c>
      <c r="E81" s="827">
        <v>19909</v>
      </c>
      <c r="F81" s="647">
        <v>1144200</v>
      </c>
      <c r="G81" s="806" t="s">
        <v>2906</v>
      </c>
      <c r="H81" s="663" t="s">
        <v>2979</v>
      </c>
      <c r="I81" s="828" t="s">
        <v>2955</v>
      </c>
      <c r="J81" s="829" t="s">
        <v>3065</v>
      </c>
      <c r="K81" s="827"/>
      <c r="L81" s="829"/>
      <c r="N81" s="840"/>
    </row>
    <row r="82" spans="1:14" s="649" customFormat="1" ht="41.4" hidden="1">
      <c r="A82" s="868">
        <f t="shared" si="3"/>
        <v>76</v>
      </c>
      <c r="B82" s="869" t="s">
        <v>3018</v>
      </c>
      <c r="C82" s="717" t="str">
        <f t="shared" si="2"/>
        <v>08.2017</v>
      </c>
      <c r="D82" s="870" t="s">
        <v>3013</v>
      </c>
      <c r="E82" s="868">
        <v>19909</v>
      </c>
      <c r="F82" s="742">
        <v>1185900</v>
      </c>
      <c r="G82" s="869" t="s">
        <v>2906</v>
      </c>
      <c r="H82" s="731" t="s">
        <v>2979</v>
      </c>
      <c r="I82" s="870" t="s">
        <v>2955</v>
      </c>
      <c r="J82" s="871" t="s">
        <v>3066</v>
      </c>
      <c r="K82" s="868"/>
      <c r="L82" s="871"/>
      <c r="N82" s="872"/>
    </row>
    <row r="83" spans="1:14" s="649" customFormat="1" ht="41.4" hidden="1">
      <c r="A83" s="868">
        <f t="shared" si="3"/>
        <v>77</v>
      </c>
      <c r="B83" s="869" t="s">
        <v>3018</v>
      </c>
      <c r="C83" s="717" t="str">
        <f t="shared" si="2"/>
        <v>08.2017</v>
      </c>
      <c r="D83" s="870" t="s">
        <v>3013</v>
      </c>
      <c r="E83" s="868">
        <v>19909</v>
      </c>
      <c r="F83" s="742">
        <v>120000</v>
      </c>
      <c r="G83" s="869" t="s">
        <v>3002</v>
      </c>
      <c r="H83" s="731" t="s">
        <v>2980</v>
      </c>
      <c r="I83" s="870" t="s">
        <v>2956</v>
      </c>
      <c r="J83" s="871" t="s">
        <v>3067</v>
      </c>
      <c r="K83" s="868"/>
      <c r="L83" s="871"/>
      <c r="N83" s="872"/>
    </row>
    <row r="84" spans="1:14" s="649" customFormat="1" ht="41.4" hidden="1">
      <c r="A84" s="868">
        <f t="shared" si="3"/>
        <v>78</v>
      </c>
      <c r="B84" s="869" t="s">
        <v>3019</v>
      </c>
      <c r="C84" s="717" t="str">
        <f t="shared" si="2"/>
        <v>08.2017</v>
      </c>
      <c r="D84" s="870" t="s">
        <v>3013</v>
      </c>
      <c r="E84" s="868">
        <v>19909</v>
      </c>
      <c r="F84" s="742">
        <v>680000</v>
      </c>
      <c r="G84" s="869" t="s">
        <v>3002</v>
      </c>
      <c r="H84" s="731" t="s">
        <v>2980</v>
      </c>
      <c r="I84" s="870" t="s">
        <v>2956</v>
      </c>
      <c r="J84" s="871" t="s">
        <v>3068</v>
      </c>
      <c r="K84" s="868"/>
      <c r="L84" s="871"/>
      <c r="N84" s="872"/>
    </row>
    <row r="85" spans="1:14" s="649" customFormat="1" ht="41.4" hidden="1">
      <c r="A85" s="868">
        <f t="shared" si="3"/>
        <v>79</v>
      </c>
      <c r="B85" s="869" t="s">
        <v>2785</v>
      </c>
      <c r="C85" s="717" t="str">
        <f t="shared" si="2"/>
        <v>09.2017</v>
      </c>
      <c r="D85" s="870" t="s">
        <v>3013</v>
      </c>
      <c r="E85" s="868">
        <v>19909</v>
      </c>
      <c r="F85" s="742">
        <v>1279000</v>
      </c>
      <c r="G85" s="869" t="s">
        <v>2805</v>
      </c>
      <c r="H85" s="731" t="s">
        <v>2981</v>
      </c>
      <c r="I85" s="870" t="s">
        <v>2957</v>
      </c>
      <c r="J85" s="871" t="s">
        <v>3069</v>
      </c>
      <c r="K85" s="868"/>
      <c r="L85" s="871"/>
      <c r="N85" s="872"/>
    </row>
    <row r="86" spans="1:14" s="649" customFormat="1" ht="41.4" hidden="1">
      <c r="A86" s="868">
        <f t="shared" si="3"/>
        <v>80</v>
      </c>
      <c r="B86" s="869" t="s">
        <v>3020</v>
      </c>
      <c r="C86" s="717" t="str">
        <f t="shared" si="2"/>
        <v>09.2017</v>
      </c>
      <c r="D86" s="870" t="s">
        <v>3013</v>
      </c>
      <c r="E86" s="868">
        <v>19909</v>
      </c>
      <c r="F86" s="742">
        <v>1236200</v>
      </c>
      <c r="G86" s="869" t="s">
        <v>2906</v>
      </c>
      <c r="H86" s="731" t="s">
        <v>2979</v>
      </c>
      <c r="I86" s="870" t="s">
        <v>2955</v>
      </c>
      <c r="J86" s="871" t="s">
        <v>3070</v>
      </c>
      <c r="K86" s="868"/>
      <c r="L86" s="871"/>
      <c r="N86" s="872"/>
    </row>
    <row r="87" spans="1:14" s="124" customFormat="1" ht="41.4">
      <c r="A87" s="827">
        <f t="shared" si="3"/>
        <v>81</v>
      </c>
      <c r="B87" s="806" t="s">
        <v>2786</v>
      </c>
      <c r="C87" s="830" t="str">
        <f t="shared" si="2"/>
        <v>09.2017</v>
      </c>
      <c r="D87" s="828" t="s">
        <v>3013</v>
      </c>
      <c r="E87" s="827">
        <v>19909</v>
      </c>
      <c r="F87" s="647">
        <v>200000</v>
      </c>
      <c r="G87" s="806" t="s">
        <v>3003</v>
      </c>
      <c r="H87" s="663" t="s">
        <v>2982</v>
      </c>
      <c r="I87" s="828" t="s">
        <v>2958</v>
      </c>
      <c r="J87" s="829" t="s">
        <v>3071</v>
      </c>
      <c r="K87" s="827"/>
      <c r="L87" s="829"/>
      <c r="N87" s="840"/>
    </row>
    <row r="88" spans="1:14" s="649" customFormat="1" ht="41.4" hidden="1">
      <c r="A88" s="868">
        <f t="shared" si="3"/>
        <v>82</v>
      </c>
      <c r="B88" s="869" t="s">
        <v>3021</v>
      </c>
      <c r="C88" s="717" t="str">
        <f t="shared" si="2"/>
        <v>09.2017</v>
      </c>
      <c r="D88" s="870" t="s">
        <v>3013</v>
      </c>
      <c r="E88" s="868">
        <v>19909</v>
      </c>
      <c r="F88" s="742">
        <v>213800</v>
      </c>
      <c r="G88" s="869" t="s">
        <v>3003</v>
      </c>
      <c r="H88" s="731" t="s">
        <v>2983</v>
      </c>
      <c r="I88" s="870" t="s">
        <v>2959</v>
      </c>
      <c r="J88" s="871" t="s">
        <v>3072</v>
      </c>
      <c r="K88" s="868"/>
      <c r="L88" s="871"/>
      <c r="N88" s="872"/>
    </row>
    <row r="89" spans="1:14" s="649" customFormat="1" ht="41.4" hidden="1">
      <c r="A89" s="868">
        <f t="shared" si="3"/>
        <v>83</v>
      </c>
      <c r="B89" s="869" t="s">
        <v>2937</v>
      </c>
      <c r="C89" s="717" t="str">
        <f t="shared" si="2"/>
        <v>09.2017</v>
      </c>
      <c r="D89" s="870" t="s">
        <v>3013</v>
      </c>
      <c r="E89" s="868">
        <v>19909</v>
      </c>
      <c r="F89" s="742">
        <v>250000</v>
      </c>
      <c r="G89" s="869" t="s">
        <v>3003</v>
      </c>
      <c r="H89" s="731" t="s">
        <v>2982</v>
      </c>
      <c r="I89" s="870" t="s">
        <v>2958</v>
      </c>
      <c r="J89" s="871" t="s">
        <v>3073</v>
      </c>
      <c r="K89" s="868"/>
      <c r="L89" s="871"/>
      <c r="N89" s="872"/>
    </row>
    <row r="90" spans="1:14" s="649" customFormat="1" ht="41.4" hidden="1">
      <c r="A90" s="868">
        <f t="shared" si="3"/>
        <v>84</v>
      </c>
      <c r="B90" s="869" t="s">
        <v>3022</v>
      </c>
      <c r="C90" s="717" t="str">
        <f t="shared" si="2"/>
        <v>09.2017</v>
      </c>
      <c r="D90" s="870" t="s">
        <v>3013</v>
      </c>
      <c r="E90" s="868">
        <v>19909</v>
      </c>
      <c r="F90" s="742">
        <v>99000</v>
      </c>
      <c r="G90" s="869" t="s">
        <v>2906</v>
      </c>
      <c r="H90" s="731" t="s">
        <v>2979</v>
      </c>
      <c r="I90" s="870" t="s">
        <v>2955</v>
      </c>
      <c r="J90" s="871" t="s">
        <v>3074</v>
      </c>
      <c r="K90" s="868"/>
      <c r="L90" s="871"/>
      <c r="N90" s="872"/>
    </row>
    <row r="91" spans="1:14" s="649" customFormat="1" ht="41.4" hidden="1">
      <c r="A91" s="868">
        <f t="shared" si="3"/>
        <v>85</v>
      </c>
      <c r="B91" s="869" t="s">
        <v>3023</v>
      </c>
      <c r="C91" s="717" t="str">
        <f t="shared" si="2"/>
        <v>10.2017</v>
      </c>
      <c r="D91" s="870" t="s">
        <v>3013</v>
      </c>
      <c r="E91" s="868">
        <v>19909</v>
      </c>
      <c r="F91" s="742">
        <v>2200000</v>
      </c>
      <c r="G91" s="869" t="s">
        <v>2906</v>
      </c>
      <c r="H91" s="731" t="s">
        <v>2979</v>
      </c>
      <c r="I91" s="870" t="s">
        <v>2955</v>
      </c>
      <c r="J91" s="871" t="s">
        <v>3075</v>
      </c>
      <c r="K91" s="868"/>
      <c r="L91" s="871"/>
      <c r="N91" s="872"/>
    </row>
    <row r="92" spans="1:14" s="649" customFormat="1" ht="41.4" hidden="1">
      <c r="A92" s="868">
        <f t="shared" si="3"/>
        <v>86</v>
      </c>
      <c r="B92" s="869" t="s">
        <v>3024</v>
      </c>
      <c r="C92" s="717" t="str">
        <f t="shared" si="2"/>
        <v>11.2017</v>
      </c>
      <c r="D92" s="870" t="s">
        <v>3013</v>
      </c>
      <c r="E92" s="868">
        <v>19909</v>
      </c>
      <c r="F92" s="742">
        <v>1116000</v>
      </c>
      <c r="G92" s="869" t="s">
        <v>2906</v>
      </c>
      <c r="H92" s="731" t="s">
        <v>2984</v>
      </c>
      <c r="I92" s="870" t="s">
        <v>2960</v>
      </c>
      <c r="J92" s="871" t="s">
        <v>3076</v>
      </c>
      <c r="K92" s="868"/>
      <c r="L92" s="871"/>
      <c r="N92" s="872"/>
    </row>
    <row r="93" spans="1:14" s="649" customFormat="1" ht="41.4" hidden="1">
      <c r="A93" s="868">
        <f t="shared" si="3"/>
        <v>87</v>
      </c>
      <c r="B93" s="869" t="s">
        <v>3024</v>
      </c>
      <c r="C93" s="717" t="str">
        <f t="shared" si="2"/>
        <v>11.2017</v>
      </c>
      <c r="D93" s="870" t="s">
        <v>3013</v>
      </c>
      <c r="E93" s="868">
        <v>19909</v>
      </c>
      <c r="F93" s="742">
        <v>143500</v>
      </c>
      <c r="G93" s="869" t="s">
        <v>3004</v>
      </c>
      <c r="H93" s="731" t="s">
        <v>2985</v>
      </c>
      <c r="I93" s="870" t="s">
        <v>2961</v>
      </c>
      <c r="J93" s="871" t="s">
        <v>3077</v>
      </c>
      <c r="K93" s="868"/>
      <c r="L93" s="871"/>
      <c r="N93" s="872"/>
    </row>
    <row r="94" spans="1:14" s="649" customFormat="1" ht="41.4" hidden="1">
      <c r="A94" s="868">
        <f t="shared" si="3"/>
        <v>88</v>
      </c>
      <c r="B94" s="869" t="s">
        <v>3024</v>
      </c>
      <c r="C94" s="717" t="str">
        <f t="shared" si="2"/>
        <v>11.2017</v>
      </c>
      <c r="D94" s="870" t="s">
        <v>3013</v>
      </c>
      <c r="E94" s="868">
        <v>19909</v>
      </c>
      <c r="F94" s="742">
        <v>99000</v>
      </c>
      <c r="G94" s="869" t="s">
        <v>2906</v>
      </c>
      <c r="H94" s="731" t="s">
        <v>2979</v>
      </c>
      <c r="I94" s="870" t="s">
        <v>2955</v>
      </c>
      <c r="J94" s="871" t="s">
        <v>3078</v>
      </c>
      <c r="K94" s="868"/>
      <c r="L94" s="871"/>
      <c r="N94" s="872"/>
    </row>
    <row r="95" spans="1:14" s="649" customFormat="1" ht="41.4" hidden="1">
      <c r="A95" s="868">
        <f t="shared" si="3"/>
        <v>89</v>
      </c>
      <c r="B95" s="869" t="s">
        <v>3025</v>
      </c>
      <c r="C95" s="717" t="str">
        <f t="shared" si="2"/>
        <v>11.2017</v>
      </c>
      <c r="D95" s="870" t="s">
        <v>3013</v>
      </c>
      <c r="E95" s="868">
        <v>19909</v>
      </c>
      <c r="F95" s="742">
        <v>2695800</v>
      </c>
      <c r="G95" s="869" t="s">
        <v>2906</v>
      </c>
      <c r="H95" s="731" t="s">
        <v>2979</v>
      </c>
      <c r="I95" s="870" t="s">
        <v>2955</v>
      </c>
      <c r="J95" s="871" t="s">
        <v>3079</v>
      </c>
      <c r="K95" s="868"/>
      <c r="L95" s="871"/>
      <c r="N95" s="872"/>
    </row>
    <row r="96" spans="1:14" s="649" customFormat="1" ht="41.4" hidden="1">
      <c r="A96" s="868">
        <f t="shared" si="3"/>
        <v>90</v>
      </c>
      <c r="B96" s="869" t="s">
        <v>3026</v>
      </c>
      <c r="C96" s="717" t="str">
        <f t="shared" si="2"/>
        <v>11.2017</v>
      </c>
      <c r="D96" s="870" t="s">
        <v>3013</v>
      </c>
      <c r="E96" s="868">
        <v>19909</v>
      </c>
      <c r="F96" s="742">
        <v>800000</v>
      </c>
      <c r="G96" s="869" t="s">
        <v>3002</v>
      </c>
      <c r="H96" s="731" t="s">
        <v>2980</v>
      </c>
      <c r="I96" s="870" t="s">
        <v>2956</v>
      </c>
      <c r="J96" s="871" t="s">
        <v>3080</v>
      </c>
      <c r="K96" s="868"/>
      <c r="L96" s="871"/>
      <c r="N96" s="872"/>
    </row>
    <row r="97" spans="1:14" s="649" customFormat="1" ht="41.4" hidden="1">
      <c r="A97" s="868">
        <f t="shared" si="3"/>
        <v>91</v>
      </c>
      <c r="B97" s="869" t="s">
        <v>2703</v>
      </c>
      <c r="C97" s="717" t="str">
        <f t="shared" si="2"/>
        <v>12.2017</v>
      </c>
      <c r="D97" s="870" t="s">
        <v>3013</v>
      </c>
      <c r="E97" s="868">
        <v>19909</v>
      </c>
      <c r="F97" s="742">
        <v>73230640</v>
      </c>
      <c r="G97" s="869" t="s">
        <v>3005</v>
      </c>
      <c r="H97" s="731" t="s">
        <v>2986</v>
      </c>
      <c r="I97" s="870" t="s">
        <v>2962</v>
      </c>
      <c r="J97" s="871" t="s">
        <v>3081</v>
      </c>
      <c r="K97" s="868"/>
      <c r="L97" s="871"/>
      <c r="N97" s="872"/>
    </row>
    <row r="98" spans="1:14" s="124" customFormat="1" ht="41.4" hidden="1">
      <c r="A98" s="827">
        <f t="shared" si="3"/>
        <v>92</v>
      </c>
      <c r="B98" s="869" t="s">
        <v>2707</v>
      </c>
      <c r="C98" s="717" t="str">
        <f t="shared" si="2"/>
        <v>12.2017</v>
      </c>
      <c r="D98" s="870" t="s">
        <v>3013</v>
      </c>
      <c r="E98" s="868">
        <v>19909</v>
      </c>
      <c r="F98" s="742">
        <v>99000</v>
      </c>
      <c r="G98" s="869" t="s">
        <v>2906</v>
      </c>
      <c r="H98" s="731" t="s">
        <v>2979</v>
      </c>
      <c r="I98" s="870" t="s">
        <v>2955</v>
      </c>
      <c r="J98" s="871" t="s">
        <v>3082</v>
      </c>
      <c r="K98" s="868"/>
      <c r="L98" s="829"/>
      <c r="N98" s="840"/>
    </row>
    <row r="99" spans="1:14" s="649" customFormat="1" ht="41.4" hidden="1">
      <c r="A99" s="868">
        <f t="shared" si="3"/>
        <v>93</v>
      </c>
      <c r="B99" s="869" t="s">
        <v>2707</v>
      </c>
      <c r="C99" s="717" t="str">
        <f t="shared" si="2"/>
        <v>12.2017</v>
      </c>
      <c r="D99" s="870" t="s">
        <v>3013</v>
      </c>
      <c r="E99" s="868">
        <v>19909</v>
      </c>
      <c r="F99" s="742">
        <v>2032900</v>
      </c>
      <c r="G99" s="869" t="s">
        <v>2906</v>
      </c>
      <c r="H99" s="731" t="s">
        <v>2984</v>
      </c>
      <c r="I99" s="870" t="s">
        <v>2960</v>
      </c>
      <c r="J99" s="871" t="s">
        <v>3083</v>
      </c>
      <c r="K99" s="868"/>
      <c r="L99" s="871"/>
      <c r="N99" s="872"/>
    </row>
    <row r="100" spans="1:14" s="649" customFormat="1" ht="41.4" hidden="1">
      <c r="A100" s="868">
        <f t="shared" si="3"/>
        <v>94</v>
      </c>
      <c r="B100" s="869" t="s">
        <v>2707</v>
      </c>
      <c r="C100" s="717" t="str">
        <f t="shared" si="2"/>
        <v>12.2017</v>
      </c>
      <c r="D100" s="870" t="s">
        <v>3013</v>
      </c>
      <c r="E100" s="868">
        <v>19909</v>
      </c>
      <c r="F100" s="742">
        <v>444000</v>
      </c>
      <c r="G100" s="869" t="s">
        <v>3001</v>
      </c>
      <c r="H100" s="731" t="s">
        <v>2978</v>
      </c>
      <c r="I100" s="870" t="s">
        <v>2953</v>
      </c>
      <c r="J100" s="871" t="s">
        <v>3084</v>
      </c>
      <c r="K100" s="868"/>
      <c r="L100" s="871"/>
      <c r="N100" s="872"/>
    </row>
    <row r="101" spans="1:14" s="649" customFormat="1" ht="41.4" hidden="1">
      <c r="A101" s="868">
        <f t="shared" si="3"/>
        <v>95</v>
      </c>
      <c r="B101" s="869" t="s">
        <v>2707</v>
      </c>
      <c r="C101" s="717" t="str">
        <f t="shared" si="2"/>
        <v>12.2017</v>
      </c>
      <c r="D101" s="870" t="s">
        <v>3013</v>
      </c>
      <c r="E101" s="868">
        <v>19909</v>
      </c>
      <c r="F101" s="742">
        <v>883000</v>
      </c>
      <c r="G101" s="869" t="s">
        <v>3001</v>
      </c>
      <c r="H101" s="731" t="s">
        <v>2978</v>
      </c>
      <c r="I101" s="870" t="s">
        <v>2954</v>
      </c>
      <c r="J101" s="871" t="s">
        <v>3085</v>
      </c>
      <c r="K101" s="868"/>
      <c r="L101" s="871"/>
      <c r="N101" s="872"/>
    </row>
    <row r="102" spans="1:14" s="649" customFormat="1" ht="41.4" hidden="1">
      <c r="A102" s="868">
        <f t="shared" si="3"/>
        <v>96</v>
      </c>
      <c r="B102" s="869" t="s">
        <v>2691</v>
      </c>
      <c r="C102" s="717" t="str">
        <f t="shared" si="2"/>
        <v>12.2017</v>
      </c>
      <c r="D102" s="870" t="s">
        <v>3013</v>
      </c>
      <c r="E102" s="868">
        <v>19909</v>
      </c>
      <c r="F102" s="742">
        <v>17973</v>
      </c>
      <c r="G102" s="869" t="s">
        <v>2901</v>
      </c>
      <c r="H102" s="731" t="s">
        <v>2887</v>
      </c>
      <c r="I102" s="870" t="s">
        <v>2867</v>
      </c>
      <c r="J102" s="871" t="s">
        <v>3086</v>
      </c>
      <c r="K102" s="868"/>
      <c r="L102" s="871"/>
      <c r="N102" s="872"/>
    </row>
    <row r="103" spans="1:14" s="649" customFormat="1" ht="41.4" hidden="1">
      <c r="A103" s="868">
        <f t="shared" si="3"/>
        <v>97</v>
      </c>
      <c r="B103" s="869" t="s">
        <v>2691</v>
      </c>
      <c r="C103" s="717" t="str">
        <f t="shared" si="2"/>
        <v>12.2017</v>
      </c>
      <c r="D103" s="870" t="s">
        <v>3013</v>
      </c>
      <c r="E103" s="868">
        <v>19909</v>
      </c>
      <c r="F103" s="742">
        <v>3950000</v>
      </c>
      <c r="G103" s="869" t="s">
        <v>3006</v>
      </c>
      <c r="H103" s="731" t="s">
        <v>2987</v>
      </c>
      <c r="I103" s="870" t="s">
        <v>2963</v>
      </c>
      <c r="J103" s="871" t="s">
        <v>3087</v>
      </c>
      <c r="K103" s="868"/>
      <c r="L103" s="871"/>
      <c r="N103" s="872"/>
    </row>
    <row r="104" spans="1:14" s="649" customFormat="1" ht="41.4" hidden="1">
      <c r="A104" s="868">
        <f t="shared" si="3"/>
        <v>98</v>
      </c>
      <c r="B104" s="869" t="s">
        <v>2713</v>
      </c>
      <c r="C104" s="717" t="str">
        <f t="shared" si="2"/>
        <v>12.2017</v>
      </c>
      <c r="D104" s="870" t="s">
        <v>3013</v>
      </c>
      <c r="E104" s="868">
        <v>19909</v>
      </c>
      <c r="F104" s="742">
        <v>90000</v>
      </c>
      <c r="G104" s="869" t="s">
        <v>2908</v>
      </c>
      <c r="H104" s="731" t="s">
        <v>2988</v>
      </c>
      <c r="I104" s="870" t="s">
        <v>2964</v>
      </c>
      <c r="J104" s="871" t="s">
        <v>3088</v>
      </c>
      <c r="K104" s="868"/>
      <c r="L104" s="871"/>
      <c r="N104" s="872"/>
    </row>
    <row r="105" spans="1:14" s="649" customFormat="1" ht="41.4" hidden="1">
      <c r="A105" s="868">
        <f t="shared" si="3"/>
        <v>99</v>
      </c>
      <c r="B105" s="869" t="s">
        <v>2722</v>
      </c>
      <c r="C105" s="717" t="str">
        <f t="shared" si="2"/>
        <v>01.2018</v>
      </c>
      <c r="D105" s="870" t="s">
        <v>3013</v>
      </c>
      <c r="E105" s="868">
        <v>19909</v>
      </c>
      <c r="F105" s="742">
        <v>547500</v>
      </c>
      <c r="G105" s="869" t="s">
        <v>3003</v>
      </c>
      <c r="H105" s="731" t="s">
        <v>2983</v>
      </c>
      <c r="I105" s="870" t="s">
        <v>2959</v>
      </c>
      <c r="J105" s="871" t="s">
        <v>3089</v>
      </c>
      <c r="K105" s="868"/>
      <c r="L105" s="871"/>
      <c r="N105" s="872"/>
    </row>
    <row r="106" spans="1:14" s="649" customFormat="1" ht="41.4" hidden="1">
      <c r="A106" s="868">
        <f t="shared" si="3"/>
        <v>100</v>
      </c>
      <c r="B106" s="869" t="s">
        <v>2722</v>
      </c>
      <c r="C106" s="717" t="str">
        <f t="shared" si="2"/>
        <v>01.2018</v>
      </c>
      <c r="D106" s="870" t="s">
        <v>3013</v>
      </c>
      <c r="E106" s="868">
        <v>19909</v>
      </c>
      <c r="F106" s="742">
        <v>3957400</v>
      </c>
      <c r="G106" s="869" t="s">
        <v>2906</v>
      </c>
      <c r="H106" s="731" t="s">
        <v>2979</v>
      </c>
      <c r="I106" s="870" t="s">
        <v>2955</v>
      </c>
      <c r="J106" s="871" t="s">
        <v>3090</v>
      </c>
      <c r="K106" s="868"/>
      <c r="L106" s="871"/>
      <c r="N106" s="872"/>
    </row>
    <row r="107" spans="1:14" s="649" customFormat="1" ht="41.4" hidden="1">
      <c r="A107" s="868">
        <f t="shared" si="3"/>
        <v>101</v>
      </c>
      <c r="B107" s="869" t="s">
        <v>2724</v>
      </c>
      <c r="C107" s="717" t="str">
        <f t="shared" si="2"/>
        <v>01.2018</v>
      </c>
      <c r="D107" s="870" t="s">
        <v>3013</v>
      </c>
      <c r="E107" s="868">
        <v>19909</v>
      </c>
      <c r="F107" s="742">
        <v>996000</v>
      </c>
      <c r="G107" s="869" t="s">
        <v>2906</v>
      </c>
      <c r="H107" s="731" t="s">
        <v>2984</v>
      </c>
      <c r="I107" s="870" t="s">
        <v>2960</v>
      </c>
      <c r="J107" s="871" t="s">
        <v>3091</v>
      </c>
      <c r="K107" s="868"/>
      <c r="L107" s="871"/>
      <c r="N107" s="872"/>
    </row>
    <row r="108" spans="1:14" s="124" customFormat="1" ht="41.4">
      <c r="A108" s="827">
        <f t="shared" si="3"/>
        <v>102</v>
      </c>
      <c r="B108" s="806" t="s">
        <v>2733</v>
      </c>
      <c r="C108" s="830" t="str">
        <f t="shared" si="2"/>
        <v>02.2018</v>
      </c>
      <c r="D108" s="828" t="s">
        <v>3013</v>
      </c>
      <c r="E108" s="827">
        <v>19909</v>
      </c>
      <c r="F108" s="647">
        <v>488400</v>
      </c>
      <c r="G108" s="806" t="s">
        <v>3005</v>
      </c>
      <c r="H108" s="663" t="s">
        <v>2986</v>
      </c>
      <c r="I108" s="828" t="s">
        <v>2962</v>
      </c>
      <c r="J108" s="829" t="s">
        <v>3081</v>
      </c>
      <c r="K108" s="827"/>
      <c r="L108" s="829"/>
      <c r="N108" s="840"/>
    </row>
    <row r="109" spans="1:14" s="649" customFormat="1" ht="41.4" hidden="1">
      <c r="A109" s="868">
        <f t="shared" si="3"/>
        <v>103</v>
      </c>
      <c r="B109" s="869" t="s">
        <v>2687</v>
      </c>
      <c r="C109" s="717" t="str">
        <f t="shared" si="2"/>
        <v>02.2018</v>
      </c>
      <c r="D109" s="870" t="s">
        <v>3013</v>
      </c>
      <c r="E109" s="868">
        <v>19909</v>
      </c>
      <c r="F109" s="742">
        <v>3996600</v>
      </c>
      <c r="G109" s="869" t="s">
        <v>2906</v>
      </c>
      <c r="H109" s="731" t="s">
        <v>2979</v>
      </c>
      <c r="I109" s="870" t="s">
        <v>2955</v>
      </c>
      <c r="J109" s="871" t="s">
        <v>3092</v>
      </c>
      <c r="K109" s="868"/>
      <c r="L109" s="871"/>
      <c r="N109" s="872"/>
    </row>
    <row r="110" spans="1:14" s="649" customFormat="1" ht="41.4" hidden="1">
      <c r="A110" s="868">
        <f t="shared" si="3"/>
        <v>104</v>
      </c>
      <c r="B110" s="869" t="s">
        <v>3027</v>
      </c>
      <c r="C110" s="717" t="str">
        <f t="shared" si="2"/>
        <v>02.2018</v>
      </c>
      <c r="D110" s="870" t="s">
        <v>3013</v>
      </c>
      <c r="E110" s="868">
        <v>19909</v>
      </c>
      <c r="F110" s="742">
        <v>120000</v>
      </c>
      <c r="G110" s="869" t="s">
        <v>2907</v>
      </c>
      <c r="H110" s="731" t="s">
        <v>2989</v>
      </c>
      <c r="I110" s="870" t="s">
        <v>2965</v>
      </c>
      <c r="J110" s="871" t="s">
        <v>3093</v>
      </c>
      <c r="K110" s="868"/>
      <c r="L110" s="871"/>
      <c r="N110" s="872"/>
    </row>
    <row r="111" spans="1:14" s="124" customFormat="1" ht="41.4">
      <c r="A111" s="827">
        <f t="shared" si="3"/>
        <v>105</v>
      </c>
      <c r="B111" s="806" t="s">
        <v>3027</v>
      </c>
      <c r="C111" s="830" t="str">
        <f t="shared" si="2"/>
        <v>02.2018</v>
      </c>
      <c r="D111" s="828" t="s">
        <v>3013</v>
      </c>
      <c r="E111" s="827">
        <v>19909</v>
      </c>
      <c r="F111" s="647">
        <v>800000</v>
      </c>
      <c r="G111" s="806" t="s">
        <v>3007</v>
      </c>
      <c r="H111" s="663" t="s">
        <v>2990</v>
      </c>
      <c r="I111" s="828" t="s">
        <v>2966</v>
      </c>
      <c r="J111" s="829" t="s">
        <v>3094</v>
      </c>
      <c r="K111" s="827"/>
      <c r="L111" s="829"/>
      <c r="N111" s="840"/>
    </row>
    <row r="112" spans="1:14" s="649" customFormat="1" ht="41.4" hidden="1">
      <c r="A112" s="868">
        <f t="shared" si="3"/>
        <v>106</v>
      </c>
      <c r="B112" s="869" t="s">
        <v>2683</v>
      </c>
      <c r="C112" s="717" t="str">
        <f t="shared" si="2"/>
        <v>02.2018</v>
      </c>
      <c r="D112" s="870" t="s">
        <v>3013</v>
      </c>
      <c r="E112" s="868">
        <v>19909</v>
      </c>
      <c r="F112" s="742">
        <v>99000</v>
      </c>
      <c r="G112" s="869" t="s">
        <v>2906</v>
      </c>
      <c r="H112" s="731" t="s">
        <v>2979</v>
      </c>
      <c r="I112" s="870" t="s">
        <v>2955</v>
      </c>
      <c r="J112" s="871" t="s">
        <v>3095</v>
      </c>
      <c r="K112" s="868"/>
      <c r="L112" s="871"/>
      <c r="N112" s="872"/>
    </row>
    <row r="113" spans="1:14" s="649" customFormat="1" ht="41.4" hidden="1">
      <c r="A113" s="868">
        <f t="shared" si="3"/>
        <v>107</v>
      </c>
      <c r="B113" s="869" t="s">
        <v>2692</v>
      </c>
      <c r="C113" s="717" t="str">
        <f t="shared" si="2"/>
        <v>03.2018</v>
      </c>
      <c r="D113" s="870" t="s">
        <v>3013</v>
      </c>
      <c r="E113" s="868">
        <v>19909</v>
      </c>
      <c r="F113" s="742">
        <v>2654400</v>
      </c>
      <c r="G113" s="869" t="s">
        <v>2906</v>
      </c>
      <c r="H113" s="731" t="s">
        <v>2979</v>
      </c>
      <c r="I113" s="870" t="s">
        <v>2955</v>
      </c>
      <c r="J113" s="871" t="s">
        <v>3096</v>
      </c>
      <c r="K113" s="868"/>
      <c r="L113" s="871"/>
      <c r="N113" s="872"/>
    </row>
    <row r="114" spans="1:14" s="649" customFormat="1" ht="41.4" hidden="1">
      <c r="A114" s="868">
        <f t="shared" si="3"/>
        <v>108</v>
      </c>
      <c r="B114" s="869" t="s">
        <v>2692</v>
      </c>
      <c r="C114" s="717" t="str">
        <f t="shared" si="2"/>
        <v>03.2018</v>
      </c>
      <c r="D114" s="870" t="s">
        <v>3013</v>
      </c>
      <c r="E114" s="868">
        <v>19909</v>
      </c>
      <c r="F114" s="742">
        <v>3202400</v>
      </c>
      <c r="G114" s="869" t="s">
        <v>2906</v>
      </c>
      <c r="H114" s="731" t="s">
        <v>2984</v>
      </c>
      <c r="I114" s="870" t="s">
        <v>2960</v>
      </c>
      <c r="J114" s="871" t="s">
        <v>3097</v>
      </c>
      <c r="K114" s="868"/>
      <c r="L114" s="871"/>
      <c r="N114" s="872"/>
    </row>
    <row r="115" spans="1:14" s="649" customFormat="1" ht="41.4" hidden="1">
      <c r="A115" s="868">
        <f t="shared" si="3"/>
        <v>109</v>
      </c>
      <c r="B115" s="869" t="s">
        <v>3028</v>
      </c>
      <c r="C115" s="717" t="str">
        <f t="shared" si="2"/>
        <v>04.2018</v>
      </c>
      <c r="D115" s="870" t="s">
        <v>3013</v>
      </c>
      <c r="E115" s="868">
        <v>19909</v>
      </c>
      <c r="F115" s="742">
        <v>90000</v>
      </c>
      <c r="G115" s="869" t="s">
        <v>3001</v>
      </c>
      <c r="H115" s="731" t="s">
        <v>2978</v>
      </c>
      <c r="I115" s="870" t="s">
        <v>2953</v>
      </c>
      <c r="J115" s="871" t="s">
        <v>3098</v>
      </c>
      <c r="K115" s="868"/>
      <c r="L115" s="871"/>
      <c r="N115" s="872"/>
    </row>
    <row r="116" spans="1:14" s="649" customFormat="1" ht="41.4" hidden="1">
      <c r="A116" s="868">
        <f t="shared" si="3"/>
        <v>110</v>
      </c>
      <c r="B116" s="869" t="s">
        <v>3029</v>
      </c>
      <c r="C116" s="717" t="str">
        <f t="shared" si="2"/>
        <v>04.2018</v>
      </c>
      <c r="D116" s="870" t="s">
        <v>3013</v>
      </c>
      <c r="E116" s="868">
        <v>19909</v>
      </c>
      <c r="F116" s="742">
        <v>370000</v>
      </c>
      <c r="G116" s="869" t="s">
        <v>3001</v>
      </c>
      <c r="H116" s="731" t="s">
        <v>2978</v>
      </c>
      <c r="I116" s="870" t="s">
        <v>2954</v>
      </c>
      <c r="J116" s="871" t="s">
        <v>3099</v>
      </c>
      <c r="K116" s="868"/>
      <c r="L116" s="871"/>
      <c r="N116" s="872"/>
    </row>
    <row r="117" spans="1:14" s="649" customFormat="1" ht="41.4" hidden="1">
      <c r="A117" s="868">
        <f t="shared" si="3"/>
        <v>111</v>
      </c>
      <c r="B117" s="869" t="s">
        <v>3030</v>
      </c>
      <c r="C117" s="717" t="str">
        <f t="shared" si="2"/>
        <v>04.2018</v>
      </c>
      <c r="D117" s="870" t="s">
        <v>3013</v>
      </c>
      <c r="E117" s="868">
        <v>19909</v>
      </c>
      <c r="F117" s="742">
        <v>792600</v>
      </c>
      <c r="G117" s="869" t="s">
        <v>3001</v>
      </c>
      <c r="H117" s="731" t="s">
        <v>2978</v>
      </c>
      <c r="I117" s="870" t="s">
        <v>2954</v>
      </c>
      <c r="J117" s="871" t="s">
        <v>3100</v>
      </c>
      <c r="K117" s="868"/>
      <c r="L117" s="871"/>
      <c r="N117" s="872"/>
    </row>
    <row r="118" spans="1:14" s="649" customFormat="1" ht="41.4" hidden="1">
      <c r="A118" s="868">
        <f t="shared" si="3"/>
        <v>112</v>
      </c>
      <c r="B118" s="869" t="s">
        <v>3030</v>
      </c>
      <c r="C118" s="717" t="str">
        <f t="shared" si="2"/>
        <v>04.2018</v>
      </c>
      <c r="D118" s="870" t="s">
        <v>3013</v>
      </c>
      <c r="E118" s="868">
        <v>19909</v>
      </c>
      <c r="F118" s="742">
        <v>304000</v>
      </c>
      <c r="G118" s="869" t="s">
        <v>3003</v>
      </c>
      <c r="H118" s="731" t="s">
        <v>2983</v>
      </c>
      <c r="I118" s="870" t="s">
        <v>2959</v>
      </c>
      <c r="J118" s="871" t="s">
        <v>3101</v>
      </c>
      <c r="K118" s="868"/>
      <c r="L118" s="871"/>
      <c r="N118" s="872"/>
    </row>
    <row r="119" spans="1:14" s="649" customFormat="1" ht="41.4" hidden="1">
      <c r="A119" s="868">
        <f t="shared" si="3"/>
        <v>113</v>
      </c>
      <c r="B119" s="869" t="s">
        <v>3030</v>
      </c>
      <c r="C119" s="717" t="str">
        <f t="shared" si="2"/>
        <v>04.2018</v>
      </c>
      <c r="D119" s="870" t="s">
        <v>3013</v>
      </c>
      <c r="E119" s="868">
        <v>19909</v>
      </c>
      <c r="F119" s="742">
        <v>206200</v>
      </c>
      <c r="G119" s="869" t="s">
        <v>2906</v>
      </c>
      <c r="H119" s="731" t="s">
        <v>2979</v>
      </c>
      <c r="I119" s="870" t="s">
        <v>2955</v>
      </c>
      <c r="J119" s="871" t="s">
        <v>3102</v>
      </c>
      <c r="K119" s="868"/>
      <c r="L119" s="871"/>
      <c r="N119" s="872"/>
    </row>
    <row r="120" spans="1:14" s="649" customFormat="1" ht="41.4" hidden="1">
      <c r="A120" s="868">
        <f t="shared" si="3"/>
        <v>114</v>
      </c>
      <c r="B120" s="869" t="s">
        <v>3031</v>
      </c>
      <c r="C120" s="717" t="str">
        <f t="shared" si="2"/>
        <v>05.2018</v>
      </c>
      <c r="D120" s="870" t="s">
        <v>3013</v>
      </c>
      <c r="E120" s="868">
        <v>19909</v>
      </c>
      <c r="F120" s="742">
        <v>174000</v>
      </c>
      <c r="G120" s="869" t="s">
        <v>3001</v>
      </c>
      <c r="H120" s="731" t="s">
        <v>2978</v>
      </c>
      <c r="I120" s="870" t="s">
        <v>2954</v>
      </c>
      <c r="J120" s="871" t="s">
        <v>3103</v>
      </c>
      <c r="K120" s="868"/>
      <c r="L120" s="871"/>
      <c r="N120" s="872"/>
    </row>
    <row r="121" spans="1:14" s="649" customFormat="1" ht="41.4" hidden="1">
      <c r="A121" s="868">
        <f t="shared" si="3"/>
        <v>115</v>
      </c>
      <c r="B121" s="869" t="s">
        <v>3031</v>
      </c>
      <c r="C121" s="717" t="str">
        <f t="shared" si="2"/>
        <v>05.2018</v>
      </c>
      <c r="D121" s="870" t="s">
        <v>3013</v>
      </c>
      <c r="E121" s="868">
        <v>19909</v>
      </c>
      <c r="F121" s="742">
        <v>90000</v>
      </c>
      <c r="G121" s="869" t="s">
        <v>3001</v>
      </c>
      <c r="H121" s="731" t="s">
        <v>2978</v>
      </c>
      <c r="I121" s="870" t="s">
        <v>2954</v>
      </c>
      <c r="J121" s="871" t="s">
        <v>3104</v>
      </c>
      <c r="K121" s="868"/>
      <c r="L121" s="871"/>
      <c r="N121" s="872"/>
    </row>
    <row r="122" spans="1:14" s="649" customFormat="1" ht="41.4" hidden="1">
      <c r="A122" s="868">
        <f t="shared" si="3"/>
        <v>116</v>
      </c>
      <c r="B122" s="869" t="s">
        <v>3032</v>
      </c>
      <c r="C122" s="717" t="str">
        <f t="shared" si="2"/>
        <v>05.2018</v>
      </c>
      <c r="D122" s="870" t="s">
        <v>3013</v>
      </c>
      <c r="E122" s="868">
        <v>19909</v>
      </c>
      <c r="F122" s="742">
        <v>1500000</v>
      </c>
      <c r="G122" s="869" t="s">
        <v>2805</v>
      </c>
      <c r="H122" s="731" t="s">
        <v>2991</v>
      </c>
      <c r="I122" s="870" t="s">
        <v>2967</v>
      </c>
      <c r="J122" s="871" t="s">
        <v>3105</v>
      </c>
      <c r="K122" s="868"/>
      <c r="L122" s="871"/>
      <c r="N122" s="872"/>
    </row>
    <row r="123" spans="1:14" s="649" customFormat="1" ht="41.4" hidden="1">
      <c r="A123" s="868">
        <f t="shared" si="3"/>
        <v>117</v>
      </c>
      <c r="B123" s="869" t="s">
        <v>2940</v>
      </c>
      <c r="C123" s="717" t="str">
        <f t="shared" si="2"/>
        <v>05.2018</v>
      </c>
      <c r="D123" s="870" t="s">
        <v>3013</v>
      </c>
      <c r="E123" s="868">
        <v>19909</v>
      </c>
      <c r="F123" s="742">
        <v>140000</v>
      </c>
      <c r="G123" s="869" t="s">
        <v>3001</v>
      </c>
      <c r="H123" s="731" t="s">
        <v>2978</v>
      </c>
      <c r="I123" s="870" t="s">
        <v>2953</v>
      </c>
      <c r="J123" s="871" t="s">
        <v>3106</v>
      </c>
      <c r="K123" s="868"/>
      <c r="L123" s="871"/>
      <c r="N123" s="872"/>
    </row>
    <row r="124" spans="1:14" s="649" customFormat="1" ht="41.4" hidden="1">
      <c r="A124" s="868">
        <f t="shared" si="3"/>
        <v>118</v>
      </c>
      <c r="B124" s="869" t="s">
        <v>3033</v>
      </c>
      <c r="C124" s="717" t="str">
        <f t="shared" si="2"/>
        <v>05.2018</v>
      </c>
      <c r="D124" s="870" t="s">
        <v>3013</v>
      </c>
      <c r="E124" s="868">
        <v>19909</v>
      </c>
      <c r="F124" s="742">
        <v>284000</v>
      </c>
      <c r="G124" s="869" t="s">
        <v>2906</v>
      </c>
      <c r="H124" s="731" t="s">
        <v>2992</v>
      </c>
      <c r="I124" s="870" t="s">
        <v>2968</v>
      </c>
      <c r="J124" s="871" t="s">
        <v>3107</v>
      </c>
      <c r="K124" s="868"/>
      <c r="L124" s="871"/>
      <c r="N124" s="872"/>
    </row>
    <row r="125" spans="1:14" s="649" customFormat="1" ht="41.4" hidden="1">
      <c r="A125" s="868">
        <f t="shared" si="3"/>
        <v>119</v>
      </c>
      <c r="B125" s="869" t="s">
        <v>3033</v>
      </c>
      <c r="C125" s="717" t="str">
        <f t="shared" si="2"/>
        <v>05.2018</v>
      </c>
      <c r="D125" s="870" t="s">
        <v>3013</v>
      </c>
      <c r="E125" s="868">
        <v>19909</v>
      </c>
      <c r="F125" s="742">
        <v>450000</v>
      </c>
      <c r="G125" s="869" t="s">
        <v>3002</v>
      </c>
      <c r="H125" s="731" t="s">
        <v>2980</v>
      </c>
      <c r="I125" s="870" t="s">
        <v>2956</v>
      </c>
      <c r="J125" s="871" t="s">
        <v>3108</v>
      </c>
      <c r="K125" s="868"/>
      <c r="L125" s="871"/>
      <c r="N125" s="872"/>
    </row>
    <row r="126" spans="1:14" s="649" customFormat="1" ht="41.4" hidden="1">
      <c r="A126" s="868">
        <f t="shared" si="3"/>
        <v>120</v>
      </c>
      <c r="B126" s="869" t="s">
        <v>3033</v>
      </c>
      <c r="C126" s="717" t="str">
        <f t="shared" si="2"/>
        <v>05.2018</v>
      </c>
      <c r="D126" s="870" t="s">
        <v>3013</v>
      </c>
      <c r="E126" s="868">
        <v>19909</v>
      </c>
      <c r="F126" s="742">
        <v>1063500</v>
      </c>
      <c r="G126" s="869" t="s">
        <v>3001</v>
      </c>
      <c r="H126" s="731" t="s">
        <v>2978</v>
      </c>
      <c r="I126" s="870" t="s">
        <v>2954</v>
      </c>
      <c r="J126" s="871" t="s">
        <v>3109</v>
      </c>
      <c r="K126" s="868"/>
      <c r="L126" s="871"/>
      <c r="N126" s="872"/>
    </row>
    <row r="127" spans="1:14" s="649" customFormat="1" ht="41.4" hidden="1">
      <c r="A127" s="868">
        <f t="shared" si="3"/>
        <v>121</v>
      </c>
      <c r="B127" s="869" t="s">
        <v>3034</v>
      </c>
      <c r="C127" s="717" t="str">
        <f t="shared" si="2"/>
        <v>06.2018</v>
      </c>
      <c r="D127" s="870" t="s">
        <v>3013</v>
      </c>
      <c r="E127" s="868">
        <v>19909</v>
      </c>
      <c r="F127" s="742">
        <v>288000</v>
      </c>
      <c r="G127" s="869" t="s">
        <v>2900</v>
      </c>
      <c r="H127" s="731" t="s">
        <v>2899</v>
      </c>
      <c r="I127" s="870" t="s">
        <v>2866</v>
      </c>
      <c r="J127" s="871" t="s">
        <v>3110</v>
      </c>
      <c r="K127" s="868"/>
      <c r="L127" s="871"/>
      <c r="N127" s="872"/>
    </row>
    <row r="128" spans="1:14" s="649" customFormat="1" ht="41.4" hidden="1">
      <c r="A128" s="868">
        <f t="shared" si="3"/>
        <v>122</v>
      </c>
      <c r="B128" s="869" t="s">
        <v>3035</v>
      </c>
      <c r="C128" s="717" t="str">
        <f t="shared" si="2"/>
        <v>07.2018</v>
      </c>
      <c r="D128" s="870" t="s">
        <v>3013</v>
      </c>
      <c r="E128" s="868">
        <v>19909</v>
      </c>
      <c r="F128" s="742">
        <v>578000</v>
      </c>
      <c r="G128" s="869" t="s">
        <v>2900</v>
      </c>
      <c r="H128" s="731" t="s">
        <v>2899</v>
      </c>
      <c r="I128" s="870" t="s">
        <v>2866</v>
      </c>
      <c r="J128" s="871" t="s">
        <v>3111</v>
      </c>
      <c r="K128" s="868"/>
      <c r="L128" s="871"/>
      <c r="N128" s="872"/>
    </row>
    <row r="129" spans="1:14" s="649" customFormat="1" ht="41.4" hidden="1">
      <c r="A129" s="868">
        <f t="shared" si="3"/>
        <v>123</v>
      </c>
      <c r="B129" s="869" t="s">
        <v>2951</v>
      </c>
      <c r="C129" s="717" t="str">
        <f t="shared" si="2"/>
        <v>07.2018</v>
      </c>
      <c r="D129" s="870" t="s">
        <v>3013</v>
      </c>
      <c r="E129" s="868">
        <v>19909</v>
      </c>
      <c r="F129" s="742">
        <v>190000</v>
      </c>
      <c r="G129" s="869" t="s">
        <v>2900</v>
      </c>
      <c r="H129" s="731" t="s">
        <v>2899</v>
      </c>
      <c r="I129" s="870" t="s">
        <v>2866</v>
      </c>
      <c r="J129" s="871" t="s">
        <v>3112</v>
      </c>
      <c r="K129" s="868"/>
      <c r="L129" s="871"/>
      <c r="N129" s="872"/>
    </row>
    <row r="130" spans="1:14" s="649" customFormat="1" ht="41.4" hidden="1">
      <c r="A130" s="868">
        <f t="shared" si="3"/>
        <v>124</v>
      </c>
      <c r="B130" s="869" t="s">
        <v>2951</v>
      </c>
      <c r="C130" s="717" t="str">
        <f t="shared" si="2"/>
        <v>07.2018</v>
      </c>
      <c r="D130" s="870" t="s">
        <v>3013</v>
      </c>
      <c r="E130" s="868">
        <v>19909</v>
      </c>
      <c r="F130" s="742">
        <v>1008000</v>
      </c>
      <c r="G130" s="869" t="s">
        <v>2900</v>
      </c>
      <c r="H130" s="731" t="s">
        <v>2899</v>
      </c>
      <c r="I130" s="870" t="s">
        <v>2866</v>
      </c>
      <c r="J130" s="871" t="s">
        <v>3113</v>
      </c>
      <c r="K130" s="868"/>
      <c r="L130" s="871"/>
      <c r="N130" s="872"/>
    </row>
    <row r="131" spans="1:14" s="649" customFormat="1" ht="41.4" hidden="1">
      <c r="A131" s="868">
        <f t="shared" si="3"/>
        <v>125</v>
      </c>
      <c r="B131" s="869" t="s">
        <v>2951</v>
      </c>
      <c r="C131" s="717" t="str">
        <f t="shared" si="2"/>
        <v>07.2018</v>
      </c>
      <c r="D131" s="870" t="s">
        <v>3013</v>
      </c>
      <c r="E131" s="868">
        <v>19909</v>
      </c>
      <c r="F131" s="742">
        <v>756000</v>
      </c>
      <c r="G131" s="869" t="s">
        <v>2900</v>
      </c>
      <c r="H131" s="731" t="s">
        <v>2899</v>
      </c>
      <c r="I131" s="870" t="s">
        <v>2866</v>
      </c>
      <c r="J131" s="871" t="s">
        <v>3114</v>
      </c>
      <c r="K131" s="868"/>
      <c r="L131" s="871"/>
      <c r="N131" s="872"/>
    </row>
    <row r="132" spans="1:14" s="649" customFormat="1" ht="41.4" hidden="1">
      <c r="A132" s="868">
        <f t="shared" si="3"/>
        <v>126</v>
      </c>
      <c r="B132" s="869" t="s">
        <v>3036</v>
      </c>
      <c r="C132" s="717" t="str">
        <f t="shared" si="2"/>
        <v>07.2018</v>
      </c>
      <c r="D132" s="870" t="s">
        <v>3013</v>
      </c>
      <c r="E132" s="868">
        <v>19909</v>
      </c>
      <c r="F132" s="742">
        <v>380000</v>
      </c>
      <c r="G132" s="869" t="s">
        <v>2900</v>
      </c>
      <c r="H132" s="731" t="s">
        <v>2899</v>
      </c>
      <c r="I132" s="870" t="s">
        <v>2866</v>
      </c>
      <c r="J132" s="871" t="s">
        <v>3115</v>
      </c>
      <c r="K132" s="868"/>
      <c r="L132" s="871"/>
      <c r="N132" s="872"/>
    </row>
    <row r="133" spans="1:14" s="649" customFormat="1" ht="41.4" hidden="1">
      <c r="A133" s="868">
        <f t="shared" si="3"/>
        <v>127</v>
      </c>
      <c r="B133" s="869" t="s">
        <v>3037</v>
      </c>
      <c r="C133" s="717" t="str">
        <f t="shared" si="2"/>
        <v>08.2018</v>
      </c>
      <c r="D133" s="870" t="s">
        <v>3013</v>
      </c>
      <c r="E133" s="868">
        <v>19909</v>
      </c>
      <c r="F133" s="742">
        <v>40000</v>
      </c>
      <c r="G133" s="869" t="s">
        <v>2900</v>
      </c>
      <c r="H133" s="731" t="s">
        <v>2899</v>
      </c>
      <c r="I133" s="870" t="s">
        <v>2866</v>
      </c>
      <c r="J133" s="871" t="s">
        <v>3116</v>
      </c>
      <c r="K133" s="868"/>
      <c r="L133" s="871"/>
      <c r="N133" s="872"/>
    </row>
    <row r="134" spans="1:14" s="649" customFormat="1" ht="41.4" hidden="1">
      <c r="A134" s="868">
        <f t="shared" si="3"/>
        <v>128</v>
      </c>
      <c r="B134" s="869" t="s">
        <v>3037</v>
      </c>
      <c r="C134" s="717" t="str">
        <f t="shared" si="2"/>
        <v>08.2018</v>
      </c>
      <c r="D134" s="870" t="s">
        <v>3013</v>
      </c>
      <c r="E134" s="868">
        <v>19909</v>
      </c>
      <c r="F134" s="742">
        <v>20000</v>
      </c>
      <c r="G134" s="869" t="s">
        <v>2900</v>
      </c>
      <c r="H134" s="731" t="s">
        <v>2899</v>
      </c>
      <c r="I134" s="870" t="s">
        <v>2866</v>
      </c>
      <c r="J134" s="871" t="s">
        <v>3117</v>
      </c>
      <c r="K134" s="868"/>
      <c r="L134" s="871"/>
      <c r="N134" s="872"/>
    </row>
    <row r="135" spans="1:14" s="649" customFormat="1" ht="41.4" hidden="1">
      <c r="A135" s="868">
        <f t="shared" si="3"/>
        <v>129</v>
      </c>
      <c r="B135" s="869" t="s">
        <v>3037</v>
      </c>
      <c r="C135" s="717" t="str">
        <f t="shared" ref="C135:C198" si="4">+MID(B135,4,8)</f>
        <v>08.2018</v>
      </c>
      <c r="D135" s="870" t="s">
        <v>3013</v>
      </c>
      <c r="E135" s="868">
        <v>19909</v>
      </c>
      <c r="F135" s="742">
        <v>795000</v>
      </c>
      <c r="G135" s="869" t="s">
        <v>2900</v>
      </c>
      <c r="H135" s="731" t="s">
        <v>2899</v>
      </c>
      <c r="I135" s="870" t="s">
        <v>2866</v>
      </c>
      <c r="J135" s="871" t="s">
        <v>3118</v>
      </c>
      <c r="K135" s="868"/>
      <c r="L135" s="871"/>
      <c r="N135" s="872"/>
    </row>
    <row r="136" spans="1:14" s="649" customFormat="1" ht="41.4" hidden="1">
      <c r="A136" s="868">
        <f t="shared" si="3"/>
        <v>130</v>
      </c>
      <c r="B136" s="869" t="s">
        <v>3037</v>
      </c>
      <c r="C136" s="717" t="str">
        <f t="shared" si="4"/>
        <v>08.2018</v>
      </c>
      <c r="D136" s="870" t="s">
        <v>3013</v>
      </c>
      <c r="E136" s="868">
        <v>19909</v>
      </c>
      <c r="F136" s="742">
        <v>170000</v>
      </c>
      <c r="G136" s="869" t="s">
        <v>2900</v>
      </c>
      <c r="H136" s="731" t="s">
        <v>2899</v>
      </c>
      <c r="I136" s="870" t="s">
        <v>2866</v>
      </c>
      <c r="J136" s="871" t="s">
        <v>3119</v>
      </c>
      <c r="K136" s="868"/>
      <c r="L136" s="871"/>
      <c r="N136" s="872"/>
    </row>
    <row r="137" spans="1:14" s="649" customFormat="1" ht="41.4" hidden="1">
      <c r="A137" s="868">
        <f t="shared" ref="A137:A200" si="5">+A136+1</f>
        <v>131</v>
      </c>
      <c r="B137" s="869" t="s">
        <v>3038</v>
      </c>
      <c r="C137" s="717" t="str">
        <f t="shared" si="4"/>
        <v>08.2018</v>
      </c>
      <c r="D137" s="870" t="s">
        <v>3013</v>
      </c>
      <c r="E137" s="868">
        <v>19909</v>
      </c>
      <c r="F137" s="742">
        <v>660000</v>
      </c>
      <c r="G137" s="869" t="s">
        <v>2900</v>
      </c>
      <c r="H137" s="731" t="s">
        <v>2899</v>
      </c>
      <c r="I137" s="870" t="s">
        <v>2866</v>
      </c>
      <c r="J137" s="871" t="s">
        <v>3120</v>
      </c>
      <c r="K137" s="868"/>
      <c r="L137" s="871"/>
      <c r="N137" s="872"/>
    </row>
    <row r="138" spans="1:14" s="124" customFormat="1" ht="41.4" hidden="1">
      <c r="A138" s="827">
        <f t="shared" si="5"/>
        <v>132</v>
      </c>
      <c r="B138" s="806" t="s">
        <v>3039</v>
      </c>
      <c r="C138" s="830" t="str">
        <f t="shared" si="4"/>
        <v>05.2016</v>
      </c>
      <c r="D138" s="828" t="s">
        <v>3013</v>
      </c>
      <c r="E138" s="827">
        <v>19909</v>
      </c>
      <c r="F138" s="647">
        <v>840000</v>
      </c>
      <c r="G138" s="806" t="s">
        <v>3004</v>
      </c>
      <c r="H138" s="663" t="s">
        <v>2985</v>
      </c>
      <c r="I138" s="828" t="s">
        <v>2961</v>
      </c>
      <c r="J138" s="829" t="s">
        <v>3121</v>
      </c>
      <c r="K138" s="827"/>
      <c r="L138" s="829"/>
      <c r="N138" s="840"/>
    </row>
    <row r="139" spans="1:14" s="124" customFormat="1" ht="41.4" hidden="1">
      <c r="A139" s="827">
        <f t="shared" si="5"/>
        <v>133</v>
      </c>
      <c r="B139" s="806" t="s">
        <v>3040</v>
      </c>
      <c r="C139" s="830" t="str">
        <f t="shared" si="4"/>
        <v>05.2016</v>
      </c>
      <c r="D139" s="828" t="s">
        <v>3013</v>
      </c>
      <c r="E139" s="827">
        <v>19909</v>
      </c>
      <c r="F139" s="647">
        <v>70000</v>
      </c>
      <c r="G139" s="806" t="s">
        <v>3004</v>
      </c>
      <c r="H139" s="663" t="s">
        <v>2985</v>
      </c>
      <c r="I139" s="828" t="s">
        <v>2961</v>
      </c>
      <c r="J139" s="829" t="s">
        <v>3122</v>
      </c>
      <c r="K139" s="827"/>
      <c r="L139" s="829"/>
      <c r="N139" s="840"/>
    </row>
    <row r="140" spans="1:14" s="124" customFormat="1" ht="41.4" hidden="1">
      <c r="A140" s="827">
        <f t="shared" si="5"/>
        <v>134</v>
      </c>
      <c r="B140" s="806" t="s">
        <v>3041</v>
      </c>
      <c r="C140" s="830" t="str">
        <f t="shared" si="4"/>
        <v>06.2016</v>
      </c>
      <c r="D140" s="828" t="s">
        <v>3013</v>
      </c>
      <c r="E140" s="827">
        <v>19909</v>
      </c>
      <c r="F140" s="647">
        <v>800000</v>
      </c>
      <c r="G140" s="806" t="s">
        <v>2908</v>
      </c>
      <c r="H140" s="663" t="s">
        <v>2993</v>
      </c>
      <c r="I140" s="828" t="s">
        <v>2969</v>
      </c>
      <c r="J140" s="829" t="s">
        <v>3123</v>
      </c>
      <c r="K140" s="827"/>
      <c r="L140" s="829"/>
      <c r="N140" s="840"/>
    </row>
    <row r="141" spans="1:14" s="124" customFormat="1" ht="41.4" hidden="1">
      <c r="A141" s="827">
        <f t="shared" si="5"/>
        <v>135</v>
      </c>
      <c r="B141" s="806" t="s">
        <v>3042</v>
      </c>
      <c r="C141" s="830" t="str">
        <f t="shared" si="4"/>
        <v>11.2016</v>
      </c>
      <c r="D141" s="828" t="s">
        <v>3013</v>
      </c>
      <c r="E141" s="827">
        <v>19909</v>
      </c>
      <c r="F141" s="647">
        <v>600000</v>
      </c>
      <c r="G141" s="806" t="s">
        <v>2907</v>
      </c>
      <c r="H141" s="663" t="s">
        <v>2994</v>
      </c>
      <c r="I141" s="828" t="s">
        <v>2970</v>
      </c>
      <c r="J141" s="829" t="s">
        <v>3124</v>
      </c>
      <c r="K141" s="827"/>
      <c r="L141" s="829"/>
      <c r="N141" s="840"/>
    </row>
    <row r="142" spans="1:14" s="649" customFormat="1" ht="41.4" hidden="1">
      <c r="A142" s="868">
        <f t="shared" si="5"/>
        <v>136</v>
      </c>
      <c r="B142" s="869" t="s">
        <v>3043</v>
      </c>
      <c r="C142" s="717" t="str">
        <f t="shared" si="4"/>
        <v>06.2017</v>
      </c>
      <c r="D142" s="870" t="s">
        <v>3013</v>
      </c>
      <c r="E142" s="868">
        <v>19909</v>
      </c>
      <c r="F142" s="742">
        <v>893000</v>
      </c>
      <c r="G142" s="869" t="s">
        <v>2906</v>
      </c>
      <c r="H142" s="731" t="s">
        <v>2984</v>
      </c>
      <c r="I142" s="870" t="s">
        <v>2960</v>
      </c>
      <c r="J142" s="871" t="s">
        <v>3125</v>
      </c>
      <c r="K142" s="868"/>
      <c r="L142" s="871"/>
      <c r="N142" s="872"/>
    </row>
    <row r="143" spans="1:14" s="649" customFormat="1" ht="41.4" hidden="1">
      <c r="A143" s="868">
        <f t="shared" si="5"/>
        <v>137</v>
      </c>
      <c r="B143" s="869" t="s">
        <v>2718</v>
      </c>
      <c r="C143" s="717" t="str">
        <f t="shared" si="4"/>
        <v>01.2018</v>
      </c>
      <c r="D143" s="870" t="s">
        <v>3013</v>
      </c>
      <c r="E143" s="868">
        <v>19909</v>
      </c>
      <c r="F143" s="742">
        <v>2820000</v>
      </c>
      <c r="G143" s="869" t="s">
        <v>3008</v>
      </c>
      <c r="H143" s="731" t="s">
        <v>2995</v>
      </c>
      <c r="I143" s="870" t="s">
        <v>2971</v>
      </c>
      <c r="J143" s="871" t="s">
        <v>3126</v>
      </c>
      <c r="K143" s="868"/>
      <c r="L143" s="871"/>
      <c r="N143" s="872"/>
    </row>
    <row r="144" spans="1:14" s="649" customFormat="1" ht="41.4" hidden="1">
      <c r="A144" s="868">
        <f t="shared" si="5"/>
        <v>138</v>
      </c>
      <c r="B144" s="869" t="s">
        <v>2735</v>
      </c>
      <c r="C144" s="717" t="str">
        <f t="shared" si="4"/>
        <v>02.2018</v>
      </c>
      <c r="D144" s="870" t="s">
        <v>3013</v>
      </c>
      <c r="E144" s="868">
        <v>19909</v>
      </c>
      <c r="F144" s="742">
        <v>550000</v>
      </c>
      <c r="G144" s="869" t="s">
        <v>3009</v>
      </c>
      <c r="H144" s="731" t="s">
        <v>2996</v>
      </c>
      <c r="I144" s="870" t="s">
        <v>2972</v>
      </c>
      <c r="J144" s="871" t="s">
        <v>3127</v>
      </c>
      <c r="K144" s="868"/>
      <c r="L144" s="871"/>
      <c r="N144" s="872"/>
    </row>
    <row r="145" spans="1:14" s="649" customFormat="1" ht="41.4" hidden="1">
      <c r="A145" s="868">
        <f t="shared" si="5"/>
        <v>139</v>
      </c>
      <c r="B145" s="869" t="s">
        <v>2736</v>
      </c>
      <c r="C145" s="717" t="str">
        <f t="shared" si="4"/>
        <v>02.2018</v>
      </c>
      <c r="D145" s="870" t="s">
        <v>3013</v>
      </c>
      <c r="E145" s="868">
        <v>19909</v>
      </c>
      <c r="F145" s="742">
        <v>4600000</v>
      </c>
      <c r="G145" s="869" t="s">
        <v>3010</v>
      </c>
      <c r="H145" s="731" t="s">
        <v>2997</v>
      </c>
      <c r="I145" s="870" t="s">
        <v>2973</v>
      </c>
      <c r="J145" s="871" t="s">
        <v>3128</v>
      </c>
      <c r="K145" s="868"/>
      <c r="L145" s="871"/>
      <c r="N145" s="872"/>
    </row>
    <row r="146" spans="1:14" s="649" customFormat="1" ht="41.4" hidden="1">
      <c r="A146" s="868">
        <f t="shared" si="5"/>
        <v>140</v>
      </c>
      <c r="B146" s="869" t="s">
        <v>2737</v>
      </c>
      <c r="C146" s="717" t="str">
        <f t="shared" si="4"/>
        <v>02.2018</v>
      </c>
      <c r="D146" s="870" t="s">
        <v>3013</v>
      </c>
      <c r="E146" s="868">
        <v>19909</v>
      </c>
      <c r="F146" s="742">
        <v>2211572</v>
      </c>
      <c r="G146" s="869" t="s">
        <v>3011</v>
      </c>
      <c r="H146" s="731" t="s">
        <v>2998</v>
      </c>
      <c r="I146" s="870" t="s">
        <v>2974</v>
      </c>
      <c r="J146" s="871" t="s">
        <v>3129</v>
      </c>
      <c r="K146" s="868"/>
      <c r="L146" s="871"/>
      <c r="N146" s="872"/>
    </row>
    <row r="147" spans="1:14" s="649" customFormat="1" ht="41.4" hidden="1">
      <c r="A147" s="868">
        <f t="shared" si="5"/>
        <v>141</v>
      </c>
      <c r="B147" s="869" t="s">
        <v>2737</v>
      </c>
      <c r="C147" s="717" t="str">
        <f t="shared" si="4"/>
        <v>02.2018</v>
      </c>
      <c r="D147" s="870" t="s">
        <v>3013</v>
      </c>
      <c r="E147" s="868">
        <v>19909</v>
      </c>
      <c r="F147" s="742">
        <v>17224</v>
      </c>
      <c r="G147" s="869" t="s">
        <v>3011</v>
      </c>
      <c r="H147" s="731" t="s">
        <v>2998</v>
      </c>
      <c r="I147" s="870" t="s">
        <v>2974</v>
      </c>
      <c r="J147" s="871" t="s">
        <v>3130</v>
      </c>
      <c r="K147" s="868"/>
      <c r="L147" s="871"/>
      <c r="N147" s="872"/>
    </row>
    <row r="148" spans="1:14" s="649" customFormat="1" ht="41.4" hidden="1">
      <c r="A148" s="868">
        <f t="shared" si="5"/>
        <v>142</v>
      </c>
      <c r="B148" s="869" t="s">
        <v>2737</v>
      </c>
      <c r="C148" s="717" t="str">
        <f t="shared" si="4"/>
        <v>02.2018</v>
      </c>
      <c r="D148" s="870" t="s">
        <v>3013</v>
      </c>
      <c r="E148" s="868">
        <v>19909</v>
      </c>
      <c r="F148" s="742">
        <v>275584</v>
      </c>
      <c r="G148" s="869" t="s">
        <v>3011</v>
      </c>
      <c r="H148" s="731" t="s">
        <v>2998</v>
      </c>
      <c r="I148" s="870" t="s">
        <v>2974</v>
      </c>
      <c r="J148" s="871" t="s">
        <v>3131</v>
      </c>
      <c r="K148" s="868"/>
      <c r="L148" s="871"/>
      <c r="N148" s="872"/>
    </row>
    <row r="149" spans="1:14" s="649" customFormat="1" ht="41.4" hidden="1">
      <c r="A149" s="868">
        <f t="shared" si="5"/>
        <v>143</v>
      </c>
      <c r="B149" s="869" t="s">
        <v>2737</v>
      </c>
      <c r="C149" s="717" t="str">
        <f t="shared" si="4"/>
        <v>02.2018</v>
      </c>
      <c r="D149" s="870" t="s">
        <v>3013</v>
      </c>
      <c r="E149" s="868">
        <v>19909</v>
      </c>
      <c r="F149" s="742">
        <v>120568</v>
      </c>
      <c r="G149" s="869" t="s">
        <v>3011</v>
      </c>
      <c r="H149" s="731" t="s">
        <v>2998</v>
      </c>
      <c r="I149" s="870" t="s">
        <v>2974</v>
      </c>
      <c r="J149" s="871" t="s">
        <v>3132</v>
      </c>
      <c r="K149" s="868"/>
      <c r="L149" s="871"/>
      <c r="N149" s="872"/>
    </row>
    <row r="150" spans="1:14" s="649" customFormat="1" ht="41.4" hidden="1">
      <c r="A150" s="868">
        <f t="shared" si="5"/>
        <v>144</v>
      </c>
      <c r="B150" s="869" t="s">
        <v>3036</v>
      </c>
      <c r="C150" s="717" t="str">
        <f t="shared" si="4"/>
        <v>07.2018</v>
      </c>
      <c r="D150" s="870" t="s">
        <v>3013</v>
      </c>
      <c r="E150" s="868">
        <v>19909</v>
      </c>
      <c r="F150" s="742">
        <v>1300500</v>
      </c>
      <c r="G150" s="869" t="s">
        <v>2900</v>
      </c>
      <c r="H150" s="731" t="s">
        <v>2899</v>
      </c>
      <c r="I150" s="870" t="s">
        <v>2866</v>
      </c>
      <c r="J150" s="871" t="s">
        <v>3133</v>
      </c>
      <c r="K150" s="868"/>
      <c r="L150" s="871"/>
      <c r="N150" s="872"/>
    </row>
    <row r="151" spans="1:14" s="649" customFormat="1" ht="41.4" hidden="1">
      <c r="A151" s="868">
        <f t="shared" si="5"/>
        <v>145</v>
      </c>
      <c r="B151" s="869" t="s">
        <v>2779</v>
      </c>
      <c r="C151" s="717" t="str">
        <f t="shared" si="4"/>
        <v>06.2017</v>
      </c>
      <c r="D151" s="870" t="s">
        <v>3013</v>
      </c>
      <c r="E151" s="868">
        <v>19909</v>
      </c>
      <c r="F151" s="742">
        <v>1500000</v>
      </c>
      <c r="G151" s="869" t="s">
        <v>2908</v>
      </c>
      <c r="H151" s="731" t="s">
        <v>2999</v>
      </c>
      <c r="I151" s="870" t="s">
        <v>2975</v>
      </c>
      <c r="J151" s="871" t="s">
        <v>3134</v>
      </c>
      <c r="K151" s="868"/>
      <c r="L151" s="871"/>
      <c r="N151" s="872"/>
    </row>
    <row r="152" spans="1:14" s="124" customFormat="1" ht="41.4" hidden="1">
      <c r="A152" s="827">
        <f t="shared" si="5"/>
        <v>146</v>
      </c>
      <c r="B152" s="806" t="s">
        <v>3044</v>
      </c>
      <c r="C152" s="830" t="str">
        <f t="shared" si="4"/>
        <v>01.2016</v>
      </c>
      <c r="D152" s="828" t="s">
        <v>3013</v>
      </c>
      <c r="E152" s="827">
        <v>19909</v>
      </c>
      <c r="F152" s="647">
        <v>431000</v>
      </c>
      <c r="G152" s="806" t="s">
        <v>3001</v>
      </c>
      <c r="H152" s="663" t="s">
        <v>2978</v>
      </c>
      <c r="I152" s="828" t="s">
        <v>2954</v>
      </c>
      <c r="J152" s="829" t="s">
        <v>3135</v>
      </c>
      <c r="K152" s="827"/>
      <c r="L152" s="829"/>
      <c r="N152" s="840"/>
    </row>
    <row r="153" spans="1:14" s="124" customFormat="1" ht="41.4" hidden="1">
      <c r="A153" s="827">
        <f t="shared" si="5"/>
        <v>147</v>
      </c>
      <c r="B153" s="806" t="s">
        <v>3044</v>
      </c>
      <c r="C153" s="830" t="str">
        <f t="shared" si="4"/>
        <v>01.2016</v>
      </c>
      <c r="D153" s="828" t="s">
        <v>3013</v>
      </c>
      <c r="E153" s="827">
        <v>19909</v>
      </c>
      <c r="F153" s="647">
        <v>120000</v>
      </c>
      <c r="G153" s="806" t="s">
        <v>3001</v>
      </c>
      <c r="H153" s="663" t="s">
        <v>2978</v>
      </c>
      <c r="I153" s="828" t="s">
        <v>2953</v>
      </c>
      <c r="J153" s="829" t="s">
        <v>3136</v>
      </c>
      <c r="K153" s="827"/>
      <c r="L153" s="829"/>
      <c r="N153" s="840"/>
    </row>
    <row r="154" spans="1:14" s="124" customFormat="1" ht="41.4" hidden="1">
      <c r="A154" s="827">
        <f t="shared" si="5"/>
        <v>148</v>
      </c>
      <c r="B154" s="806" t="s">
        <v>2942</v>
      </c>
      <c r="C154" s="830" t="str">
        <f t="shared" si="4"/>
        <v>01.2016</v>
      </c>
      <c r="D154" s="828" t="s">
        <v>3013</v>
      </c>
      <c r="E154" s="827">
        <v>19909</v>
      </c>
      <c r="F154" s="647">
        <v>362700</v>
      </c>
      <c r="G154" s="806" t="s">
        <v>3001</v>
      </c>
      <c r="H154" s="663" t="s">
        <v>2978</v>
      </c>
      <c r="I154" s="828" t="s">
        <v>2954</v>
      </c>
      <c r="J154" s="829" t="s">
        <v>3137</v>
      </c>
      <c r="K154" s="827"/>
      <c r="L154" s="829"/>
      <c r="N154" s="840"/>
    </row>
    <row r="155" spans="1:14" s="124" customFormat="1" ht="41.4" hidden="1">
      <c r="A155" s="827">
        <f t="shared" si="5"/>
        <v>149</v>
      </c>
      <c r="B155" s="806" t="s">
        <v>3045</v>
      </c>
      <c r="C155" s="830" t="str">
        <f t="shared" si="4"/>
        <v>02.2016</v>
      </c>
      <c r="D155" s="828" t="s">
        <v>3013</v>
      </c>
      <c r="E155" s="827">
        <v>19909</v>
      </c>
      <c r="F155" s="647">
        <v>489500</v>
      </c>
      <c r="G155" s="806" t="s">
        <v>3001</v>
      </c>
      <c r="H155" s="663" t="s">
        <v>2978</v>
      </c>
      <c r="I155" s="828" t="s">
        <v>2954</v>
      </c>
      <c r="J155" s="829" t="s">
        <v>3138</v>
      </c>
      <c r="K155" s="827"/>
      <c r="L155" s="829"/>
      <c r="N155" s="840"/>
    </row>
    <row r="156" spans="1:14" s="124" customFormat="1" ht="41.4" hidden="1">
      <c r="A156" s="827">
        <f t="shared" si="5"/>
        <v>150</v>
      </c>
      <c r="B156" s="806" t="s">
        <v>3046</v>
      </c>
      <c r="C156" s="830" t="str">
        <f t="shared" si="4"/>
        <v>02.2016</v>
      </c>
      <c r="D156" s="828" t="s">
        <v>3013</v>
      </c>
      <c r="E156" s="827">
        <v>19909</v>
      </c>
      <c r="F156" s="647">
        <v>513600</v>
      </c>
      <c r="G156" s="806" t="s">
        <v>3001</v>
      </c>
      <c r="H156" s="663" t="s">
        <v>2978</v>
      </c>
      <c r="I156" s="828" t="s">
        <v>2954</v>
      </c>
      <c r="J156" s="829" t="s">
        <v>3139</v>
      </c>
      <c r="K156" s="827"/>
      <c r="L156" s="829"/>
      <c r="N156" s="840"/>
    </row>
    <row r="157" spans="1:14" s="124" customFormat="1" ht="41.4" hidden="1">
      <c r="A157" s="827">
        <f t="shared" si="5"/>
        <v>151</v>
      </c>
      <c r="B157" s="806" t="s">
        <v>3046</v>
      </c>
      <c r="C157" s="830" t="str">
        <f t="shared" si="4"/>
        <v>02.2016</v>
      </c>
      <c r="D157" s="828" t="s">
        <v>3013</v>
      </c>
      <c r="E157" s="827">
        <v>19909</v>
      </c>
      <c r="F157" s="647">
        <v>260000</v>
      </c>
      <c r="G157" s="806" t="s">
        <v>3001</v>
      </c>
      <c r="H157" s="663" t="s">
        <v>2978</v>
      </c>
      <c r="I157" s="828" t="s">
        <v>2953</v>
      </c>
      <c r="J157" s="829" t="s">
        <v>3140</v>
      </c>
      <c r="K157" s="827"/>
      <c r="L157" s="829"/>
      <c r="N157" s="840"/>
    </row>
    <row r="158" spans="1:14" s="124" customFormat="1" ht="41.4" hidden="1">
      <c r="A158" s="827">
        <f t="shared" si="5"/>
        <v>152</v>
      </c>
      <c r="B158" s="806" t="s">
        <v>3047</v>
      </c>
      <c r="C158" s="830" t="str">
        <f t="shared" si="4"/>
        <v>03.2016</v>
      </c>
      <c r="D158" s="828" t="s">
        <v>3013</v>
      </c>
      <c r="E158" s="827">
        <v>19909</v>
      </c>
      <c r="F158" s="647">
        <v>630500</v>
      </c>
      <c r="G158" s="806" t="s">
        <v>3001</v>
      </c>
      <c r="H158" s="663" t="s">
        <v>2978</v>
      </c>
      <c r="I158" s="828" t="s">
        <v>2954</v>
      </c>
      <c r="J158" s="829" t="s">
        <v>3141</v>
      </c>
      <c r="K158" s="827"/>
      <c r="L158" s="829"/>
      <c r="N158" s="840"/>
    </row>
    <row r="159" spans="1:14" s="124" customFormat="1" ht="41.4" hidden="1">
      <c r="A159" s="827">
        <f t="shared" si="5"/>
        <v>153</v>
      </c>
      <c r="B159" s="806" t="s">
        <v>3048</v>
      </c>
      <c r="C159" s="830" t="str">
        <f t="shared" si="4"/>
        <v>04.2016</v>
      </c>
      <c r="D159" s="828" t="s">
        <v>3013</v>
      </c>
      <c r="E159" s="827">
        <v>19909</v>
      </c>
      <c r="F159" s="647">
        <v>420000</v>
      </c>
      <c r="G159" s="806" t="s">
        <v>3001</v>
      </c>
      <c r="H159" s="663" t="s">
        <v>2978</v>
      </c>
      <c r="I159" s="828" t="s">
        <v>2953</v>
      </c>
      <c r="J159" s="829" t="s">
        <v>3142</v>
      </c>
      <c r="K159" s="827"/>
      <c r="L159" s="829"/>
      <c r="N159" s="840"/>
    </row>
    <row r="160" spans="1:14" s="124" customFormat="1" ht="41.4" hidden="1">
      <c r="A160" s="827">
        <f t="shared" si="5"/>
        <v>154</v>
      </c>
      <c r="B160" s="806" t="s">
        <v>3049</v>
      </c>
      <c r="C160" s="830" t="str">
        <f t="shared" si="4"/>
        <v>04.2016</v>
      </c>
      <c r="D160" s="828" t="s">
        <v>3013</v>
      </c>
      <c r="E160" s="827">
        <v>19909</v>
      </c>
      <c r="F160" s="647">
        <v>729000</v>
      </c>
      <c r="G160" s="806" t="s">
        <v>3001</v>
      </c>
      <c r="H160" s="663" t="s">
        <v>2978</v>
      </c>
      <c r="I160" s="828" t="s">
        <v>2954</v>
      </c>
      <c r="J160" s="829" t="s">
        <v>3143</v>
      </c>
      <c r="K160" s="827"/>
      <c r="L160" s="829"/>
      <c r="N160" s="840"/>
    </row>
    <row r="161" spans="1:14" s="124" customFormat="1" ht="41.4" hidden="1">
      <c r="A161" s="827">
        <f t="shared" si="5"/>
        <v>155</v>
      </c>
      <c r="B161" s="806" t="s">
        <v>3050</v>
      </c>
      <c r="C161" s="830" t="str">
        <f t="shared" si="4"/>
        <v>05.2016</v>
      </c>
      <c r="D161" s="828" t="s">
        <v>3013</v>
      </c>
      <c r="E161" s="827">
        <v>19909</v>
      </c>
      <c r="F161" s="647">
        <v>678000</v>
      </c>
      <c r="G161" s="806" t="s">
        <v>3001</v>
      </c>
      <c r="H161" s="663" t="s">
        <v>2978</v>
      </c>
      <c r="I161" s="828" t="s">
        <v>2954</v>
      </c>
      <c r="J161" s="829" t="s">
        <v>3144</v>
      </c>
      <c r="K161" s="827"/>
      <c r="L161" s="829"/>
      <c r="N161" s="840"/>
    </row>
    <row r="162" spans="1:14" s="124" customFormat="1" ht="41.4" hidden="1">
      <c r="A162" s="827">
        <f t="shared" si="5"/>
        <v>156</v>
      </c>
      <c r="B162" s="806" t="s">
        <v>3050</v>
      </c>
      <c r="C162" s="830" t="str">
        <f t="shared" si="4"/>
        <v>05.2016</v>
      </c>
      <c r="D162" s="828" t="s">
        <v>3013</v>
      </c>
      <c r="E162" s="827">
        <v>19909</v>
      </c>
      <c r="F162" s="647">
        <v>350000</v>
      </c>
      <c r="G162" s="806" t="s">
        <v>3001</v>
      </c>
      <c r="H162" s="663" t="s">
        <v>2978</v>
      </c>
      <c r="I162" s="828" t="s">
        <v>2953</v>
      </c>
      <c r="J162" s="829" t="s">
        <v>3145</v>
      </c>
      <c r="K162" s="827"/>
      <c r="L162" s="829"/>
      <c r="N162" s="840"/>
    </row>
    <row r="163" spans="1:14" s="124" customFormat="1" ht="41.4" hidden="1">
      <c r="A163" s="827">
        <f t="shared" si="5"/>
        <v>157</v>
      </c>
      <c r="B163" s="806" t="s">
        <v>3051</v>
      </c>
      <c r="C163" s="830" t="str">
        <f t="shared" si="4"/>
        <v>08.2016</v>
      </c>
      <c r="D163" s="828" t="s">
        <v>3013</v>
      </c>
      <c r="E163" s="827">
        <v>19909</v>
      </c>
      <c r="F163" s="647">
        <v>520000</v>
      </c>
      <c r="G163" s="806" t="s">
        <v>3001</v>
      </c>
      <c r="H163" s="663" t="s">
        <v>2978</v>
      </c>
      <c r="I163" s="828" t="s">
        <v>2954</v>
      </c>
      <c r="J163" s="829" t="s">
        <v>3146</v>
      </c>
      <c r="K163" s="827"/>
      <c r="L163" s="829"/>
      <c r="N163" s="840"/>
    </row>
    <row r="164" spans="1:14" s="124" customFormat="1" ht="41.4" hidden="1">
      <c r="A164" s="827">
        <f t="shared" si="5"/>
        <v>158</v>
      </c>
      <c r="B164" s="806" t="s">
        <v>3052</v>
      </c>
      <c r="C164" s="830" t="str">
        <f t="shared" si="4"/>
        <v>08.2016</v>
      </c>
      <c r="D164" s="828" t="s">
        <v>3013</v>
      </c>
      <c r="E164" s="827">
        <v>19909</v>
      </c>
      <c r="F164" s="647">
        <v>238000</v>
      </c>
      <c r="G164" s="806" t="s">
        <v>3001</v>
      </c>
      <c r="H164" s="663" t="s">
        <v>2978</v>
      </c>
      <c r="I164" s="828" t="s">
        <v>2953</v>
      </c>
      <c r="J164" s="829" t="s">
        <v>3147</v>
      </c>
      <c r="K164" s="827"/>
      <c r="L164" s="829"/>
      <c r="N164" s="840"/>
    </row>
    <row r="165" spans="1:14" s="124" customFormat="1" ht="41.4" hidden="1">
      <c r="A165" s="827">
        <f t="shared" si="5"/>
        <v>159</v>
      </c>
      <c r="B165" s="806" t="s">
        <v>2008</v>
      </c>
      <c r="C165" s="830" t="str">
        <f t="shared" si="4"/>
        <v>08.2016</v>
      </c>
      <c r="D165" s="828" t="s">
        <v>3013</v>
      </c>
      <c r="E165" s="827">
        <v>19909</v>
      </c>
      <c r="F165" s="647">
        <v>112000</v>
      </c>
      <c r="G165" s="806" t="s">
        <v>2908</v>
      </c>
      <c r="H165" s="663" t="s">
        <v>2988</v>
      </c>
      <c r="I165" s="828" t="s">
        <v>2964</v>
      </c>
      <c r="J165" s="829" t="s">
        <v>3148</v>
      </c>
      <c r="K165" s="827"/>
      <c r="L165" s="829"/>
      <c r="N165" s="840"/>
    </row>
    <row r="166" spans="1:14" s="124" customFormat="1" ht="41.4" hidden="1">
      <c r="A166" s="827">
        <f t="shared" si="5"/>
        <v>160</v>
      </c>
      <c r="B166" s="806" t="s">
        <v>2941</v>
      </c>
      <c r="C166" s="830" t="str">
        <f t="shared" si="4"/>
        <v>10.2016</v>
      </c>
      <c r="D166" s="828" t="s">
        <v>3013</v>
      </c>
      <c r="E166" s="827">
        <v>19909</v>
      </c>
      <c r="F166" s="647">
        <v>862800</v>
      </c>
      <c r="G166" s="806" t="s">
        <v>3001</v>
      </c>
      <c r="H166" s="663" t="s">
        <v>2978</v>
      </c>
      <c r="I166" s="828" t="s">
        <v>2954</v>
      </c>
      <c r="J166" s="829" t="s">
        <v>3149</v>
      </c>
      <c r="K166" s="827"/>
      <c r="L166" s="829"/>
      <c r="N166" s="840"/>
    </row>
    <row r="167" spans="1:14" s="124" customFormat="1" ht="41.4" hidden="1">
      <c r="A167" s="827">
        <f t="shared" si="5"/>
        <v>161</v>
      </c>
      <c r="B167" s="806" t="s">
        <v>2941</v>
      </c>
      <c r="C167" s="830" t="str">
        <f t="shared" si="4"/>
        <v>10.2016</v>
      </c>
      <c r="D167" s="828" t="s">
        <v>3013</v>
      </c>
      <c r="E167" s="827">
        <v>19909</v>
      </c>
      <c r="F167" s="647">
        <v>32000</v>
      </c>
      <c r="G167" s="806" t="s">
        <v>2908</v>
      </c>
      <c r="H167" s="663" t="s">
        <v>2988</v>
      </c>
      <c r="I167" s="828" t="s">
        <v>2964</v>
      </c>
      <c r="J167" s="829" t="s">
        <v>3150</v>
      </c>
      <c r="K167" s="827"/>
      <c r="L167" s="829"/>
      <c r="N167" s="840"/>
    </row>
    <row r="168" spans="1:14" s="124" customFormat="1" ht="41.4" hidden="1">
      <c r="A168" s="827">
        <f t="shared" si="5"/>
        <v>162</v>
      </c>
      <c r="B168" s="806" t="s">
        <v>3053</v>
      </c>
      <c r="C168" s="830" t="str">
        <f t="shared" si="4"/>
        <v>10.2016</v>
      </c>
      <c r="D168" s="828" t="s">
        <v>3013</v>
      </c>
      <c r="E168" s="827">
        <v>19909</v>
      </c>
      <c r="F168" s="647">
        <v>250000</v>
      </c>
      <c r="G168" s="806" t="s">
        <v>3001</v>
      </c>
      <c r="H168" s="663" t="s">
        <v>2978</v>
      </c>
      <c r="I168" s="828" t="s">
        <v>2953</v>
      </c>
      <c r="J168" s="829" t="s">
        <v>3151</v>
      </c>
      <c r="K168" s="827"/>
      <c r="L168" s="829"/>
      <c r="N168" s="840"/>
    </row>
    <row r="169" spans="1:14" s="124" customFormat="1" ht="41.4" hidden="1">
      <c r="A169" s="827">
        <f t="shared" si="5"/>
        <v>163</v>
      </c>
      <c r="B169" s="806" t="s">
        <v>3053</v>
      </c>
      <c r="C169" s="830" t="str">
        <f t="shared" si="4"/>
        <v>10.2016</v>
      </c>
      <c r="D169" s="828" t="s">
        <v>3013</v>
      </c>
      <c r="E169" s="827">
        <v>19909</v>
      </c>
      <c r="F169" s="647">
        <v>645000</v>
      </c>
      <c r="G169" s="806" t="s">
        <v>3001</v>
      </c>
      <c r="H169" s="663" t="s">
        <v>2978</v>
      </c>
      <c r="I169" s="828" t="s">
        <v>2954</v>
      </c>
      <c r="J169" s="829" t="s">
        <v>3152</v>
      </c>
      <c r="K169" s="827"/>
      <c r="L169" s="829"/>
      <c r="N169" s="840"/>
    </row>
    <row r="170" spans="1:14" s="124" customFormat="1" ht="41.4" hidden="1">
      <c r="A170" s="827">
        <f t="shared" si="5"/>
        <v>164</v>
      </c>
      <c r="B170" s="806" t="s">
        <v>3054</v>
      </c>
      <c r="C170" s="830" t="str">
        <f t="shared" si="4"/>
        <v>11.2016</v>
      </c>
      <c r="D170" s="828" t="s">
        <v>3013</v>
      </c>
      <c r="E170" s="827">
        <v>19909</v>
      </c>
      <c r="F170" s="647">
        <v>863200</v>
      </c>
      <c r="G170" s="806" t="s">
        <v>3001</v>
      </c>
      <c r="H170" s="663" t="s">
        <v>2978</v>
      </c>
      <c r="I170" s="828" t="s">
        <v>2954</v>
      </c>
      <c r="J170" s="829" t="s">
        <v>3153</v>
      </c>
      <c r="K170" s="827"/>
      <c r="L170" s="829"/>
      <c r="N170" s="840"/>
    </row>
    <row r="171" spans="1:14" s="124" customFormat="1" ht="41.4" hidden="1">
      <c r="A171" s="827">
        <f t="shared" si="5"/>
        <v>165</v>
      </c>
      <c r="B171" s="806" t="s">
        <v>3054</v>
      </c>
      <c r="C171" s="830" t="str">
        <f t="shared" si="4"/>
        <v>11.2016</v>
      </c>
      <c r="D171" s="828" t="s">
        <v>3013</v>
      </c>
      <c r="E171" s="827">
        <v>19909</v>
      </c>
      <c r="F171" s="647">
        <v>585000</v>
      </c>
      <c r="G171" s="806" t="s">
        <v>3001</v>
      </c>
      <c r="H171" s="663" t="s">
        <v>2978</v>
      </c>
      <c r="I171" s="828" t="s">
        <v>2953</v>
      </c>
      <c r="J171" s="829" t="s">
        <v>3154</v>
      </c>
      <c r="K171" s="827"/>
      <c r="L171" s="829"/>
      <c r="N171" s="840"/>
    </row>
    <row r="172" spans="1:14" s="124" customFormat="1" ht="41.4" hidden="1">
      <c r="A172" s="827">
        <f t="shared" si="5"/>
        <v>166</v>
      </c>
      <c r="B172" s="806" t="s">
        <v>3055</v>
      </c>
      <c r="C172" s="830" t="str">
        <f t="shared" si="4"/>
        <v>12.2016</v>
      </c>
      <c r="D172" s="828" t="s">
        <v>3013</v>
      </c>
      <c r="E172" s="827">
        <v>19909</v>
      </c>
      <c r="F172" s="647">
        <v>780000</v>
      </c>
      <c r="G172" s="806" t="s">
        <v>3001</v>
      </c>
      <c r="H172" s="663" t="s">
        <v>2978</v>
      </c>
      <c r="I172" s="828" t="s">
        <v>2953</v>
      </c>
      <c r="J172" s="829" t="s">
        <v>3155</v>
      </c>
      <c r="K172" s="827"/>
      <c r="L172" s="829"/>
      <c r="N172" s="840"/>
    </row>
    <row r="173" spans="1:14" s="124" customFormat="1" ht="41.4" hidden="1">
      <c r="A173" s="827">
        <f t="shared" si="5"/>
        <v>167</v>
      </c>
      <c r="B173" s="806" t="s">
        <v>2936</v>
      </c>
      <c r="C173" s="830" t="str">
        <f t="shared" si="4"/>
        <v>12.2016</v>
      </c>
      <c r="D173" s="828" t="s">
        <v>3013</v>
      </c>
      <c r="E173" s="827">
        <v>19909</v>
      </c>
      <c r="F173" s="647">
        <v>126000</v>
      </c>
      <c r="G173" s="806" t="s">
        <v>2908</v>
      </c>
      <c r="H173" s="663" t="s">
        <v>2988</v>
      </c>
      <c r="I173" s="828" t="s">
        <v>2964</v>
      </c>
      <c r="J173" s="829" t="s">
        <v>3156</v>
      </c>
      <c r="K173" s="827"/>
      <c r="L173" s="829"/>
      <c r="N173" s="840"/>
    </row>
    <row r="174" spans="1:14" s="649" customFormat="1" ht="41.4" hidden="1">
      <c r="A174" s="868">
        <f t="shared" si="5"/>
        <v>168</v>
      </c>
      <c r="B174" s="869" t="s">
        <v>3056</v>
      </c>
      <c r="C174" s="717" t="str">
        <f t="shared" si="4"/>
        <v>01.2017</v>
      </c>
      <c r="D174" s="870" t="s">
        <v>3013</v>
      </c>
      <c r="E174" s="868">
        <v>19909</v>
      </c>
      <c r="F174" s="742">
        <v>136000</v>
      </c>
      <c r="G174" s="869" t="s">
        <v>3004</v>
      </c>
      <c r="H174" s="731" t="s">
        <v>2985</v>
      </c>
      <c r="I174" s="870" t="s">
        <v>2961</v>
      </c>
      <c r="J174" s="871" t="s">
        <v>3157</v>
      </c>
      <c r="K174" s="868"/>
      <c r="L174" s="871"/>
      <c r="N174" s="872"/>
    </row>
    <row r="175" spans="1:14" s="649" customFormat="1" ht="41.4" hidden="1">
      <c r="A175" s="868">
        <f t="shared" si="5"/>
        <v>169</v>
      </c>
      <c r="B175" s="869" t="s">
        <v>2772</v>
      </c>
      <c r="C175" s="717" t="str">
        <f t="shared" si="4"/>
        <v>01.2017</v>
      </c>
      <c r="D175" s="870" t="s">
        <v>3013</v>
      </c>
      <c r="E175" s="868">
        <v>19909</v>
      </c>
      <c r="F175" s="742">
        <v>940200</v>
      </c>
      <c r="G175" s="869" t="s">
        <v>3001</v>
      </c>
      <c r="H175" s="731" t="s">
        <v>2978</v>
      </c>
      <c r="I175" s="870" t="s">
        <v>2953</v>
      </c>
      <c r="J175" s="871" t="s">
        <v>3158</v>
      </c>
      <c r="K175" s="868"/>
      <c r="L175" s="871"/>
      <c r="N175" s="872"/>
    </row>
    <row r="176" spans="1:14" s="649" customFormat="1" ht="41.4" hidden="1">
      <c r="A176" s="868">
        <f t="shared" si="5"/>
        <v>170</v>
      </c>
      <c r="B176" s="869" t="s">
        <v>2772</v>
      </c>
      <c r="C176" s="717" t="str">
        <f t="shared" si="4"/>
        <v>01.2017</v>
      </c>
      <c r="D176" s="870" t="s">
        <v>3013</v>
      </c>
      <c r="E176" s="868">
        <v>19909</v>
      </c>
      <c r="F176" s="742">
        <v>326200</v>
      </c>
      <c r="G176" s="869" t="s">
        <v>3001</v>
      </c>
      <c r="H176" s="731" t="s">
        <v>2978</v>
      </c>
      <c r="I176" s="870" t="s">
        <v>2953</v>
      </c>
      <c r="J176" s="871" t="s">
        <v>3159</v>
      </c>
      <c r="K176" s="868"/>
      <c r="L176" s="871"/>
      <c r="N176" s="872"/>
    </row>
    <row r="177" spans="1:14" s="649" customFormat="1" ht="41.4" hidden="1">
      <c r="A177" s="868">
        <f t="shared" si="5"/>
        <v>171</v>
      </c>
      <c r="B177" s="869" t="s">
        <v>2947</v>
      </c>
      <c r="C177" s="717" t="str">
        <f t="shared" si="4"/>
        <v>08.2017</v>
      </c>
      <c r="D177" s="870" t="s">
        <v>3013</v>
      </c>
      <c r="E177" s="868">
        <v>19909</v>
      </c>
      <c r="F177" s="742">
        <v>160000</v>
      </c>
      <c r="G177" s="869" t="s">
        <v>3004</v>
      </c>
      <c r="H177" s="731" t="s">
        <v>2985</v>
      </c>
      <c r="I177" s="870" t="s">
        <v>2961</v>
      </c>
      <c r="J177" s="871" t="s">
        <v>3160</v>
      </c>
      <c r="K177" s="868"/>
      <c r="L177" s="871"/>
      <c r="N177" s="872"/>
    </row>
    <row r="178" spans="1:14" s="649" customFormat="1" ht="41.4" hidden="1">
      <c r="A178" s="868">
        <f t="shared" si="5"/>
        <v>172</v>
      </c>
      <c r="B178" s="869" t="s">
        <v>3057</v>
      </c>
      <c r="C178" s="717" t="str">
        <f t="shared" si="4"/>
        <v>09.2017</v>
      </c>
      <c r="D178" s="870" t="s">
        <v>3013</v>
      </c>
      <c r="E178" s="868">
        <v>19909</v>
      </c>
      <c r="F178" s="742">
        <v>750000</v>
      </c>
      <c r="G178" s="869" t="s">
        <v>3012</v>
      </c>
      <c r="H178" s="731" t="s">
        <v>3000</v>
      </c>
      <c r="I178" s="870" t="s">
        <v>2976</v>
      </c>
      <c r="J178" s="871" t="s">
        <v>3161</v>
      </c>
      <c r="K178" s="868"/>
      <c r="L178" s="871"/>
      <c r="N178" s="872"/>
    </row>
    <row r="179" spans="1:14" s="649" customFormat="1" ht="41.4" hidden="1">
      <c r="A179" s="868">
        <f t="shared" si="5"/>
        <v>173</v>
      </c>
      <c r="B179" s="869" t="s">
        <v>3058</v>
      </c>
      <c r="C179" s="717" t="str">
        <f t="shared" si="4"/>
        <v>10.2017</v>
      </c>
      <c r="D179" s="870" t="s">
        <v>3013</v>
      </c>
      <c r="E179" s="868">
        <v>19909</v>
      </c>
      <c r="F179" s="742">
        <v>45390</v>
      </c>
      <c r="G179" s="869" t="s">
        <v>3011</v>
      </c>
      <c r="H179" s="731" t="s">
        <v>2998</v>
      </c>
      <c r="I179" s="870" t="s">
        <v>2974</v>
      </c>
      <c r="J179" s="871" t="s">
        <v>3162</v>
      </c>
      <c r="K179" s="868"/>
      <c r="L179" s="871"/>
      <c r="N179" s="872"/>
    </row>
    <row r="180" spans="1:14" s="649" customFormat="1" ht="55.2" hidden="1">
      <c r="A180" s="868">
        <f t="shared" si="5"/>
        <v>174</v>
      </c>
      <c r="B180" s="869" t="s">
        <v>3169</v>
      </c>
      <c r="C180" s="717" t="str">
        <f t="shared" si="4"/>
        <v>09.2017</v>
      </c>
      <c r="D180" s="870" t="s">
        <v>2700</v>
      </c>
      <c r="E180" s="868">
        <v>19921</v>
      </c>
      <c r="F180" s="742">
        <v>213800</v>
      </c>
      <c r="G180" s="869" t="s">
        <v>2805</v>
      </c>
      <c r="H180" s="731" t="s">
        <v>2803</v>
      </c>
      <c r="I180" s="870" t="s">
        <v>2798</v>
      </c>
      <c r="J180" s="871" t="s">
        <v>3208</v>
      </c>
      <c r="K180" s="868"/>
      <c r="L180" s="871"/>
      <c r="N180" s="872"/>
    </row>
    <row r="181" spans="1:14" s="649" customFormat="1" ht="41.4" hidden="1">
      <c r="A181" s="868">
        <f t="shared" si="5"/>
        <v>175</v>
      </c>
      <c r="B181" s="869" t="s">
        <v>3170</v>
      </c>
      <c r="C181" s="717" t="str">
        <f t="shared" si="4"/>
        <v>11.2017</v>
      </c>
      <c r="D181" s="870" t="s">
        <v>2700</v>
      </c>
      <c r="E181" s="868">
        <v>19921</v>
      </c>
      <c r="F181" s="742">
        <v>143500</v>
      </c>
      <c r="G181" s="869" t="s">
        <v>2805</v>
      </c>
      <c r="H181" s="731" t="s">
        <v>2803</v>
      </c>
      <c r="I181" s="870" t="s">
        <v>2798</v>
      </c>
      <c r="J181" s="871" t="s">
        <v>3209</v>
      </c>
      <c r="K181" s="868"/>
      <c r="L181" s="871"/>
      <c r="N181" s="872"/>
    </row>
    <row r="182" spans="1:14" s="124" customFormat="1" ht="41.4" hidden="1">
      <c r="A182" s="827">
        <f t="shared" si="5"/>
        <v>176</v>
      </c>
      <c r="B182" s="806" t="s">
        <v>3171</v>
      </c>
      <c r="C182" s="830" t="str">
        <f t="shared" si="4"/>
        <v>01.2016</v>
      </c>
      <c r="D182" s="828" t="s">
        <v>2700</v>
      </c>
      <c r="E182" s="827">
        <v>19921</v>
      </c>
      <c r="F182" s="647">
        <v>1301930</v>
      </c>
      <c r="G182" s="806" t="s">
        <v>2805</v>
      </c>
      <c r="H182" s="663" t="s">
        <v>2801</v>
      </c>
      <c r="I182" s="828" t="s">
        <v>2796</v>
      </c>
      <c r="J182" s="829" t="s">
        <v>3210</v>
      </c>
      <c r="K182" s="827"/>
      <c r="L182" s="829"/>
      <c r="N182" s="840"/>
    </row>
    <row r="183" spans="1:14" s="124" customFormat="1" ht="41.4" hidden="1">
      <c r="A183" s="827">
        <f t="shared" si="5"/>
        <v>177</v>
      </c>
      <c r="B183" s="806" t="s">
        <v>2056</v>
      </c>
      <c r="C183" s="830" t="str">
        <f t="shared" si="4"/>
        <v>05.2016</v>
      </c>
      <c r="D183" s="828" t="s">
        <v>2700</v>
      </c>
      <c r="E183" s="827">
        <v>19921</v>
      </c>
      <c r="F183" s="647">
        <v>18000</v>
      </c>
      <c r="G183" s="806" t="s">
        <v>2805</v>
      </c>
      <c r="H183" s="663" t="s">
        <v>2801</v>
      </c>
      <c r="I183" s="828" t="s">
        <v>2796</v>
      </c>
      <c r="J183" s="829" t="s">
        <v>3211</v>
      </c>
      <c r="K183" s="827"/>
      <c r="L183" s="829"/>
      <c r="N183" s="840"/>
    </row>
    <row r="184" spans="1:14" s="124" customFormat="1" ht="41.4" hidden="1">
      <c r="A184" s="827">
        <f t="shared" si="5"/>
        <v>178</v>
      </c>
      <c r="B184" s="806" t="s">
        <v>2012</v>
      </c>
      <c r="C184" s="830" t="str">
        <f t="shared" si="4"/>
        <v>05.2016</v>
      </c>
      <c r="D184" s="828" t="s">
        <v>2700</v>
      </c>
      <c r="E184" s="827">
        <v>19921</v>
      </c>
      <c r="F184" s="647">
        <v>450000</v>
      </c>
      <c r="G184" s="806" t="s">
        <v>2805</v>
      </c>
      <c r="H184" s="663" t="s">
        <v>3163</v>
      </c>
      <c r="I184" s="828" t="s">
        <v>3202</v>
      </c>
      <c r="J184" s="829" t="s">
        <v>3212</v>
      </c>
      <c r="K184" s="827"/>
      <c r="L184" s="829"/>
      <c r="N184" s="840"/>
    </row>
    <row r="185" spans="1:14" s="124" customFormat="1" ht="41.4" hidden="1">
      <c r="A185" s="827">
        <f t="shared" si="5"/>
        <v>179</v>
      </c>
      <c r="B185" s="806" t="s">
        <v>2767</v>
      </c>
      <c r="C185" s="830" t="str">
        <f t="shared" si="4"/>
        <v>07.2016</v>
      </c>
      <c r="D185" s="828" t="s">
        <v>2700</v>
      </c>
      <c r="E185" s="827">
        <v>19921</v>
      </c>
      <c r="F185" s="647">
        <v>125000</v>
      </c>
      <c r="G185" s="806" t="s">
        <v>2805</v>
      </c>
      <c r="H185" s="663" t="s">
        <v>2801</v>
      </c>
      <c r="I185" s="828" t="s">
        <v>2796</v>
      </c>
      <c r="J185" s="829" t="s">
        <v>3213</v>
      </c>
      <c r="K185" s="827"/>
      <c r="L185" s="829"/>
      <c r="N185" s="840"/>
    </row>
    <row r="186" spans="1:14" s="124" customFormat="1" ht="41.4" hidden="1">
      <c r="A186" s="827">
        <f t="shared" si="5"/>
        <v>180</v>
      </c>
      <c r="B186" s="806" t="s">
        <v>2769</v>
      </c>
      <c r="C186" s="830" t="str">
        <f t="shared" si="4"/>
        <v>10.2016</v>
      </c>
      <c r="D186" s="828" t="s">
        <v>2700</v>
      </c>
      <c r="E186" s="827">
        <v>19921</v>
      </c>
      <c r="F186" s="647">
        <v>30456</v>
      </c>
      <c r="G186" s="806" t="s">
        <v>2805</v>
      </c>
      <c r="H186" s="663" t="s">
        <v>2801</v>
      </c>
      <c r="I186" s="828" t="s">
        <v>2796</v>
      </c>
      <c r="J186" s="829" t="s">
        <v>3214</v>
      </c>
      <c r="K186" s="827"/>
      <c r="L186" s="829"/>
      <c r="N186" s="840"/>
    </row>
    <row r="187" spans="1:14" s="124" customFormat="1" ht="41.4" hidden="1">
      <c r="A187" s="827">
        <f t="shared" si="5"/>
        <v>181</v>
      </c>
      <c r="B187" s="806" t="s">
        <v>3172</v>
      </c>
      <c r="C187" s="830" t="str">
        <f t="shared" si="4"/>
        <v>11.2016</v>
      </c>
      <c r="D187" s="828" t="s">
        <v>2700</v>
      </c>
      <c r="E187" s="827">
        <v>19921</v>
      </c>
      <c r="F187" s="647">
        <v>34200</v>
      </c>
      <c r="G187" s="806" t="s">
        <v>2805</v>
      </c>
      <c r="H187" s="663" t="s">
        <v>2801</v>
      </c>
      <c r="I187" s="828" t="s">
        <v>2796</v>
      </c>
      <c r="J187" s="829" t="s">
        <v>3215</v>
      </c>
      <c r="K187" s="827"/>
      <c r="L187" s="829"/>
      <c r="N187" s="840"/>
    </row>
    <row r="188" spans="1:14" s="124" customFormat="1" ht="41.4" hidden="1">
      <c r="A188" s="827">
        <f t="shared" si="5"/>
        <v>182</v>
      </c>
      <c r="B188" s="806" t="s">
        <v>2770</v>
      </c>
      <c r="C188" s="830" t="str">
        <f t="shared" si="4"/>
        <v>11.2016</v>
      </c>
      <c r="D188" s="828" t="s">
        <v>2700</v>
      </c>
      <c r="E188" s="827">
        <v>19921</v>
      </c>
      <c r="F188" s="647">
        <v>44700</v>
      </c>
      <c r="G188" s="806" t="s">
        <v>2805</v>
      </c>
      <c r="H188" s="663" t="s">
        <v>3163</v>
      </c>
      <c r="I188" s="828" t="s">
        <v>3202</v>
      </c>
      <c r="J188" s="829" t="s">
        <v>3216</v>
      </c>
      <c r="K188" s="827"/>
      <c r="L188" s="829"/>
      <c r="N188" s="840"/>
    </row>
    <row r="189" spans="1:14" s="124" customFormat="1" ht="41.4">
      <c r="A189" s="827">
        <f t="shared" si="5"/>
        <v>183</v>
      </c>
      <c r="B189" s="806" t="s">
        <v>3173</v>
      </c>
      <c r="C189" s="830" t="str">
        <f t="shared" si="4"/>
        <v>01.2017</v>
      </c>
      <c r="D189" s="828" t="s">
        <v>2700</v>
      </c>
      <c r="E189" s="827">
        <v>19921</v>
      </c>
      <c r="F189" s="647">
        <v>187500</v>
      </c>
      <c r="G189" s="806" t="s">
        <v>2805</v>
      </c>
      <c r="H189" s="663" t="s">
        <v>2801</v>
      </c>
      <c r="I189" s="828" t="s">
        <v>2796</v>
      </c>
      <c r="J189" s="829" t="s">
        <v>3217</v>
      </c>
      <c r="K189" s="827"/>
      <c r="L189" s="829"/>
      <c r="N189" s="840"/>
    </row>
    <row r="190" spans="1:14" s="124" customFormat="1" ht="41.4" hidden="1">
      <c r="A190" s="827">
        <f t="shared" si="5"/>
        <v>184</v>
      </c>
      <c r="B190" s="806" t="s">
        <v>3174</v>
      </c>
      <c r="C190" s="830" t="str">
        <f t="shared" si="4"/>
        <v>04.2016</v>
      </c>
      <c r="D190" s="828" t="s">
        <v>2700</v>
      </c>
      <c r="E190" s="827">
        <v>19921</v>
      </c>
      <c r="F190" s="647">
        <v>107800.62</v>
      </c>
      <c r="G190" s="806" t="s">
        <v>2805</v>
      </c>
      <c r="H190" s="663" t="s">
        <v>2801</v>
      </c>
      <c r="I190" s="828" t="s">
        <v>2796</v>
      </c>
      <c r="J190" s="829" t="s">
        <v>3218</v>
      </c>
      <c r="K190" s="827"/>
      <c r="L190" s="829"/>
      <c r="N190" s="840"/>
    </row>
    <row r="191" spans="1:14" s="124" customFormat="1" ht="41.4" hidden="1">
      <c r="A191" s="827">
        <f t="shared" si="5"/>
        <v>185</v>
      </c>
      <c r="B191" s="806" t="s">
        <v>2008</v>
      </c>
      <c r="C191" s="830" t="str">
        <f t="shared" si="4"/>
        <v>08.2016</v>
      </c>
      <c r="D191" s="828" t="s">
        <v>2700</v>
      </c>
      <c r="E191" s="827">
        <v>19921</v>
      </c>
      <c r="F191" s="647">
        <v>434774.6</v>
      </c>
      <c r="G191" s="806" t="s">
        <v>2805</v>
      </c>
      <c r="H191" s="663" t="s">
        <v>3164</v>
      </c>
      <c r="I191" s="828" t="s">
        <v>3203</v>
      </c>
      <c r="J191" s="829" t="s">
        <v>3219</v>
      </c>
      <c r="K191" s="827"/>
      <c r="L191" s="829"/>
      <c r="N191" s="840"/>
    </row>
    <row r="192" spans="1:14" s="124" customFormat="1" ht="41.4">
      <c r="A192" s="827">
        <f t="shared" si="5"/>
        <v>186</v>
      </c>
      <c r="B192" s="806" t="s">
        <v>3175</v>
      </c>
      <c r="C192" s="830" t="str">
        <f t="shared" si="4"/>
        <v>04.2017</v>
      </c>
      <c r="D192" s="828" t="s">
        <v>2700</v>
      </c>
      <c r="E192" s="827">
        <v>19921</v>
      </c>
      <c r="F192" s="647">
        <v>178800</v>
      </c>
      <c r="G192" s="806" t="s">
        <v>2805</v>
      </c>
      <c r="H192" s="663" t="s">
        <v>2803</v>
      </c>
      <c r="I192" s="828" t="s">
        <v>2798</v>
      </c>
      <c r="J192" s="829" t="s">
        <v>3220</v>
      </c>
      <c r="K192" s="827"/>
      <c r="L192" s="829"/>
      <c r="N192" s="840"/>
    </row>
    <row r="193" spans="1:14" s="124" customFormat="1" ht="41.4">
      <c r="A193" s="827">
        <f t="shared" si="5"/>
        <v>187</v>
      </c>
      <c r="B193" s="806" t="s">
        <v>2778</v>
      </c>
      <c r="C193" s="830" t="str">
        <f t="shared" si="4"/>
        <v>05.2017</v>
      </c>
      <c r="D193" s="828" t="s">
        <v>2700</v>
      </c>
      <c r="E193" s="827">
        <v>19921</v>
      </c>
      <c r="F193" s="647">
        <v>11797250</v>
      </c>
      <c r="G193" s="806" t="s">
        <v>2805</v>
      </c>
      <c r="H193" s="663" t="s">
        <v>2801</v>
      </c>
      <c r="I193" s="828" t="s">
        <v>2796</v>
      </c>
      <c r="J193" s="829" t="s">
        <v>2821</v>
      </c>
      <c r="K193" s="827"/>
      <c r="L193" s="829"/>
      <c r="N193" s="840"/>
    </row>
    <row r="194" spans="1:14" s="649" customFormat="1" ht="55.2" hidden="1">
      <c r="A194" s="868">
        <f t="shared" si="5"/>
        <v>188</v>
      </c>
      <c r="B194" s="869" t="s">
        <v>3176</v>
      </c>
      <c r="C194" s="717" t="str">
        <f t="shared" si="4"/>
        <v>06.2017</v>
      </c>
      <c r="D194" s="870" t="s">
        <v>2700</v>
      </c>
      <c r="E194" s="868">
        <v>19921</v>
      </c>
      <c r="F194" s="742">
        <v>1500000</v>
      </c>
      <c r="G194" s="869" t="s">
        <v>2805</v>
      </c>
      <c r="H194" s="731" t="s">
        <v>3165</v>
      </c>
      <c r="I194" s="870" t="s">
        <v>3204</v>
      </c>
      <c r="J194" s="871" t="s">
        <v>3221</v>
      </c>
      <c r="K194" s="868"/>
      <c r="L194" s="871"/>
      <c r="N194" s="872"/>
    </row>
    <row r="195" spans="1:14" s="649" customFormat="1" ht="41.4" hidden="1">
      <c r="A195" s="868">
        <f t="shared" si="5"/>
        <v>189</v>
      </c>
      <c r="B195" s="869" t="s">
        <v>2784</v>
      </c>
      <c r="C195" s="717" t="str">
        <f t="shared" si="4"/>
        <v>08.2017</v>
      </c>
      <c r="D195" s="870" t="s">
        <v>2700</v>
      </c>
      <c r="E195" s="868">
        <v>19921</v>
      </c>
      <c r="F195" s="742">
        <v>800000</v>
      </c>
      <c r="G195" s="869" t="s">
        <v>2805</v>
      </c>
      <c r="H195" s="731" t="s">
        <v>2803</v>
      </c>
      <c r="I195" s="870" t="s">
        <v>2798</v>
      </c>
      <c r="J195" s="871" t="s">
        <v>3222</v>
      </c>
      <c r="K195" s="868"/>
      <c r="L195" s="871"/>
      <c r="N195" s="872"/>
    </row>
    <row r="196" spans="1:14" s="649" customFormat="1" ht="41.4" hidden="1">
      <c r="A196" s="868">
        <f t="shared" si="5"/>
        <v>190</v>
      </c>
      <c r="B196" s="869" t="s">
        <v>2787</v>
      </c>
      <c r="C196" s="717" t="str">
        <f t="shared" si="4"/>
        <v>10.2017</v>
      </c>
      <c r="D196" s="870" t="s">
        <v>2700</v>
      </c>
      <c r="E196" s="868">
        <v>19921</v>
      </c>
      <c r="F196" s="742">
        <v>225744.12</v>
      </c>
      <c r="G196" s="869" t="s">
        <v>2805</v>
      </c>
      <c r="H196" s="731" t="s">
        <v>2801</v>
      </c>
      <c r="I196" s="870" t="s">
        <v>2796</v>
      </c>
      <c r="J196" s="871" t="s">
        <v>2831</v>
      </c>
      <c r="K196" s="868"/>
      <c r="L196" s="871"/>
      <c r="N196" s="872"/>
    </row>
    <row r="197" spans="1:14" s="649" customFormat="1" ht="41.4" hidden="1">
      <c r="A197" s="868">
        <f t="shared" si="5"/>
        <v>191</v>
      </c>
      <c r="B197" s="869" t="s">
        <v>3177</v>
      </c>
      <c r="C197" s="717" t="str">
        <f t="shared" si="4"/>
        <v>11.2017</v>
      </c>
      <c r="D197" s="870" t="s">
        <v>2700</v>
      </c>
      <c r="E197" s="868">
        <v>19921</v>
      </c>
      <c r="F197" s="742">
        <v>489060</v>
      </c>
      <c r="G197" s="869" t="s">
        <v>2805</v>
      </c>
      <c r="H197" s="731" t="s">
        <v>2801</v>
      </c>
      <c r="I197" s="870" t="s">
        <v>2796</v>
      </c>
      <c r="J197" s="871" t="s">
        <v>3223</v>
      </c>
      <c r="K197" s="868"/>
      <c r="L197" s="871"/>
      <c r="N197" s="872"/>
    </row>
    <row r="198" spans="1:14" s="649" customFormat="1" ht="41.4" hidden="1">
      <c r="A198" s="868">
        <f t="shared" si="5"/>
        <v>192</v>
      </c>
      <c r="B198" s="869" t="s">
        <v>3170</v>
      </c>
      <c r="C198" s="717" t="str">
        <f t="shared" si="4"/>
        <v>11.2017</v>
      </c>
      <c r="D198" s="870" t="s">
        <v>2700</v>
      </c>
      <c r="E198" s="868">
        <v>19921</v>
      </c>
      <c r="F198" s="742">
        <v>800000</v>
      </c>
      <c r="G198" s="869" t="s">
        <v>2805</v>
      </c>
      <c r="H198" s="731" t="s">
        <v>2803</v>
      </c>
      <c r="I198" s="870" t="s">
        <v>2798</v>
      </c>
      <c r="J198" s="871" t="s">
        <v>3224</v>
      </c>
      <c r="K198" s="868"/>
      <c r="L198" s="871"/>
      <c r="N198" s="872"/>
    </row>
    <row r="199" spans="1:14" s="649" customFormat="1" ht="41.4" hidden="1">
      <c r="A199" s="868">
        <f t="shared" si="5"/>
        <v>193</v>
      </c>
      <c r="B199" s="869" t="s">
        <v>3170</v>
      </c>
      <c r="C199" s="717" t="str">
        <f t="shared" ref="C199:C262" si="6">+MID(B199,4,8)</f>
        <v>11.2017</v>
      </c>
      <c r="D199" s="870" t="s">
        <v>2700</v>
      </c>
      <c r="E199" s="868">
        <v>19921</v>
      </c>
      <c r="F199" s="742">
        <v>750000</v>
      </c>
      <c r="G199" s="869" t="s">
        <v>2805</v>
      </c>
      <c r="H199" s="731" t="s">
        <v>2802</v>
      </c>
      <c r="I199" s="870" t="s">
        <v>2797</v>
      </c>
      <c r="J199" s="871" t="s">
        <v>3225</v>
      </c>
      <c r="K199" s="868"/>
      <c r="L199" s="871"/>
      <c r="N199" s="872"/>
    </row>
    <row r="200" spans="1:14" s="124" customFormat="1" ht="41.4">
      <c r="A200" s="827">
        <f t="shared" si="5"/>
        <v>194</v>
      </c>
      <c r="B200" s="806" t="s">
        <v>3178</v>
      </c>
      <c r="C200" s="830" t="str">
        <f t="shared" si="6"/>
        <v>12.2017</v>
      </c>
      <c r="D200" s="828" t="s">
        <v>2700</v>
      </c>
      <c r="E200" s="827">
        <v>19921</v>
      </c>
      <c r="F200" s="647">
        <v>307600</v>
      </c>
      <c r="G200" s="806" t="s">
        <v>2805</v>
      </c>
      <c r="H200" s="663" t="s">
        <v>2801</v>
      </c>
      <c r="I200" s="828" t="s">
        <v>2796</v>
      </c>
      <c r="J200" s="829" t="s">
        <v>3226</v>
      </c>
      <c r="K200" s="827"/>
      <c r="L200" s="829"/>
      <c r="N200" s="840"/>
    </row>
    <row r="201" spans="1:14" s="649" customFormat="1" ht="55.2" hidden="1">
      <c r="A201" s="868">
        <f t="shared" ref="A201:A264" si="7">+A200+1</f>
        <v>195</v>
      </c>
      <c r="B201" s="869" t="s">
        <v>3179</v>
      </c>
      <c r="C201" s="717" t="str">
        <f t="shared" si="6"/>
        <v>04.2018</v>
      </c>
      <c r="D201" s="870" t="s">
        <v>2700</v>
      </c>
      <c r="E201" s="868">
        <v>19921</v>
      </c>
      <c r="F201" s="742">
        <v>304000</v>
      </c>
      <c r="G201" s="869" t="s">
        <v>2805</v>
      </c>
      <c r="H201" s="731" t="s">
        <v>2803</v>
      </c>
      <c r="I201" s="870" t="s">
        <v>2798</v>
      </c>
      <c r="J201" s="871" t="s">
        <v>3227</v>
      </c>
      <c r="K201" s="868"/>
      <c r="L201" s="871"/>
      <c r="N201" s="872"/>
    </row>
    <row r="202" spans="1:14" s="649" customFormat="1" ht="41.4" hidden="1">
      <c r="A202" s="868">
        <f t="shared" si="7"/>
        <v>196</v>
      </c>
      <c r="B202" s="869" t="s">
        <v>2792</v>
      </c>
      <c r="C202" s="717" t="str">
        <f t="shared" si="6"/>
        <v>05.2018</v>
      </c>
      <c r="D202" s="870" t="s">
        <v>2700</v>
      </c>
      <c r="E202" s="868">
        <v>19921</v>
      </c>
      <c r="F202" s="742">
        <v>450000</v>
      </c>
      <c r="G202" s="869" t="s">
        <v>2805</v>
      </c>
      <c r="H202" s="731" t="s">
        <v>2803</v>
      </c>
      <c r="I202" s="870" t="s">
        <v>2798</v>
      </c>
      <c r="J202" s="871" t="s">
        <v>3228</v>
      </c>
      <c r="K202" s="868"/>
      <c r="L202" s="871"/>
      <c r="N202" s="872"/>
    </row>
    <row r="203" spans="1:14" s="124" customFormat="1" ht="41.4" hidden="1">
      <c r="A203" s="827">
        <f t="shared" si="7"/>
        <v>197</v>
      </c>
      <c r="B203" s="806" t="s">
        <v>3171</v>
      </c>
      <c r="C203" s="830" t="str">
        <f t="shared" si="6"/>
        <v>01.2016</v>
      </c>
      <c r="D203" s="828" t="s">
        <v>2700</v>
      </c>
      <c r="E203" s="827">
        <v>19921</v>
      </c>
      <c r="F203" s="647">
        <v>351000</v>
      </c>
      <c r="G203" s="806" t="s">
        <v>2805</v>
      </c>
      <c r="H203" s="663" t="s">
        <v>2802</v>
      </c>
      <c r="I203" s="828" t="s">
        <v>2797</v>
      </c>
      <c r="J203" s="829" t="s">
        <v>3229</v>
      </c>
      <c r="K203" s="827"/>
      <c r="L203" s="829"/>
      <c r="N203" s="840"/>
    </row>
    <row r="204" spans="1:14" s="124" customFormat="1" ht="41.4" hidden="1">
      <c r="A204" s="827">
        <f t="shared" si="7"/>
        <v>198</v>
      </c>
      <c r="B204" s="806" t="s">
        <v>3171</v>
      </c>
      <c r="C204" s="830" t="str">
        <f t="shared" si="6"/>
        <v>01.2016</v>
      </c>
      <c r="D204" s="828" t="s">
        <v>2700</v>
      </c>
      <c r="E204" s="827">
        <v>19921</v>
      </c>
      <c r="F204" s="647">
        <v>80000</v>
      </c>
      <c r="G204" s="806" t="s">
        <v>2805</v>
      </c>
      <c r="H204" s="663" t="s">
        <v>2802</v>
      </c>
      <c r="I204" s="828" t="s">
        <v>2797</v>
      </c>
      <c r="J204" s="829" t="s">
        <v>3229</v>
      </c>
      <c r="K204" s="827"/>
      <c r="L204" s="829"/>
      <c r="N204" s="840"/>
    </row>
    <row r="205" spans="1:14" s="124" customFormat="1" ht="41.4" hidden="1">
      <c r="A205" s="827">
        <f t="shared" si="7"/>
        <v>199</v>
      </c>
      <c r="B205" s="806" t="s">
        <v>3171</v>
      </c>
      <c r="C205" s="830" t="str">
        <f t="shared" si="6"/>
        <v>01.2016</v>
      </c>
      <c r="D205" s="828" t="s">
        <v>2700</v>
      </c>
      <c r="E205" s="827">
        <v>19921</v>
      </c>
      <c r="F205" s="647">
        <v>120000</v>
      </c>
      <c r="G205" s="806" t="s">
        <v>2805</v>
      </c>
      <c r="H205" s="663" t="s">
        <v>2802</v>
      </c>
      <c r="I205" s="828" t="s">
        <v>2797</v>
      </c>
      <c r="J205" s="829" t="s">
        <v>3230</v>
      </c>
      <c r="K205" s="827"/>
      <c r="L205" s="829"/>
      <c r="N205" s="840"/>
    </row>
    <row r="206" spans="1:14" s="124" customFormat="1" ht="41.4" hidden="1">
      <c r="A206" s="827">
        <f t="shared" si="7"/>
        <v>200</v>
      </c>
      <c r="B206" s="806" t="s">
        <v>3171</v>
      </c>
      <c r="C206" s="830" t="str">
        <f t="shared" si="6"/>
        <v>01.2016</v>
      </c>
      <c r="D206" s="828" t="s">
        <v>2700</v>
      </c>
      <c r="E206" s="827">
        <v>19921</v>
      </c>
      <c r="F206" s="647">
        <v>56000</v>
      </c>
      <c r="G206" s="806" t="s">
        <v>2805</v>
      </c>
      <c r="H206" s="663" t="s">
        <v>2802</v>
      </c>
      <c r="I206" s="828" t="s">
        <v>2797</v>
      </c>
      <c r="J206" s="829" t="s">
        <v>3231</v>
      </c>
      <c r="K206" s="827"/>
      <c r="L206" s="829"/>
      <c r="N206" s="840"/>
    </row>
    <row r="207" spans="1:14" s="124" customFormat="1" ht="41.4" hidden="1">
      <c r="A207" s="827">
        <f t="shared" si="7"/>
        <v>201</v>
      </c>
      <c r="B207" s="806" t="s">
        <v>2064</v>
      </c>
      <c r="C207" s="830" t="str">
        <f t="shared" si="6"/>
        <v>02.2016</v>
      </c>
      <c r="D207" s="828" t="s">
        <v>2700</v>
      </c>
      <c r="E207" s="827">
        <v>19921</v>
      </c>
      <c r="F207" s="647">
        <v>210000</v>
      </c>
      <c r="G207" s="806" t="s">
        <v>2805</v>
      </c>
      <c r="H207" s="663" t="s">
        <v>2802</v>
      </c>
      <c r="I207" s="828" t="s">
        <v>2797</v>
      </c>
      <c r="J207" s="829" t="s">
        <v>3232</v>
      </c>
      <c r="K207" s="827"/>
      <c r="L207" s="829"/>
      <c r="N207" s="840"/>
    </row>
    <row r="208" spans="1:14" s="124" customFormat="1" ht="41.4" hidden="1">
      <c r="A208" s="827">
        <f t="shared" si="7"/>
        <v>202</v>
      </c>
      <c r="B208" s="806" t="s">
        <v>2064</v>
      </c>
      <c r="C208" s="830" t="str">
        <f t="shared" si="6"/>
        <v>02.2016</v>
      </c>
      <c r="D208" s="828" t="s">
        <v>2700</v>
      </c>
      <c r="E208" s="827">
        <v>19921</v>
      </c>
      <c r="F208" s="647">
        <v>260000</v>
      </c>
      <c r="G208" s="806" t="s">
        <v>2805</v>
      </c>
      <c r="H208" s="663" t="s">
        <v>2802</v>
      </c>
      <c r="I208" s="828" t="s">
        <v>2797</v>
      </c>
      <c r="J208" s="829" t="s">
        <v>3233</v>
      </c>
      <c r="K208" s="827"/>
      <c r="L208" s="829"/>
      <c r="N208" s="840"/>
    </row>
    <row r="209" spans="1:14" s="124" customFormat="1" ht="41.4" hidden="1">
      <c r="A209" s="827">
        <f t="shared" si="7"/>
        <v>203</v>
      </c>
      <c r="B209" s="806" t="s">
        <v>2765</v>
      </c>
      <c r="C209" s="830" t="str">
        <f t="shared" si="6"/>
        <v>02.2016</v>
      </c>
      <c r="D209" s="828" t="s">
        <v>2700</v>
      </c>
      <c r="E209" s="827">
        <v>19921</v>
      </c>
      <c r="F209" s="647">
        <v>395200</v>
      </c>
      <c r="G209" s="806" t="s">
        <v>2805</v>
      </c>
      <c r="H209" s="663" t="s">
        <v>2801</v>
      </c>
      <c r="I209" s="828" t="s">
        <v>2796</v>
      </c>
      <c r="J209" s="829" t="s">
        <v>3234</v>
      </c>
      <c r="K209" s="827"/>
      <c r="L209" s="829"/>
      <c r="N209" s="840"/>
    </row>
    <row r="210" spans="1:14" s="124" customFormat="1" ht="41.4" hidden="1">
      <c r="A210" s="827">
        <f t="shared" si="7"/>
        <v>204</v>
      </c>
      <c r="B210" s="806" t="s">
        <v>3180</v>
      </c>
      <c r="C210" s="830" t="str">
        <f t="shared" si="6"/>
        <v>03.2016</v>
      </c>
      <c r="D210" s="828" t="s">
        <v>2700</v>
      </c>
      <c r="E210" s="827">
        <v>19921</v>
      </c>
      <c r="F210" s="647">
        <v>55000</v>
      </c>
      <c r="G210" s="806" t="s">
        <v>2805</v>
      </c>
      <c r="H210" s="663" t="s">
        <v>2802</v>
      </c>
      <c r="I210" s="828" t="s">
        <v>2797</v>
      </c>
      <c r="J210" s="829" t="s">
        <v>3235</v>
      </c>
      <c r="K210" s="827"/>
      <c r="L210" s="829"/>
      <c r="N210" s="840"/>
    </row>
    <row r="211" spans="1:14" s="124" customFormat="1" ht="41.4" hidden="1">
      <c r="A211" s="827">
        <f t="shared" si="7"/>
        <v>205</v>
      </c>
      <c r="B211" s="806" t="s">
        <v>3181</v>
      </c>
      <c r="C211" s="830" t="str">
        <f t="shared" si="6"/>
        <v>04.2016</v>
      </c>
      <c r="D211" s="828" t="s">
        <v>2700</v>
      </c>
      <c r="E211" s="827">
        <v>19921</v>
      </c>
      <c r="F211" s="647">
        <v>160000</v>
      </c>
      <c r="G211" s="806" t="s">
        <v>2805</v>
      </c>
      <c r="H211" s="663" t="s">
        <v>2802</v>
      </c>
      <c r="I211" s="828" t="s">
        <v>2797</v>
      </c>
      <c r="J211" s="829" t="s">
        <v>3236</v>
      </c>
      <c r="K211" s="827"/>
      <c r="L211" s="829"/>
      <c r="N211" s="840"/>
    </row>
    <row r="212" spans="1:14" s="124" customFormat="1" ht="41.4" hidden="1">
      <c r="A212" s="827">
        <f t="shared" si="7"/>
        <v>206</v>
      </c>
      <c r="B212" s="806" t="s">
        <v>2051</v>
      </c>
      <c r="C212" s="830" t="str">
        <f t="shared" si="6"/>
        <v>04.2016</v>
      </c>
      <c r="D212" s="828" t="s">
        <v>2700</v>
      </c>
      <c r="E212" s="827">
        <v>19921</v>
      </c>
      <c r="F212" s="647">
        <v>420000</v>
      </c>
      <c r="G212" s="806" t="s">
        <v>2805</v>
      </c>
      <c r="H212" s="663" t="s">
        <v>2802</v>
      </c>
      <c r="I212" s="828" t="s">
        <v>2797</v>
      </c>
      <c r="J212" s="829" t="s">
        <v>3237</v>
      </c>
      <c r="K212" s="827"/>
      <c r="L212" s="829"/>
      <c r="N212" s="840"/>
    </row>
    <row r="213" spans="1:14" s="124" customFormat="1" ht="41.4" hidden="1">
      <c r="A213" s="827">
        <f t="shared" si="7"/>
        <v>207</v>
      </c>
      <c r="B213" s="806" t="s">
        <v>3182</v>
      </c>
      <c r="C213" s="830" t="str">
        <f t="shared" si="6"/>
        <v>05.2016</v>
      </c>
      <c r="D213" s="828" t="s">
        <v>2700</v>
      </c>
      <c r="E213" s="827">
        <v>19921</v>
      </c>
      <c r="F213" s="647">
        <v>350000</v>
      </c>
      <c r="G213" s="806" t="s">
        <v>2805</v>
      </c>
      <c r="H213" s="663" t="s">
        <v>2802</v>
      </c>
      <c r="I213" s="828" t="s">
        <v>2797</v>
      </c>
      <c r="J213" s="829" t="s">
        <v>3238</v>
      </c>
      <c r="K213" s="827"/>
      <c r="L213" s="829"/>
      <c r="N213" s="840"/>
    </row>
    <row r="214" spans="1:14" s="124" customFormat="1" ht="41.4" hidden="1">
      <c r="A214" s="827">
        <f t="shared" si="7"/>
        <v>208</v>
      </c>
      <c r="B214" s="806" t="s">
        <v>2056</v>
      </c>
      <c r="C214" s="830" t="str">
        <f t="shared" si="6"/>
        <v>05.2016</v>
      </c>
      <c r="D214" s="828" t="s">
        <v>2700</v>
      </c>
      <c r="E214" s="827">
        <v>19921</v>
      </c>
      <c r="F214" s="647">
        <v>160000</v>
      </c>
      <c r="G214" s="806" t="s">
        <v>2805</v>
      </c>
      <c r="H214" s="663" t="s">
        <v>2802</v>
      </c>
      <c r="I214" s="828" t="s">
        <v>2797</v>
      </c>
      <c r="J214" s="829" t="s">
        <v>3239</v>
      </c>
      <c r="K214" s="827"/>
      <c r="L214" s="829"/>
      <c r="N214" s="840"/>
    </row>
    <row r="215" spans="1:14" s="124" customFormat="1" ht="41.4" hidden="1">
      <c r="A215" s="827">
        <f t="shared" si="7"/>
        <v>209</v>
      </c>
      <c r="B215" s="806" t="s">
        <v>2056</v>
      </c>
      <c r="C215" s="830" t="str">
        <f t="shared" si="6"/>
        <v>05.2016</v>
      </c>
      <c r="D215" s="828" t="s">
        <v>2700</v>
      </c>
      <c r="E215" s="827">
        <v>19921</v>
      </c>
      <c r="F215" s="647">
        <v>263310</v>
      </c>
      <c r="G215" s="806" t="s">
        <v>2805</v>
      </c>
      <c r="H215" s="663" t="s">
        <v>2801</v>
      </c>
      <c r="I215" s="828" t="s">
        <v>2796</v>
      </c>
      <c r="J215" s="829" t="s">
        <v>3211</v>
      </c>
      <c r="K215" s="827"/>
      <c r="L215" s="829"/>
      <c r="N215" s="840"/>
    </row>
    <row r="216" spans="1:14" s="124" customFormat="1" ht="41.4" hidden="1">
      <c r="A216" s="827">
        <f t="shared" si="7"/>
        <v>210</v>
      </c>
      <c r="B216" s="806" t="s">
        <v>2766</v>
      </c>
      <c r="C216" s="830" t="str">
        <f t="shared" si="6"/>
        <v>06.2016</v>
      </c>
      <c r="D216" s="828" t="s">
        <v>2700</v>
      </c>
      <c r="E216" s="827">
        <v>19921</v>
      </c>
      <c r="F216" s="647">
        <v>718800</v>
      </c>
      <c r="G216" s="806" t="s">
        <v>2805</v>
      </c>
      <c r="H216" s="663" t="s">
        <v>2803</v>
      </c>
      <c r="I216" s="828" t="s">
        <v>2798</v>
      </c>
      <c r="J216" s="829" t="s">
        <v>3240</v>
      </c>
      <c r="K216" s="827"/>
      <c r="L216" s="829"/>
      <c r="N216" s="840"/>
    </row>
    <row r="217" spans="1:14" s="124" customFormat="1" ht="41.4" hidden="1">
      <c r="A217" s="827">
        <f t="shared" si="7"/>
        <v>211</v>
      </c>
      <c r="B217" s="806" t="s">
        <v>2767</v>
      </c>
      <c r="C217" s="830" t="str">
        <f t="shared" si="6"/>
        <v>07.2016</v>
      </c>
      <c r="D217" s="828" t="s">
        <v>2700</v>
      </c>
      <c r="E217" s="827">
        <v>19921</v>
      </c>
      <c r="F217" s="647">
        <v>4229950</v>
      </c>
      <c r="G217" s="806" t="s">
        <v>2805</v>
      </c>
      <c r="H217" s="663" t="s">
        <v>2801</v>
      </c>
      <c r="I217" s="828" t="s">
        <v>2796</v>
      </c>
      <c r="J217" s="829" t="s">
        <v>3213</v>
      </c>
      <c r="K217" s="827"/>
      <c r="L217" s="829"/>
      <c r="N217" s="840"/>
    </row>
    <row r="218" spans="1:14" s="124" customFormat="1" ht="41.4" hidden="1">
      <c r="A218" s="827">
        <f t="shared" si="7"/>
        <v>212</v>
      </c>
      <c r="B218" s="806" t="s">
        <v>3183</v>
      </c>
      <c r="C218" s="830" t="str">
        <f t="shared" si="6"/>
        <v>07.2016</v>
      </c>
      <c r="D218" s="828" t="s">
        <v>2700</v>
      </c>
      <c r="E218" s="827">
        <v>19921</v>
      </c>
      <c r="F218" s="647">
        <v>135000</v>
      </c>
      <c r="G218" s="806" t="s">
        <v>2805</v>
      </c>
      <c r="H218" s="663" t="s">
        <v>2803</v>
      </c>
      <c r="I218" s="828" t="s">
        <v>2798</v>
      </c>
      <c r="J218" s="829" t="s">
        <v>3241</v>
      </c>
      <c r="K218" s="827"/>
      <c r="L218" s="829"/>
      <c r="N218" s="840"/>
    </row>
    <row r="219" spans="1:14" s="124" customFormat="1" ht="41.4" hidden="1">
      <c r="A219" s="827">
        <f t="shared" si="7"/>
        <v>213</v>
      </c>
      <c r="B219" s="806" t="s">
        <v>3184</v>
      </c>
      <c r="C219" s="830" t="str">
        <f t="shared" si="6"/>
        <v>07.2016</v>
      </c>
      <c r="D219" s="828" t="s">
        <v>2700</v>
      </c>
      <c r="E219" s="827">
        <v>19921</v>
      </c>
      <c r="F219" s="647">
        <v>370000</v>
      </c>
      <c r="G219" s="806" t="s">
        <v>2805</v>
      </c>
      <c r="H219" s="663" t="s">
        <v>2803</v>
      </c>
      <c r="I219" s="828" t="s">
        <v>2798</v>
      </c>
      <c r="J219" s="829" t="s">
        <v>3242</v>
      </c>
      <c r="K219" s="827"/>
      <c r="L219" s="829"/>
      <c r="N219" s="840"/>
    </row>
    <row r="220" spans="1:14" s="124" customFormat="1" ht="41.4" hidden="1">
      <c r="A220" s="827">
        <f t="shared" si="7"/>
        <v>214</v>
      </c>
      <c r="B220" s="806" t="s">
        <v>3184</v>
      </c>
      <c r="C220" s="830" t="str">
        <f t="shared" si="6"/>
        <v>07.2016</v>
      </c>
      <c r="D220" s="828" t="s">
        <v>2700</v>
      </c>
      <c r="E220" s="827">
        <v>19921</v>
      </c>
      <c r="F220" s="647">
        <v>388080</v>
      </c>
      <c r="G220" s="806" t="s">
        <v>2805</v>
      </c>
      <c r="H220" s="663" t="s">
        <v>2801</v>
      </c>
      <c r="I220" s="828" t="s">
        <v>2796</v>
      </c>
      <c r="J220" s="829" t="s">
        <v>3243</v>
      </c>
      <c r="K220" s="827"/>
      <c r="L220" s="829"/>
      <c r="N220" s="840"/>
    </row>
    <row r="221" spans="1:14" s="124" customFormat="1" ht="41.4" hidden="1">
      <c r="A221" s="827">
        <f t="shared" si="7"/>
        <v>215</v>
      </c>
      <c r="B221" s="806" t="s">
        <v>2008</v>
      </c>
      <c r="C221" s="830" t="str">
        <f t="shared" si="6"/>
        <v>08.2016</v>
      </c>
      <c r="D221" s="828" t="s">
        <v>2700</v>
      </c>
      <c r="E221" s="827">
        <v>19921</v>
      </c>
      <c r="F221" s="647">
        <v>112000</v>
      </c>
      <c r="G221" s="806" t="s">
        <v>2805</v>
      </c>
      <c r="H221" s="663" t="s">
        <v>2802</v>
      </c>
      <c r="I221" s="828" t="s">
        <v>2797</v>
      </c>
      <c r="J221" s="829" t="s">
        <v>3244</v>
      </c>
      <c r="K221" s="827"/>
      <c r="L221" s="829"/>
      <c r="N221" s="840"/>
    </row>
    <row r="222" spans="1:14" s="124" customFormat="1" ht="41.4" hidden="1">
      <c r="A222" s="827">
        <f t="shared" si="7"/>
        <v>216</v>
      </c>
      <c r="B222" s="806" t="s">
        <v>2076</v>
      </c>
      <c r="C222" s="830" t="str">
        <f t="shared" si="6"/>
        <v>10.2016</v>
      </c>
      <c r="D222" s="828" t="s">
        <v>2700</v>
      </c>
      <c r="E222" s="827">
        <v>19921</v>
      </c>
      <c r="F222" s="647">
        <v>168000</v>
      </c>
      <c r="G222" s="806" t="s">
        <v>2805</v>
      </c>
      <c r="H222" s="663" t="s">
        <v>2802</v>
      </c>
      <c r="I222" s="828" t="s">
        <v>2797</v>
      </c>
      <c r="J222" s="829" t="s">
        <v>3245</v>
      </c>
      <c r="K222" s="827"/>
      <c r="L222" s="829"/>
      <c r="N222" s="840"/>
    </row>
    <row r="223" spans="1:14" s="124" customFormat="1" ht="41.4" hidden="1">
      <c r="A223" s="827">
        <f t="shared" si="7"/>
        <v>217</v>
      </c>
      <c r="B223" s="806" t="s">
        <v>2769</v>
      </c>
      <c r="C223" s="830" t="str">
        <f t="shared" si="6"/>
        <v>10.2016</v>
      </c>
      <c r="D223" s="828" t="s">
        <v>2700</v>
      </c>
      <c r="E223" s="827">
        <v>19921</v>
      </c>
      <c r="F223" s="647">
        <v>250000</v>
      </c>
      <c r="G223" s="806" t="s">
        <v>2805</v>
      </c>
      <c r="H223" s="663" t="s">
        <v>2802</v>
      </c>
      <c r="I223" s="828" t="s">
        <v>2797</v>
      </c>
      <c r="J223" s="829" t="s">
        <v>3246</v>
      </c>
      <c r="K223" s="827"/>
      <c r="L223" s="829"/>
      <c r="N223" s="840"/>
    </row>
    <row r="224" spans="1:14" s="124" customFormat="1" ht="41.4" hidden="1">
      <c r="A224" s="827">
        <f t="shared" si="7"/>
        <v>218</v>
      </c>
      <c r="B224" s="806" t="s">
        <v>2769</v>
      </c>
      <c r="C224" s="830" t="str">
        <f t="shared" si="6"/>
        <v>10.2016</v>
      </c>
      <c r="D224" s="828" t="s">
        <v>2700</v>
      </c>
      <c r="E224" s="827">
        <v>19921</v>
      </c>
      <c r="F224" s="647">
        <v>124000</v>
      </c>
      <c r="G224" s="806" t="s">
        <v>2805</v>
      </c>
      <c r="H224" s="663" t="s">
        <v>2802</v>
      </c>
      <c r="I224" s="828" t="s">
        <v>2797</v>
      </c>
      <c r="J224" s="829" t="s">
        <v>3247</v>
      </c>
      <c r="K224" s="827"/>
      <c r="L224" s="829"/>
      <c r="N224" s="840"/>
    </row>
    <row r="225" spans="1:14" s="124" customFormat="1" ht="41.4">
      <c r="A225" s="827">
        <f t="shared" si="7"/>
        <v>219</v>
      </c>
      <c r="B225" s="806" t="s">
        <v>3173</v>
      </c>
      <c r="C225" s="830" t="str">
        <f t="shared" si="6"/>
        <v>01.2017</v>
      </c>
      <c r="D225" s="828" t="s">
        <v>2700</v>
      </c>
      <c r="E225" s="827">
        <v>19921</v>
      </c>
      <c r="F225" s="647">
        <v>274320</v>
      </c>
      <c r="G225" s="806" t="s">
        <v>2805</v>
      </c>
      <c r="H225" s="663" t="s">
        <v>2801</v>
      </c>
      <c r="I225" s="828" t="s">
        <v>2796</v>
      </c>
      <c r="J225" s="829" t="s">
        <v>3217</v>
      </c>
      <c r="K225" s="827"/>
      <c r="L225" s="829"/>
      <c r="N225" s="840"/>
    </row>
    <row r="226" spans="1:14" s="649" customFormat="1" ht="41.4" hidden="1">
      <c r="A226" s="868">
        <f t="shared" si="7"/>
        <v>220</v>
      </c>
      <c r="B226" s="869" t="s">
        <v>2772</v>
      </c>
      <c r="C226" s="717" t="str">
        <f t="shared" si="6"/>
        <v>01.2017</v>
      </c>
      <c r="D226" s="870" t="s">
        <v>2700</v>
      </c>
      <c r="E226" s="868">
        <v>19921</v>
      </c>
      <c r="F226" s="742">
        <v>326200</v>
      </c>
      <c r="G226" s="869" t="s">
        <v>2805</v>
      </c>
      <c r="H226" s="731" t="s">
        <v>2802</v>
      </c>
      <c r="I226" s="870" t="s">
        <v>2797</v>
      </c>
      <c r="J226" s="871" t="s">
        <v>3248</v>
      </c>
      <c r="K226" s="868"/>
      <c r="L226" s="871"/>
      <c r="N226" s="872"/>
    </row>
    <row r="227" spans="1:14" s="124" customFormat="1" ht="41.4">
      <c r="A227" s="827">
        <f t="shared" si="7"/>
        <v>221</v>
      </c>
      <c r="B227" s="806" t="s">
        <v>3185</v>
      </c>
      <c r="C227" s="830" t="str">
        <f t="shared" si="6"/>
        <v>03.2017</v>
      </c>
      <c r="D227" s="828" t="s">
        <v>2700</v>
      </c>
      <c r="E227" s="827">
        <v>19921</v>
      </c>
      <c r="F227" s="647">
        <v>388080</v>
      </c>
      <c r="G227" s="806" t="s">
        <v>2805</v>
      </c>
      <c r="H227" s="663" t="s">
        <v>2801</v>
      </c>
      <c r="I227" s="828" t="s">
        <v>2796</v>
      </c>
      <c r="J227" s="829" t="s">
        <v>3249</v>
      </c>
      <c r="K227" s="827"/>
      <c r="L227" s="829"/>
      <c r="N227" s="840"/>
    </row>
    <row r="228" spans="1:14" s="649" customFormat="1" ht="41.4" hidden="1">
      <c r="A228" s="868">
        <f t="shared" si="7"/>
        <v>222</v>
      </c>
      <c r="B228" s="869" t="s">
        <v>2776</v>
      </c>
      <c r="C228" s="717" t="str">
        <f t="shared" si="6"/>
        <v>04.2017</v>
      </c>
      <c r="D228" s="870" t="s">
        <v>2700</v>
      </c>
      <c r="E228" s="868">
        <v>19921</v>
      </c>
      <c r="F228" s="742">
        <v>1562927.5</v>
      </c>
      <c r="G228" s="869" t="s">
        <v>2805</v>
      </c>
      <c r="H228" s="731" t="s">
        <v>2801</v>
      </c>
      <c r="I228" s="870" t="s">
        <v>2796</v>
      </c>
      <c r="J228" s="871" t="s">
        <v>2819</v>
      </c>
      <c r="K228" s="868"/>
      <c r="L228" s="871"/>
      <c r="N228" s="872"/>
    </row>
    <row r="229" spans="1:14" s="649" customFormat="1" ht="41.4" hidden="1">
      <c r="A229" s="868">
        <f t="shared" si="7"/>
        <v>223</v>
      </c>
      <c r="B229" s="869" t="s">
        <v>3186</v>
      </c>
      <c r="C229" s="717" t="str">
        <f t="shared" si="6"/>
        <v>06.2017</v>
      </c>
      <c r="D229" s="870" t="s">
        <v>2700</v>
      </c>
      <c r="E229" s="868">
        <v>19921</v>
      </c>
      <c r="F229" s="742">
        <v>38808</v>
      </c>
      <c r="G229" s="869" t="s">
        <v>2805</v>
      </c>
      <c r="H229" s="731" t="s">
        <v>2801</v>
      </c>
      <c r="I229" s="870" t="s">
        <v>2796</v>
      </c>
      <c r="J229" s="871" t="s">
        <v>3250</v>
      </c>
      <c r="K229" s="868"/>
      <c r="L229" s="871"/>
      <c r="N229" s="872"/>
    </row>
    <row r="230" spans="1:14" s="649" customFormat="1" ht="41.4" hidden="1">
      <c r="A230" s="868">
        <f t="shared" si="7"/>
        <v>224</v>
      </c>
      <c r="B230" s="869" t="s">
        <v>3176</v>
      </c>
      <c r="C230" s="717" t="str">
        <f t="shared" si="6"/>
        <v>06.2017</v>
      </c>
      <c r="D230" s="870" t="s">
        <v>2700</v>
      </c>
      <c r="E230" s="868">
        <v>19921</v>
      </c>
      <c r="F230" s="742">
        <v>893000</v>
      </c>
      <c r="G230" s="869" t="s">
        <v>2805</v>
      </c>
      <c r="H230" s="731" t="s">
        <v>2800</v>
      </c>
      <c r="I230" s="870" t="s">
        <v>2795</v>
      </c>
      <c r="J230" s="871" t="s">
        <v>3251</v>
      </c>
      <c r="K230" s="868"/>
      <c r="L230" s="871"/>
      <c r="N230" s="872"/>
    </row>
    <row r="231" spans="1:14" s="649" customFormat="1" ht="41.4" hidden="1">
      <c r="A231" s="868">
        <f t="shared" si="7"/>
        <v>225</v>
      </c>
      <c r="B231" s="869" t="s">
        <v>3187</v>
      </c>
      <c r="C231" s="717" t="str">
        <f t="shared" si="6"/>
        <v>07.2017</v>
      </c>
      <c r="D231" s="870" t="s">
        <v>2700</v>
      </c>
      <c r="E231" s="868">
        <v>19921</v>
      </c>
      <c r="F231" s="742">
        <v>388080</v>
      </c>
      <c r="G231" s="869" t="s">
        <v>2805</v>
      </c>
      <c r="H231" s="731" t="s">
        <v>2801</v>
      </c>
      <c r="I231" s="870" t="s">
        <v>2796</v>
      </c>
      <c r="J231" s="871" t="s">
        <v>3252</v>
      </c>
      <c r="K231" s="868"/>
      <c r="L231" s="871"/>
      <c r="N231" s="872"/>
    </row>
    <row r="232" spans="1:14" s="124" customFormat="1" ht="41.4">
      <c r="A232" s="827">
        <f t="shared" si="7"/>
        <v>226</v>
      </c>
      <c r="B232" s="806" t="s">
        <v>2784</v>
      </c>
      <c r="C232" s="830" t="str">
        <f t="shared" si="6"/>
        <v>08.2017</v>
      </c>
      <c r="D232" s="828" t="s">
        <v>2700</v>
      </c>
      <c r="E232" s="827">
        <v>19921</v>
      </c>
      <c r="F232" s="647">
        <v>153000</v>
      </c>
      <c r="G232" s="806" t="s">
        <v>2805</v>
      </c>
      <c r="H232" s="663" t="s">
        <v>2803</v>
      </c>
      <c r="I232" s="828" t="s">
        <v>2798</v>
      </c>
      <c r="J232" s="829" t="s">
        <v>3253</v>
      </c>
      <c r="K232" s="827"/>
      <c r="L232" s="829"/>
      <c r="N232" s="840"/>
    </row>
    <row r="233" spans="1:14" s="649" customFormat="1" ht="41.4" hidden="1">
      <c r="A233" s="868">
        <f t="shared" si="7"/>
        <v>227</v>
      </c>
      <c r="B233" s="869" t="s">
        <v>3169</v>
      </c>
      <c r="C233" s="717" t="str">
        <f t="shared" si="6"/>
        <v>09.2017</v>
      </c>
      <c r="D233" s="870" t="s">
        <v>2700</v>
      </c>
      <c r="E233" s="868">
        <v>19921</v>
      </c>
      <c r="F233" s="742">
        <v>250000</v>
      </c>
      <c r="G233" s="869" t="s">
        <v>2805</v>
      </c>
      <c r="H233" s="731" t="s">
        <v>2803</v>
      </c>
      <c r="I233" s="870" t="s">
        <v>2798</v>
      </c>
      <c r="J233" s="871" t="s">
        <v>3254</v>
      </c>
      <c r="K233" s="868"/>
      <c r="L233" s="871"/>
      <c r="N233" s="872"/>
    </row>
    <row r="234" spans="1:14" s="124" customFormat="1" ht="41.4">
      <c r="A234" s="827">
        <f t="shared" si="7"/>
        <v>228</v>
      </c>
      <c r="B234" s="806" t="s">
        <v>3169</v>
      </c>
      <c r="C234" s="830" t="str">
        <f t="shared" si="6"/>
        <v>09.2017</v>
      </c>
      <c r="D234" s="828" t="s">
        <v>2700</v>
      </c>
      <c r="E234" s="827">
        <v>19921</v>
      </c>
      <c r="F234" s="647">
        <v>200000</v>
      </c>
      <c r="G234" s="806" t="s">
        <v>2805</v>
      </c>
      <c r="H234" s="663" t="s">
        <v>2803</v>
      </c>
      <c r="I234" s="828" t="s">
        <v>2798</v>
      </c>
      <c r="J234" s="829" t="s">
        <v>3255</v>
      </c>
      <c r="K234" s="827"/>
      <c r="L234" s="829"/>
      <c r="N234" s="840"/>
    </row>
    <row r="235" spans="1:14" s="124" customFormat="1" ht="41.4">
      <c r="A235" s="827">
        <f t="shared" si="7"/>
        <v>229</v>
      </c>
      <c r="B235" s="806" t="s">
        <v>3169</v>
      </c>
      <c r="C235" s="830" t="str">
        <f t="shared" si="6"/>
        <v>09.2017</v>
      </c>
      <c r="D235" s="828" t="s">
        <v>2700</v>
      </c>
      <c r="E235" s="827">
        <v>19921</v>
      </c>
      <c r="F235" s="647">
        <v>130000</v>
      </c>
      <c r="G235" s="806" t="s">
        <v>2805</v>
      </c>
      <c r="H235" s="663" t="s">
        <v>2803</v>
      </c>
      <c r="I235" s="828" t="s">
        <v>2798</v>
      </c>
      <c r="J235" s="829" t="s">
        <v>3256</v>
      </c>
      <c r="K235" s="827"/>
      <c r="L235" s="829"/>
      <c r="N235" s="840"/>
    </row>
    <row r="236" spans="1:14" s="649" customFormat="1" ht="41.4" hidden="1">
      <c r="A236" s="868">
        <f t="shared" si="7"/>
        <v>230</v>
      </c>
      <c r="B236" s="869" t="s">
        <v>3188</v>
      </c>
      <c r="C236" s="717" t="str">
        <f t="shared" si="6"/>
        <v>10.2017</v>
      </c>
      <c r="D236" s="870" t="s">
        <v>2700</v>
      </c>
      <c r="E236" s="868">
        <v>19921</v>
      </c>
      <c r="F236" s="742">
        <v>194040</v>
      </c>
      <c r="G236" s="869" t="s">
        <v>2805</v>
      </c>
      <c r="H236" s="731" t="s">
        <v>2801</v>
      </c>
      <c r="I236" s="870" t="s">
        <v>2796</v>
      </c>
      <c r="J236" s="871" t="s">
        <v>3257</v>
      </c>
      <c r="K236" s="868"/>
      <c r="L236" s="871"/>
      <c r="N236" s="872"/>
    </row>
    <row r="237" spans="1:14" s="649" customFormat="1" ht="41.4" hidden="1">
      <c r="A237" s="868">
        <f t="shared" si="7"/>
        <v>231</v>
      </c>
      <c r="B237" s="869" t="s">
        <v>2787</v>
      </c>
      <c r="C237" s="717" t="str">
        <f t="shared" si="6"/>
        <v>10.2017</v>
      </c>
      <c r="D237" s="870" t="s">
        <v>2700</v>
      </c>
      <c r="E237" s="868">
        <v>19921</v>
      </c>
      <c r="F237" s="742">
        <v>147705</v>
      </c>
      <c r="G237" s="869" t="s">
        <v>2805</v>
      </c>
      <c r="H237" s="731" t="s">
        <v>2801</v>
      </c>
      <c r="I237" s="870" t="s">
        <v>2796</v>
      </c>
      <c r="J237" s="871" t="s">
        <v>2831</v>
      </c>
      <c r="K237" s="868"/>
      <c r="L237" s="871"/>
      <c r="N237" s="872"/>
    </row>
    <row r="238" spans="1:14" s="124" customFormat="1" ht="41.4">
      <c r="A238" s="827">
        <f t="shared" si="7"/>
        <v>232</v>
      </c>
      <c r="B238" s="806" t="s">
        <v>3189</v>
      </c>
      <c r="C238" s="830" t="str">
        <f t="shared" si="6"/>
        <v>10.2017</v>
      </c>
      <c r="D238" s="828" t="s">
        <v>2700</v>
      </c>
      <c r="E238" s="827">
        <v>19921</v>
      </c>
      <c r="F238" s="647">
        <v>976000</v>
      </c>
      <c r="G238" s="806" t="s">
        <v>2805</v>
      </c>
      <c r="H238" s="663" t="s">
        <v>2803</v>
      </c>
      <c r="I238" s="828" t="s">
        <v>2798</v>
      </c>
      <c r="J238" s="829" t="s">
        <v>3258</v>
      </c>
      <c r="K238" s="827"/>
      <c r="L238" s="829"/>
      <c r="N238" s="840"/>
    </row>
    <row r="239" spans="1:14" s="649" customFormat="1" ht="41.4" hidden="1">
      <c r="A239" s="868">
        <f t="shared" si="7"/>
        <v>233</v>
      </c>
      <c r="B239" s="869" t="s">
        <v>3189</v>
      </c>
      <c r="C239" s="717" t="str">
        <f t="shared" si="6"/>
        <v>10.2017</v>
      </c>
      <c r="D239" s="870" t="s">
        <v>2700</v>
      </c>
      <c r="E239" s="868">
        <v>19921</v>
      </c>
      <c r="F239" s="742">
        <v>45390</v>
      </c>
      <c r="G239" s="869" t="s">
        <v>2805</v>
      </c>
      <c r="H239" s="731" t="s">
        <v>2802</v>
      </c>
      <c r="I239" s="870" t="s">
        <v>2797</v>
      </c>
      <c r="J239" s="871" t="s">
        <v>3259</v>
      </c>
      <c r="K239" s="868"/>
      <c r="L239" s="871"/>
      <c r="N239" s="872"/>
    </row>
    <row r="240" spans="1:14" s="124" customFormat="1" ht="41.4">
      <c r="A240" s="827">
        <f t="shared" si="7"/>
        <v>234</v>
      </c>
      <c r="B240" s="806" t="s">
        <v>3170</v>
      </c>
      <c r="C240" s="830" t="str">
        <f t="shared" si="6"/>
        <v>11.2017</v>
      </c>
      <c r="D240" s="828" t="s">
        <v>2700</v>
      </c>
      <c r="E240" s="827">
        <v>19921</v>
      </c>
      <c r="F240" s="647">
        <v>558000</v>
      </c>
      <c r="G240" s="806" t="s">
        <v>2805</v>
      </c>
      <c r="H240" s="663" t="s">
        <v>2803</v>
      </c>
      <c r="I240" s="828" t="s">
        <v>2798</v>
      </c>
      <c r="J240" s="829" t="s">
        <v>3260</v>
      </c>
      <c r="K240" s="827"/>
      <c r="L240" s="829"/>
      <c r="N240" s="840"/>
    </row>
    <row r="241" spans="1:14" s="649" customFormat="1" ht="41.4" hidden="1">
      <c r="A241" s="868">
        <f t="shared" si="7"/>
        <v>235</v>
      </c>
      <c r="B241" s="869" t="s">
        <v>3170</v>
      </c>
      <c r="C241" s="717" t="str">
        <f t="shared" si="6"/>
        <v>11.2017</v>
      </c>
      <c r="D241" s="870" t="s">
        <v>2700</v>
      </c>
      <c r="E241" s="868">
        <v>19921</v>
      </c>
      <c r="F241" s="742">
        <v>1116000</v>
      </c>
      <c r="G241" s="869" t="s">
        <v>2805</v>
      </c>
      <c r="H241" s="731" t="s">
        <v>2803</v>
      </c>
      <c r="I241" s="870" t="s">
        <v>2798</v>
      </c>
      <c r="J241" s="871" t="s">
        <v>3261</v>
      </c>
      <c r="K241" s="868"/>
      <c r="L241" s="871"/>
      <c r="N241" s="872"/>
    </row>
    <row r="242" spans="1:14" s="649" customFormat="1" ht="41.4" hidden="1">
      <c r="A242" s="868">
        <f t="shared" si="7"/>
        <v>236</v>
      </c>
      <c r="B242" s="869" t="s">
        <v>2715</v>
      </c>
      <c r="C242" s="717" t="str">
        <f t="shared" si="6"/>
        <v>12.2017</v>
      </c>
      <c r="D242" s="870" t="s">
        <v>2700</v>
      </c>
      <c r="E242" s="868">
        <v>19921</v>
      </c>
      <c r="F242" s="742">
        <v>90000</v>
      </c>
      <c r="G242" s="869" t="s">
        <v>2805</v>
      </c>
      <c r="H242" s="731" t="s">
        <v>2803</v>
      </c>
      <c r="I242" s="870" t="s">
        <v>2798</v>
      </c>
      <c r="J242" s="871" t="s">
        <v>3262</v>
      </c>
      <c r="K242" s="868"/>
      <c r="L242" s="871"/>
      <c r="N242" s="872"/>
    </row>
    <row r="243" spans="1:14" s="649" customFormat="1" ht="41.4" hidden="1">
      <c r="A243" s="868">
        <f t="shared" si="7"/>
        <v>237</v>
      </c>
      <c r="B243" s="869" t="s">
        <v>3179</v>
      </c>
      <c r="C243" s="717" t="str">
        <f t="shared" si="6"/>
        <v>04.2018</v>
      </c>
      <c r="D243" s="870" t="s">
        <v>2700</v>
      </c>
      <c r="E243" s="868">
        <v>19921</v>
      </c>
      <c r="F243" s="742">
        <v>370000</v>
      </c>
      <c r="G243" s="869" t="s">
        <v>2805</v>
      </c>
      <c r="H243" s="731" t="s">
        <v>2803</v>
      </c>
      <c r="I243" s="870" t="s">
        <v>2798</v>
      </c>
      <c r="J243" s="871" t="s">
        <v>3263</v>
      </c>
      <c r="K243" s="868"/>
      <c r="L243" s="871"/>
      <c r="N243" s="872"/>
    </row>
    <row r="244" spans="1:14" s="649" customFormat="1" ht="41.4" hidden="1">
      <c r="A244" s="868">
        <f t="shared" si="7"/>
        <v>238</v>
      </c>
      <c r="B244" s="869" t="s">
        <v>3179</v>
      </c>
      <c r="C244" s="717" t="str">
        <f t="shared" si="6"/>
        <v>04.2018</v>
      </c>
      <c r="D244" s="870" t="s">
        <v>2700</v>
      </c>
      <c r="E244" s="868">
        <v>19921</v>
      </c>
      <c r="F244" s="742">
        <v>206200</v>
      </c>
      <c r="G244" s="869" t="s">
        <v>2805</v>
      </c>
      <c r="H244" s="731" t="s">
        <v>2803</v>
      </c>
      <c r="I244" s="870" t="s">
        <v>2798</v>
      </c>
      <c r="J244" s="871" t="s">
        <v>3264</v>
      </c>
      <c r="K244" s="868"/>
      <c r="L244" s="871"/>
      <c r="N244" s="872"/>
    </row>
    <row r="245" spans="1:14" s="649" customFormat="1" ht="41.4" hidden="1">
      <c r="A245" s="868">
        <f t="shared" si="7"/>
        <v>239</v>
      </c>
      <c r="B245" s="869" t="s">
        <v>3190</v>
      </c>
      <c r="C245" s="717" t="str">
        <f t="shared" si="6"/>
        <v>05.2018</v>
      </c>
      <c r="D245" s="870" t="s">
        <v>2700</v>
      </c>
      <c r="E245" s="868">
        <v>19921</v>
      </c>
      <c r="F245" s="742">
        <v>1645920</v>
      </c>
      <c r="G245" s="869" t="s">
        <v>2805</v>
      </c>
      <c r="H245" s="731" t="s">
        <v>2801</v>
      </c>
      <c r="I245" s="870" t="s">
        <v>2796</v>
      </c>
      <c r="J245" s="871" t="s">
        <v>3265</v>
      </c>
      <c r="K245" s="868"/>
      <c r="L245" s="871"/>
      <c r="N245" s="872"/>
    </row>
    <row r="246" spans="1:14" s="649" customFormat="1" ht="41.4" hidden="1">
      <c r="A246" s="868">
        <f t="shared" si="7"/>
        <v>240</v>
      </c>
      <c r="B246" s="869" t="s">
        <v>2791</v>
      </c>
      <c r="C246" s="717" t="str">
        <f t="shared" si="6"/>
        <v>05.2018</v>
      </c>
      <c r="D246" s="870" t="s">
        <v>2700</v>
      </c>
      <c r="E246" s="868">
        <v>19921</v>
      </c>
      <c r="F246" s="742">
        <v>140000</v>
      </c>
      <c r="G246" s="869" t="s">
        <v>2805</v>
      </c>
      <c r="H246" s="731" t="s">
        <v>2803</v>
      </c>
      <c r="I246" s="870" t="s">
        <v>2798</v>
      </c>
      <c r="J246" s="871" t="s">
        <v>3266</v>
      </c>
      <c r="K246" s="868"/>
      <c r="L246" s="871"/>
      <c r="N246" s="872"/>
    </row>
    <row r="247" spans="1:14" s="649" customFormat="1" ht="41.4" hidden="1">
      <c r="A247" s="868">
        <f t="shared" si="7"/>
        <v>241</v>
      </c>
      <c r="B247" s="869" t="s">
        <v>2792</v>
      </c>
      <c r="C247" s="717" t="str">
        <f t="shared" si="6"/>
        <v>05.2018</v>
      </c>
      <c r="D247" s="870" t="s">
        <v>2700</v>
      </c>
      <c r="E247" s="868">
        <v>19921</v>
      </c>
      <c r="F247" s="742">
        <v>284000</v>
      </c>
      <c r="G247" s="869" t="s">
        <v>2805</v>
      </c>
      <c r="H247" s="731" t="s">
        <v>2803</v>
      </c>
      <c r="I247" s="870" t="s">
        <v>2798</v>
      </c>
      <c r="J247" s="871" t="s">
        <v>3267</v>
      </c>
      <c r="K247" s="868"/>
      <c r="L247" s="871"/>
      <c r="N247" s="872"/>
    </row>
    <row r="248" spans="1:14" s="649" customFormat="1" ht="41.4" hidden="1">
      <c r="A248" s="868">
        <f t="shared" si="7"/>
        <v>242</v>
      </c>
      <c r="B248" s="869" t="s">
        <v>3191</v>
      </c>
      <c r="C248" s="717" t="str">
        <f t="shared" si="6"/>
        <v>07.2018</v>
      </c>
      <c r="D248" s="870" t="s">
        <v>2700</v>
      </c>
      <c r="E248" s="868">
        <v>19921</v>
      </c>
      <c r="F248" s="742">
        <v>380000</v>
      </c>
      <c r="G248" s="869" t="s">
        <v>2805</v>
      </c>
      <c r="H248" s="731" t="s">
        <v>2803</v>
      </c>
      <c r="I248" s="870" t="s">
        <v>2798</v>
      </c>
      <c r="J248" s="871" t="s">
        <v>3268</v>
      </c>
      <c r="K248" s="868"/>
      <c r="L248" s="871"/>
      <c r="N248" s="872"/>
    </row>
    <row r="249" spans="1:14" s="649" customFormat="1" ht="41.4" hidden="1">
      <c r="A249" s="868">
        <f t="shared" si="7"/>
        <v>243</v>
      </c>
      <c r="B249" s="869" t="s">
        <v>3191</v>
      </c>
      <c r="C249" s="717" t="str">
        <f t="shared" si="6"/>
        <v>07.2018</v>
      </c>
      <c r="D249" s="870" t="s">
        <v>2700</v>
      </c>
      <c r="E249" s="868">
        <v>19921</v>
      </c>
      <c r="F249" s="742">
        <v>190000</v>
      </c>
      <c r="G249" s="869" t="s">
        <v>2805</v>
      </c>
      <c r="H249" s="731" t="s">
        <v>2803</v>
      </c>
      <c r="I249" s="870" t="s">
        <v>2798</v>
      </c>
      <c r="J249" s="871" t="s">
        <v>3269</v>
      </c>
      <c r="K249" s="868"/>
      <c r="L249" s="871"/>
      <c r="N249" s="872"/>
    </row>
    <row r="250" spans="1:14" s="124" customFormat="1" ht="41.4">
      <c r="A250" s="827">
        <f t="shared" si="7"/>
        <v>244</v>
      </c>
      <c r="B250" s="806" t="s">
        <v>2793</v>
      </c>
      <c r="C250" s="830" t="str">
        <f t="shared" si="6"/>
        <v>07.2018</v>
      </c>
      <c r="D250" s="828" t="s">
        <v>2700</v>
      </c>
      <c r="E250" s="827">
        <v>19921</v>
      </c>
      <c r="F250" s="647">
        <v>79400</v>
      </c>
      <c r="G250" s="806" t="s">
        <v>2805</v>
      </c>
      <c r="H250" s="663" t="s">
        <v>2801</v>
      </c>
      <c r="I250" s="828" t="s">
        <v>2796</v>
      </c>
      <c r="J250" s="829" t="s">
        <v>2846</v>
      </c>
      <c r="K250" s="827"/>
      <c r="L250" s="829"/>
      <c r="N250" s="840"/>
    </row>
    <row r="251" spans="1:14" s="649" customFormat="1" ht="41.4" hidden="1">
      <c r="A251" s="868">
        <f t="shared" si="7"/>
        <v>245</v>
      </c>
      <c r="B251" s="869" t="s">
        <v>3192</v>
      </c>
      <c r="C251" s="717" t="str">
        <f t="shared" si="6"/>
        <v>08.2018</v>
      </c>
      <c r="D251" s="870" t="s">
        <v>2700</v>
      </c>
      <c r="E251" s="868">
        <v>19921</v>
      </c>
      <c r="F251" s="742">
        <v>236460</v>
      </c>
      <c r="G251" s="869" t="s">
        <v>2805</v>
      </c>
      <c r="H251" s="731" t="s">
        <v>2801</v>
      </c>
      <c r="I251" s="870" t="s">
        <v>2796</v>
      </c>
      <c r="J251" s="871" t="s">
        <v>3270</v>
      </c>
      <c r="K251" s="868"/>
      <c r="L251" s="871"/>
      <c r="N251" s="872"/>
    </row>
    <row r="252" spans="1:14" s="649" customFormat="1" ht="41.4" hidden="1">
      <c r="A252" s="868">
        <f t="shared" si="7"/>
        <v>246</v>
      </c>
      <c r="B252" s="869" t="s">
        <v>3192</v>
      </c>
      <c r="C252" s="717" t="str">
        <f t="shared" si="6"/>
        <v>08.2018</v>
      </c>
      <c r="D252" s="870" t="s">
        <v>2700</v>
      </c>
      <c r="E252" s="868">
        <v>19921</v>
      </c>
      <c r="F252" s="742">
        <v>479400</v>
      </c>
      <c r="G252" s="869" t="s">
        <v>2805</v>
      </c>
      <c r="H252" s="731" t="s">
        <v>2801</v>
      </c>
      <c r="I252" s="870" t="s">
        <v>2796</v>
      </c>
      <c r="J252" s="871" t="s">
        <v>3271</v>
      </c>
      <c r="K252" s="868"/>
      <c r="L252" s="871"/>
      <c r="N252" s="872"/>
    </row>
    <row r="253" spans="1:14" s="649" customFormat="1" ht="41.4" hidden="1">
      <c r="A253" s="868">
        <f t="shared" si="7"/>
        <v>247</v>
      </c>
      <c r="B253" s="869" t="s">
        <v>3193</v>
      </c>
      <c r="C253" s="717" t="str">
        <f t="shared" si="6"/>
        <v>09.2018</v>
      </c>
      <c r="D253" s="870" t="s">
        <v>2700</v>
      </c>
      <c r="E253" s="868">
        <v>19921</v>
      </c>
      <c r="F253" s="742">
        <v>40000</v>
      </c>
      <c r="G253" s="869" t="s">
        <v>2805</v>
      </c>
      <c r="H253" s="731" t="s">
        <v>2803</v>
      </c>
      <c r="I253" s="870" t="s">
        <v>2798</v>
      </c>
      <c r="J253" s="871" t="s">
        <v>3272</v>
      </c>
      <c r="K253" s="868"/>
      <c r="L253" s="871"/>
      <c r="N253" s="872"/>
    </row>
    <row r="254" spans="1:14" s="649" customFormat="1" ht="41.4" hidden="1">
      <c r="A254" s="868">
        <f t="shared" si="7"/>
        <v>248</v>
      </c>
      <c r="B254" s="869" t="s">
        <v>3193</v>
      </c>
      <c r="C254" s="717" t="str">
        <f t="shared" si="6"/>
        <v>09.2018</v>
      </c>
      <c r="D254" s="870" t="s">
        <v>2700</v>
      </c>
      <c r="E254" s="868">
        <v>19921</v>
      </c>
      <c r="F254" s="742">
        <v>170000</v>
      </c>
      <c r="G254" s="869" t="s">
        <v>2805</v>
      </c>
      <c r="H254" s="731" t="s">
        <v>2803</v>
      </c>
      <c r="I254" s="870" t="s">
        <v>2798</v>
      </c>
      <c r="J254" s="871" t="s">
        <v>3273</v>
      </c>
      <c r="K254" s="868"/>
      <c r="L254" s="871"/>
      <c r="N254" s="872"/>
    </row>
    <row r="255" spans="1:14" s="649" customFormat="1" ht="41.4" hidden="1">
      <c r="A255" s="868">
        <f t="shared" si="7"/>
        <v>249</v>
      </c>
      <c r="B255" s="869" t="s">
        <v>3193</v>
      </c>
      <c r="C255" s="717" t="str">
        <f t="shared" si="6"/>
        <v>09.2018</v>
      </c>
      <c r="D255" s="870" t="s">
        <v>2700</v>
      </c>
      <c r="E255" s="868">
        <v>19921</v>
      </c>
      <c r="F255" s="742">
        <v>660000</v>
      </c>
      <c r="G255" s="869" t="s">
        <v>2805</v>
      </c>
      <c r="H255" s="731" t="s">
        <v>2803</v>
      </c>
      <c r="I255" s="870" t="s">
        <v>2798</v>
      </c>
      <c r="J255" s="871" t="s">
        <v>3274</v>
      </c>
      <c r="K255" s="868"/>
      <c r="L255" s="871"/>
      <c r="N255" s="872"/>
    </row>
    <row r="256" spans="1:14" s="649" customFormat="1" ht="41.4" hidden="1">
      <c r="A256" s="868">
        <f t="shared" si="7"/>
        <v>250</v>
      </c>
      <c r="B256" s="869" t="s">
        <v>3193</v>
      </c>
      <c r="C256" s="717" t="str">
        <f t="shared" si="6"/>
        <v>09.2018</v>
      </c>
      <c r="D256" s="870" t="s">
        <v>2700</v>
      </c>
      <c r="E256" s="868">
        <v>19921</v>
      </c>
      <c r="F256" s="742">
        <v>20000</v>
      </c>
      <c r="G256" s="869" t="s">
        <v>2805</v>
      </c>
      <c r="H256" s="731" t="s">
        <v>2803</v>
      </c>
      <c r="I256" s="870" t="s">
        <v>2798</v>
      </c>
      <c r="J256" s="871" t="s">
        <v>3275</v>
      </c>
      <c r="K256" s="868"/>
      <c r="L256" s="871"/>
      <c r="N256" s="872"/>
    </row>
    <row r="257" spans="1:14" s="124" customFormat="1" ht="41.4" hidden="1">
      <c r="A257" s="827">
        <f t="shared" si="7"/>
        <v>251</v>
      </c>
      <c r="B257" s="806" t="s">
        <v>2008</v>
      </c>
      <c r="C257" s="830" t="str">
        <f t="shared" si="6"/>
        <v>08.2016</v>
      </c>
      <c r="D257" s="828" t="s">
        <v>2700</v>
      </c>
      <c r="E257" s="827">
        <v>19921</v>
      </c>
      <c r="F257" s="647">
        <v>362413</v>
      </c>
      <c r="G257" s="806" t="s">
        <v>2805</v>
      </c>
      <c r="H257" s="663" t="s">
        <v>3164</v>
      </c>
      <c r="I257" s="828" t="s">
        <v>3203</v>
      </c>
      <c r="J257" s="829" t="s">
        <v>3219</v>
      </c>
      <c r="K257" s="827"/>
      <c r="L257" s="829"/>
      <c r="N257" s="840"/>
    </row>
    <row r="258" spans="1:14" s="124" customFormat="1" ht="41.4" hidden="1">
      <c r="A258" s="827">
        <f t="shared" si="7"/>
        <v>252</v>
      </c>
      <c r="B258" s="806" t="s">
        <v>2079</v>
      </c>
      <c r="C258" s="830" t="str">
        <f t="shared" si="6"/>
        <v>12.2016</v>
      </c>
      <c r="D258" s="828" t="s">
        <v>2700</v>
      </c>
      <c r="E258" s="827">
        <v>19921</v>
      </c>
      <c r="F258" s="647">
        <v>390000</v>
      </c>
      <c r="G258" s="806" t="s">
        <v>2805</v>
      </c>
      <c r="H258" s="663" t="s">
        <v>3164</v>
      </c>
      <c r="I258" s="828" t="s">
        <v>3203</v>
      </c>
      <c r="J258" s="829" t="s">
        <v>3276</v>
      </c>
      <c r="K258" s="827"/>
      <c r="L258" s="829"/>
      <c r="N258" s="840"/>
    </row>
    <row r="259" spans="1:14" s="649" customFormat="1" ht="41.4" hidden="1">
      <c r="A259" s="868">
        <f t="shared" si="7"/>
        <v>253</v>
      </c>
      <c r="B259" s="869" t="s">
        <v>2784</v>
      </c>
      <c r="C259" s="717" t="str">
        <f t="shared" si="6"/>
        <v>08.2017</v>
      </c>
      <c r="D259" s="870" t="s">
        <v>2700</v>
      </c>
      <c r="E259" s="868">
        <v>19921</v>
      </c>
      <c r="F259" s="742">
        <v>160000</v>
      </c>
      <c r="G259" s="869" t="s">
        <v>2805</v>
      </c>
      <c r="H259" s="731" t="s">
        <v>2802</v>
      </c>
      <c r="I259" s="870" t="s">
        <v>2797</v>
      </c>
      <c r="J259" s="871" t="s">
        <v>3277</v>
      </c>
      <c r="K259" s="868"/>
      <c r="L259" s="871"/>
      <c r="N259" s="872"/>
    </row>
    <row r="260" spans="1:14" s="124" customFormat="1" ht="41.4" hidden="1">
      <c r="A260" s="827">
        <f t="shared" si="7"/>
        <v>254</v>
      </c>
      <c r="B260" s="806" t="s">
        <v>3183</v>
      </c>
      <c r="C260" s="830" t="str">
        <f t="shared" si="6"/>
        <v>07.2016</v>
      </c>
      <c r="D260" s="828" t="s">
        <v>2700</v>
      </c>
      <c r="E260" s="827">
        <v>19921</v>
      </c>
      <c r="F260" s="647">
        <v>420000</v>
      </c>
      <c r="G260" s="806" t="s">
        <v>2805</v>
      </c>
      <c r="H260" s="663" t="s">
        <v>2803</v>
      </c>
      <c r="I260" s="828" t="s">
        <v>2798</v>
      </c>
      <c r="J260" s="829" t="s">
        <v>3241</v>
      </c>
      <c r="K260" s="827"/>
      <c r="L260" s="829"/>
      <c r="N260" s="840"/>
    </row>
    <row r="261" spans="1:14" s="124" customFormat="1" ht="41.4" hidden="1">
      <c r="A261" s="827">
        <f t="shared" si="7"/>
        <v>255</v>
      </c>
      <c r="B261" s="806" t="s">
        <v>2769</v>
      </c>
      <c r="C261" s="830" t="str">
        <f t="shared" si="6"/>
        <v>10.2016</v>
      </c>
      <c r="D261" s="828" t="s">
        <v>2700</v>
      </c>
      <c r="E261" s="827">
        <v>19921</v>
      </c>
      <c r="F261" s="647">
        <v>257944.83</v>
      </c>
      <c r="G261" s="806" t="s">
        <v>2805</v>
      </c>
      <c r="H261" s="663" t="s">
        <v>2801</v>
      </c>
      <c r="I261" s="828" t="s">
        <v>2796</v>
      </c>
      <c r="J261" s="829" t="s">
        <v>3214</v>
      </c>
      <c r="K261" s="827"/>
      <c r="L261" s="829"/>
      <c r="N261" s="840"/>
    </row>
    <row r="262" spans="1:14" s="124" customFormat="1" ht="41.4" hidden="1">
      <c r="A262" s="827">
        <f t="shared" si="7"/>
        <v>256</v>
      </c>
      <c r="B262" s="806" t="s">
        <v>3171</v>
      </c>
      <c r="C262" s="830" t="str">
        <f t="shared" si="6"/>
        <v>01.2016</v>
      </c>
      <c r="D262" s="828" t="s">
        <v>2700</v>
      </c>
      <c r="E262" s="827">
        <v>19921</v>
      </c>
      <c r="F262" s="647">
        <v>306700</v>
      </c>
      <c r="G262" s="806" t="s">
        <v>2805</v>
      </c>
      <c r="H262" s="663" t="s">
        <v>2802</v>
      </c>
      <c r="I262" s="828" t="s">
        <v>2797</v>
      </c>
      <c r="J262" s="829" t="s">
        <v>3231</v>
      </c>
      <c r="K262" s="827"/>
      <c r="L262" s="829"/>
      <c r="N262" s="840"/>
    </row>
    <row r="263" spans="1:14" s="124" customFormat="1" ht="41.4" hidden="1">
      <c r="A263" s="827">
        <f t="shared" si="7"/>
        <v>257</v>
      </c>
      <c r="B263" s="806" t="s">
        <v>2064</v>
      </c>
      <c r="C263" s="830" t="str">
        <f t="shared" ref="C263:C326" si="8">+MID(B263,4,8)</f>
        <v>02.2016</v>
      </c>
      <c r="D263" s="828" t="s">
        <v>2700</v>
      </c>
      <c r="E263" s="827">
        <v>19921</v>
      </c>
      <c r="F263" s="647">
        <v>489500</v>
      </c>
      <c r="G263" s="806" t="s">
        <v>2805</v>
      </c>
      <c r="H263" s="663" t="s">
        <v>2802</v>
      </c>
      <c r="I263" s="828" t="s">
        <v>2797</v>
      </c>
      <c r="J263" s="829" t="s">
        <v>3278</v>
      </c>
      <c r="K263" s="827"/>
      <c r="L263" s="829"/>
      <c r="N263" s="840"/>
    </row>
    <row r="264" spans="1:14" s="124" customFormat="1" ht="41.4" hidden="1">
      <c r="A264" s="827">
        <f t="shared" si="7"/>
        <v>258</v>
      </c>
      <c r="B264" s="806" t="s">
        <v>2064</v>
      </c>
      <c r="C264" s="830" t="str">
        <f t="shared" si="8"/>
        <v>02.2016</v>
      </c>
      <c r="D264" s="828" t="s">
        <v>2700</v>
      </c>
      <c r="E264" s="827">
        <v>19921</v>
      </c>
      <c r="F264" s="647">
        <v>303600</v>
      </c>
      <c r="G264" s="806" t="s">
        <v>2805</v>
      </c>
      <c r="H264" s="663" t="s">
        <v>2802</v>
      </c>
      <c r="I264" s="828" t="s">
        <v>2797</v>
      </c>
      <c r="J264" s="829" t="s">
        <v>3232</v>
      </c>
      <c r="K264" s="827"/>
      <c r="L264" s="829"/>
      <c r="N264" s="840"/>
    </row>
    <row r="265" spans="1:14" s="124" customFormat="1" ht="41.4" hidden="1">
      <c r="A265" s="827">
        <f t="shared" ref="A265:A328" si="9">+A264+1</f>
        <v>259</v>
      </c>
      <c r="B265" s="806" t="s">
        <v>2064</v>
      </c>
      <c r="C265" s="830" t="str">
        <f t="shared" si="8"/>
        <v>02.2016</v>
      </c>
      <c r="D265" s="828" t="s">
        <v>2700</v>
      </c>
      <c r="E265" s="827">
        <v>19921</v>
      </c>
      <c r="F265" s="647">
        <v>24000</v>
      </c>
      <c r="G265" s="806" t="s">
        <v>2805</v>
      </c>
      <c r="H265" s="663" t="s">
        <v>2801</v>
      </c>
      <c r="I265" s="828" t="s">
        <v>2796</v>
      </c>
      <c r="J265" s="829" t="s">
        <v>3279</v>
      </c>
      <c r="K265" s="827"/>
      <c r="L265" s="829"/>
      <c r="N265" s="840"/>
    </row>
    <row r="266" spans="1:14" s="124" customFormat="1" ht="41.4" hidden="1">
      <c r="A266" s="827">
        <f t="shared" si="9"/>
        <v>260</v>
      </c>
      <c r="B266" s="806" t="s">
        <v>3180</v>
      </c>
      <c r="C266" s="830" t="str">
        <f t="shared" si="8"/>
        <v>03.2016</v>
      </c>
      <c r="D266" s="828" t="s">
        <v>2700</v>
      </c>
      <c r="E266" s="827">
        <v>19921</v>
      </c>
      <c r="F266" s="647">
        <v>505500</v>
      </c>
      <c r="G266" s="806" t="s">
        <v>2805</v>
      </c>
      <c r="H266" s="663" t="s">
        <v>2802</v>
      </c>
      <c r="I266" s="828" t="s">
        <v>2797</v>
      </c>
      <c r="J266" s="829" t="s">
        <v>3235</v>
      </c>
      <c r="K266" s="827"/>
      <c r="L266" s="829"/>
      <c r="N266" s="840"/>
    </row>
    <row r="267" spans="1:14" s="124" customFormat="1" ht="41.4" hidden="1">
      <c r="A267" s="827">
        <f t="shared" si="9"/>
        <v>261</v>
      </c>
      <c r="B267" s="806" t="s">
        <v>3181</v>
      </c>
      <c r="C267" s="830" t="str">
        <f t="shared" si="8"/>
        <v>04.2016</v>
      </c>
      <c r="D267" s="828" t="s">
        <v>2700</v>
      </c>
      <c r="E267" s="827">
        <v>19921</v>
      </c>
      <c r="F267" s="647">
        <v>569000</v>
      </c>
      <c r="G267" s="806" t="s">
        <v>2805</v>
      </c>
      <c r="H267" s="663" t="s">
        <v>2802</v>
      </c>
      <c r="I267" s="828" t="s">
        <v>2797</v>
      </c>
      <c r="J267" s="829" t="s">
        <v>3236</v>
      </c>
      <c r="K267" s="827"/>
      <c r="L267" s="829"/>
      <c r="N267" s="840"/>
    </row>
    <row r="268" spans="1:14" s="124" customFormat="1" ht="41.4" hidden="1">
      <c r="A268" s="827">
        <f t="shared" si="9"/>
        <v>262</v>
      </c>
      <c r="B268" s="806" t="s">
        <v>2056</v>
      </c>
      <c r="C268" s="830" t="str">
        <f t="shared" si="8"/>
        <v>05.2016</v>
      </c>
      <c r="D268" s="828" t="s">
        <v>2700</v>
      </c>
      <c r="E268" s="827">
        <v>19921</v>
      </c>
      <c r="F268" s="647">
        <v>518000</v>
      </c>
      <c r="G268" s="806" t="s">
        <v>2805</v>
      </c>
      <c r="H268" s="663" t="s">
        <v>2802</v>
      </c>
      <c r="I268" s="828" t="s">
        <v>2797</v>
      </c>
      <c r="J268" s="829" t="s">
        <v>3239</v>
      </c>
      <c r="K268" s="827"/>
      <c r="L268" s="829"/>
      <c r="N268" s="840"/>
    </row>
    <row r="269" spans="1:14" s="124" customFormat="1" ht="41.4" hidden="1">
      <c r="A269" s="827">
        <f t="shared" si="9"/>
        <v>263</v>
      </c>
      <c r="B269" s="806" t="s">
        <v>2056</v>
      </c>
      <c r="C269" s="830" t="str">
        <f t="shared" si="8"/>
        <v>05.2016</v>
      </c>
      <c r="D269" s="828" t="s">
        <v>2700</v>
      </c>
      <c r="E269" s="827">
        <v>19921</v>
      </c>
      <c r="F269" s="647">
        <v>75874.5</v>
      </c>
      <c r="G269" s="806" t="s">
        <v>2805</v>
      </c>
      <c r="H269" s="663" t="s">
        <v>2801</v>
      </c>
      <c r="I269" s="828" t="s">
        <v>2796</v>
      </c>
      <c r="J269" s="829" t="s">
        <v>3211</v>
      </c>
      <c r="K269" s="827"/>
      <c r="L269" s="829"/>
      <c r="N269" s="840"/>
    </row>
    <row r="270" spans="1:14" s="124" customFormat="1" ht="41.4" hidden="1">
      <c r="A270" s="827">
        <f t="shared" si="9"/>
        <v>264</v>
      </c>
      <c r="B270" s="806" t="s">
        <v>2766</v>
      </c>
      <c r="C270" s="830" t="str">
        <f t="shared" si="8"/>
        <v>06.2016</v>
      </c>
      <c r="D270" s="828" t="s">
        <v>2700</v>
      </c>
      <c r="E270" s="827">
        <v>19921</v>
      </c>
      <c r="F270" s="647">
        <v>4977000</v>
      </c>
      <c r="G270" s="806" t="s">
        <v>2805</v>
      </c>
      <c r="H270" s="663" t="s">
        <v>2801</v>
      </c>
      <c r="I270" s="828" t="s">
        <v>2796</v>
      </c>
      <c r="J270" s="829" t="s">
        <v>3280</v>
      </c>
      <c r="K270" s="827"/>
      <c r="L270" s="829"/>
      <c r="N270" s="840"/>
    </row>
    <row r="271" spans="1:14" s="124" customFormat="1" ht="41.4" hidden="1">
      <c r="A271" s="827">
        <f t="shared" si="9"/>
        <v>265</v>
      </c>
      <c r="B271" s="806" t="s">
        <v>3183</v>
      </c>
      <c r="C271" s="830" t="str">
        <f t="shared" si="8"/>
        <v>07.2016</v>
      </c>
      <c r="D271" s="828" t="s">
        <v>2700</v>
      </c>
      <c r="E271" s="827">
        <v>19921</v>
      </c>
      <c r="F271" s="647">
        <v>246800</v>
      </c>
      <c r="G271" s="806" t="s">
        <v>2805</v>
      </c>
      <c r="H271" s="663" t="s">
        <v>2803</v>
      </c>
      <c r="I271" s="828" t="s">
        <v>2798</v>
      </c>
      <c r="J271" s="829" t="s">
        <v>3241</v>
      </c>
      <c r="K271" s="827"/>
      <c r="L271" s="829"/>
      <c r="N271" s="840"/>
    </row>
    <row r="272" spans="1:14" s="124" customFormat="1" ht="41.4" hidden="1">
      <c r="A272" s="827">
        <f t="shared" si="9"/>
        <v>266</v>
      </c>
      <c r="B272" s="806" t="s">
        <v>3194</v>
      </c>
      <c r="C272" s="830" t="str">
        <f t="shared" si="8"/>
        <v>08.2016</v>
      </c>
      <c r="D272" s="828" t="s">
        <v>2700</v>
      </c>
      <c r="E272" s="827">
        <v>19921</v>
      </c>
      <c r="F272" s="647">
        <v>238000</v>
      </c>
      <c r="G272" s="806" t="s">
        <v>2805</v>
      </c>
      <c r="H272" s="663" t="s">
        <v>2802</v>
      </c>
      <c r="I272" s="828" t="s">
        <v>2797</v>
      </c>
      <c r="J272" s="829" t="s">
        <v>3281</v>
      </c>
      <c r="K272" s="827"/>
      <c r="L272" s="829"/>
      <c r="N272" s="840"/>
    </row>
    <row r="273" spans="1:14" s="124" customFormat="1" ht="41.4" hidden="1">
      <c r="A273" s="827">
        <f t="shared" si="9"/>
        <v>267</v>
      </c>
      <c r="B273" s="806" t="s">
        <v>3194</v>
      </c>
      <c r="C273" s="830" t="str">
        <f t="shared" si="8"/>
        <v>08.2016</v>
      </c>
      <c r="D273" s="828" t="s">
        <v>2700</v>
      </c>
      <c r="E273" s="827">
        <v>19921</v>
      </c>
      <c r="F273" s="647">
        <v>84000</v>
      </c>
      <c r="G273" s="806" t="s">
        <v>2805</v>
      </c>
      <c r="H273" s="663" t="s">
        <v>2801</v>
      </c>
      <c r="I273" s="828" t="s">
        <v>2796</v>
      </c>
      <c r="J273" s="829" t="s">
        <v>3282</v>
      </c>
      <c r="K273" s="827"/>
      <c r="L273" s="829"/>
      <c r="N273" s="840"/>
    </row>
    <row r="274" spans="1:14" s="124" customFormat="1" ht="41.4" hidden="1">
      <c r="A274" s="827">
        <f t="shared" si="9"/>
        <v>268</v>
      </c>
      <c r="B274" s="806" t="s">
        <v>3194</v>
      </c>
      <c r="C274" s="830" t="str">
        <f t="shared" si="8"/>
        <v>08.2016</v>
      </c>
      <c r="D274" s="828" t="s">
        <v>2700</v>
      </c>
      <c r="E274" s="827">
        <v>19921</v>
      </c>
      <c r="F274" s="647">
        <v>520000</v>
      </c>
      <c r="G274" s="806" t="s">
        <v>2805</v>
      </c>
      <c r="H274" s="663" t="s">
        <v>2802</v>
      </c>
      <c r="I274" s="828" t="s">
        <v>2797</v>
      </c>
      <c r="J274" s="829" t="s">
        <v>3283</v>
      </c>
      <c r="K274" s="827"/>
      <c r="L274" s="829"/>
      <c r="N274" s="840"/>
    </row>
    <row r="275" spans="1:14" s="124" customFormat="1" ht="41.4" hidden="1">
      <c r="A275" s="827">
        <f t="shared" si="9"/>
        <v>269</v>
      </c>
      <c r="B275" s="806" t="s">
        <v>2076</v>
      </c>
      <c r="C275" s="830" t="str">
        <f t="shared" si="8"/>
        <v>10.2016</v>
      </c>
      <c r="D275" s="828" t="s">
        <v>2700</v>
      </c>
      <c r="E275" s="827">
        <v>19921</v>
      </c>
      <c r="F275" s="647">
        <v>694800</v>
      </c>
      <c r="G275" s="806" t="s">
        <v>2805</v>
      </c>
      <c r="H275" s="663" t="s">
        <v>2802</v>
      </c>
      <c r="I275" s="828" t="s">
        <v>2797</v>
      </c>
      <c r="J275" s="829" t="s">
        <v>3245</v>
      </c>
      <c r="K275" s="827"/>
      <c r="L275" s="829"/>
      <c r="N275" s="840"/>
    </row>
    <row r="276" spans="1:14" s="124" customFormat="1" ht="41.4" hidden="1">
      <c r="A276" s="827">
        <f t="shared" si="9"/>
        <v>270</v>
      </c>
      <c r="B276" s="806" t="s">
        <v>2769</v>
      </c>
      <c r="C276" s="830" t="str">
        <f t="shared" si="8"/>
        <v>10.2016</v>
      </c>
      <c r="D276" s="828" t="s">
        <v>2700</v>
      </c>
      <c r="E276" s="827">
        <v>19921</v>
      </c>
      <c r="F276" s="647">
        <v>32000</v>
      </c>
      <c r="G276" s="806" t="s">
        <v>2805</v>
      </c>
      <c r="H276" s="663" t="s">
        <v>2802</v>
      </c>
      <c r="I276" s="828" t="s">
        <v>2797</v>
      </c>
      <c r="J276" s="829" t="s">
        <v>3284</v>
      </c>
      <c r="K276" s="827"/>
      <c r="L276" s="829"/>
      <c r="N276" s="840"/>
    </row>
    <row r="277" spans="1:14" s="124" customFormat="1" ht="41.4" hidden="1">
      <c r="A277" s="827">
        <f t="shared" si="9"/>
        <v>271</v>
      </c>
      <c r="B277" s="806" t="s">
        <v>2769</v>
      </c>
      <c r="C277" s="830" t="str">
        <f t="shared" si="8"/>
        <v>10.2016</v>
      </c>
      <c r="D277" s="828" t="s">
        <v>2700</v>
      </c>
      <c r="E277" s="827">
        <v>19921</v>
      </c>
      <c r="F277" s="647">
        <v>2654850</v>
      </c>
      <c r="G277" s="806" t="s">
        <v>2805</v>
      </c>
      <c r="H277" s="663" t="s">
        <v>2801</v>
      </c>
      <c r="I277" s="828" t="s">
        <v>2796</v>
      </c>
      <c r="J277" s="829" t="s">
        <v>3285</v>
      </c>
      <c r="K277" s="827"/>
      <c r="L277" s="829"/>
      <c r="N277" s="840"/>
    </row>
    <row r="278" spans="1:14" s="124" customFormat="1" ht="41.4" hidden="1">
      <c r="A278" s="827">
        <f t="shared" si="9"/>
        <v>272</v>
      </c>
      <c r="B278" s="806" t="s">
        <v>2769</v>
      </c>
      <c r="C278" s="830" t="str">
        <f t="shared" si="8"/>
        <v>10.2016</v>
      </c>
      <c r="D278" s="828" t="s">
        <v>2700</v>
      </c>
      <c r="E278" s="827">
        <v>19921</v>
      </c>
      <c r="F278" s="647">
        <v>521000</v>
      </c>
      <c r="G278" s="806" t="s">
        <v>2805</v>
      </c>
      <c r="H278" s="663" t="s">
        <v>2802</v>
      </c>
      <c r="I278" s="828" t="s">
        <v>2797</v>
      </c>
      <c r="J278" s="829" t="s">
        <v>3247</v>
      </c>
      <c r="K278" s="827"/>
      <c r="L278" s="829"/>
      <c r="N278" s="840"/>
    </row>
    <row r="279" spans="1:14" s="124" customFormat="1" ht="41.4" hidden="1">
      <c r="A279" s="827">
        <f t="shared" si="9"/>
        <v>273</v>
      </c>
      <c r="B279" s="806" t="s">
        <v>2769</v>
      </c>
      <c r="C279" s="830" t="str">
        <f t="shared" si="8"/>
        <v>10.2016</v>
      </c>
      <c r="D279" s="828" t="s">
        <v>2700</v>
      </c>
      <c r="E279" s="827">
        <v>19921</v>
      </c>
      <c r="F279" s="647">
        <v>2165426.13</v>
      </c>
      <c r="G279" s="806" t="s">
        <v>2805</v>
      </c>
      <c r="H279" s="663" t="s">
        <v>2801</v>
      </c>
      <c r="I279" s="828" t="s">
        <v>2796</v>
      </c>
      <c r="J279" s="829" t="s">
        <v>3214</v>
      </c>
      <c r="K279" s="827"/>
      <c r="L279" s="829"/>
      <c r="N279" s="840"/>
    </row>
    <row r="280" spans="1:14" s="124" customFormat="1" ht="41.4" hidden="1">
      <c r="A280" s="827">
        <f t="shared" si="9"/>
        <v>274</v>
      </c>
      <c r="B280" s="806" t="s">
        <v>2769</v>
      </c>
      <c r="C280" s="830" t="str">
        <f t="shared" si="8"/>
        <v>10.2016</v>
      </c>
      <c r="D280" s="828" t="s">
        <v>2700</v>
      </c>
      <c r="E280" s="827">
        <v>19921</v>
      </c>
      <c r="F280" s="647">
        <v>73320</v>
      </c>
      <c r="G280" s="806" t="s">
        <v>2805</v>
      </c>
      <c r="H280" s="663" t="s">
        <v>2801</v>
      </c>
      <c r="I280" s="828" t="s">
        <v>2796</v>
      </c>
      <c r="J280" s="829" t="s">
        <v>3214</v>
      </c>
      <c r="K280" s="827"/>
      <c r="L280" s="829"/>
      <c r="N280" s="840"/>
    </row>
    <row r="281" spans="1:14" s="124" customFormat="1" ht="41.4" hidden="1">
      <c r="A281" s="827">
        <f t="shared" si="9"/>
        <v>275</v>
      </c>
      <c r="B281" s="806" t="s">
        <v>2770</v>
      </c>
      <c r="C281" s="830" t="str">
        <f t="shared" si="8"/>
        <v>11.2016</v>
      </c>
      <c r="D281" s="828" t="s">
        <v>2700</v>
      </c>
      <c r="E281" s="827">
        <v>19921</v>
      </c>
      <c r="F281" s="647">
        <v>863200</v>
      </c>
      <c r="G281" s="806" t="s">
        <v>2805</v>
      </c>
      <c r="H281" s="663" t="s">
        <v>2802</v>
      </c>
      <c r="I281" s="828" t="s">
        <v>2797</v>
      </c>
      <c r="J281" s="829" t="s">
        <v>3286</v>
      </c>
      <c r="K281" s="827"/>
      <c r="L281" s="829"/>
      <c r="N281" s="840"/>
    </row>
    <row r="282" spans="1:14" s="124" customFormat="1" ht="41.4" hidden="1">
      <c r="A282" s="827">
        <f t="shared" si="9"/>
        <v>276</v>
      </c>
      <c r="B282" s="806" t="s">
        <v>2770</v>
      </c>
      <c r="C282" s="830" t="str">
        <f t="shared" si="8"/>
        <v>11.2016</v>
      </c>
      <c r="D282" s="828" t="s">
        <v>2700</v>
      </c>
      <c r="E282" s="827">
        <v>19921</v>
      </c>
      <c r="F282" s="647">
        <v>585000</v>
      </c>
      <c r="G282" s="806" t="s">
        <v>2805</v>
      </c>
      <c r="H282" s="663" t="s">
        <v>2802</v>
      </c>
      <c r="I282" s="828" t="s">
        <v>2797</v>
      </c>
      <c r="J282" s="829" t="s">
        <v>3287</v>
      </c>
      <c r="K282" s="827"/>
      <c r="L282" s="829"/>
      <c r="N282" s="840"/>
    </row>
    <row r="283" spans="1:14" s="124" customFormat="1" ht="41.4" hidden="1">
      <c r="A283" s="827">
        <f t="shared" si="9"/>
        <v>277</v>
      </c>
      <c r="B283" s="806" t="s">
        <v>2079</v>
      </c>
      <c r="C283" s="830" t="str">
        <f t="shared" si="8"/>
        <v>12.2016</v>
      </c>
      <c r="D283" s="828" t="s">
        <v>2700</v>
      </c>
      <c r="E283" s="827">
        <v>19921</v>
      </c>
      <c r="F283" s="647">
        <v>126000</v>
      </c>
      <c r="G283" s="806" t="s">
        <v>2805</v>
      </c>
      <c r="H283" s="663" t="s">
        <v>2802</v>
      </c>
      <c r="I283" s="828" t="s">
        <v>2797</v>
      </c>
      <c r="J283" s="829" t="s">
        <v>3288</v>
      </c>
      <c r="K283" s="827"/>
      <c r="L283" s="829"/>
      <c r="N283" s="840"/>
    </row>
    <row r="284" spans="1:14" s="124" customFormat="1" ht="41.4" hidden="1">
      <c r="A284" s="827">
        <f t="shared" si="9"/>
        <v>278</v>
      </c>
      <c r="B284" s="806" t="s">
        <v>2079</v>
      </c>
      <c r="C284" s="830" t="str">
        <f t="shared" si="8"/>
        <v>12.2016</v>
      </c>
      <c r="D284" s="828" t="s">
        <v>2700</v>
      </c>
      <c r="E284" s="827">
        <v>19921</v>
      </c>
      <c r="F284" s="647">
        <v>780000</v>
      </c>
      <c r="G284" s="806" t="s">
        <v>2805</v>
      </c>
      <c r="H284" s="663" t="s">
        <v>2802</v>
      </c>
      <c r="I284" s="828" t="s">
        <v>2797</v>
      </c>
      <c r="J284" s="829" t="s">
        <v>3289</v>
      </c>
      <c r="K284" s="827"/>
      <c r="L284" s="829"/>
      <c r="N284" s="840"/>
    </row>
    <row r="285" spans="1:14" s="124" customFormat="1" ht="41.4">
      <c r="A285" s="827">
        <f t="shared" si="9"/>
        <v>279</v>
      </c>
      <c r="B285" s="806" t="s">
        <v>3173</v>
      </c>
      <c r="C285" s="830" t="str">
        <f t="shared" si="8"/>
        <v>01.2017</v>
      </c>
      <c r="D285" s="828" t="s">
        <v>2700</v>
      </c>
      <c r="E285" s="827">
        <v>19921</v>
      </c>
      <c r="F285" s="647">
        <v>120460</v>
      </c>
      <c r="G285" s="806" t="s">
        <v>2805</v>
      </c>
      <c r="H285" s="663" t="s">
        <v>2801</v>
      </c>
      <c r="I285" s="828" t="s">
        <v>2796</v>
      </c>
      <c r="J285" s="829" t="s">
        <v>3217</v>
      </c>
      <c r="K285" s="827"/>
      <c r="L285" s="829"/>
      <c r="N285" s="840"/>
    </row>
    <row r="286" spans="1:14" s="649" customFormat="1" ht="41.4" hidden="1">
      <c r="A286" s="868">
        <f t="shared" si="9"/>
        <v>280</v>
      </c>
      <c r="B286" s="869" t="s">
        <v>2772</v>
      </c>
      <c r="C286" s="717" t="str">
        <f t="shared" si="8"/>
        <v>01.2017</v>
      </c>
      <c r="D286" s="870" t="s">
        <v>2700</v>
      </c>
      <c r="E286" s="868">
        <v>19921</v>
      </c>
      <c r="F286" s="742">
        <v>940200</v>
      </c>
      <c r="G286" s="869" t="s">
        <v>2805</v>
      </c>
      <c r="H286" s="731" t="s">
        <v>2802</v>
      </c>
      <c r="I286" s="870" t="s">
        <v>2797</v>
      </c>
      <c r="J286" s="871" t="s">
        <v>3290</v>
      </c>
      <c r="K286" s="868"/>
      <c r="L286" s="871"/>
      <c r="N286" s="872"/>
    </row>
    <row r="287" spans="1:14" s="124" customFormat="1" ht="41.4">
      <c r="A287" s="827">
        <f t="shared" si="9"/>
        <v>281</v>
      </c>
      <c r="B287" s="806" t="s">
        <v>2774</v>
      </c>
      <c r="C287" s="830" t="str">
        <f t="shared" si="8"/>
        <v>02.2017</v>
      </c>
      <c r="D287" s="828" t="s">
        <v>2700</v>
      </c>
      <c r="E287" s="827">
        <v>19921</v>
      </c>
      <c r="F287" s="647">
        <v>43950</v>
      </c>
      <c r="G287" s="806" t="s">
        <v>2805</v>
      </c>
      <c r="H287" s="663" t="s">
        <v>2801</v>
      </c>
      <c r="I287" s="828" t="s">
        <v>2796</v>
      </c>
      <c r="J287" s="829" t="s">
        <v>2817</v>
      </c>
      <c r="K287" s="827"/>
      <c r="L287" s="829"/>
      <c r="N287" s="840"/>
    </row>
    <row r="288" spans="1:14" s="124" customFormat="1" ht="41.4">
      <c r="A288" s="827">
        <f t="shared" si="9"/>
        <v>282</v>
      </c>
      <c r="B288" s="806" t="s">
        <v>3175</v>
      </c>
      <c r="C288" s="830" t="str">
        <f t="shared" si="8"/>
        <v>04.2017</v>
      </c>
      <c r="D288" s="828" t="s">
        <v>2700</v>
      </c>
      <c r="E288" s="827">
        <v>19921</v>
      </c>
      <c r="F288" s="647">
        <v>757000</v>
      </c>
      <c r="G288" s="806" t="s">
        <v>2805</v>
      </c>
      <c r="H288" s="663" t="s">
        <v>2803</v>
      </c>
      <c r="I288" s="828" t="s">
        <v>2798</v>
      </c>
      <c r="J288" s="829" t="s">
        <v>3220</v>
      </c>
      <c r="K288" s="827"/>
      <c r="L288" s="829"/>
      <c r="N288" s="840"/>
    </row>
    <row r="289" spans="1:14" s="124" customFormat="1" ht="41.4">
      <c r="A289" s="827">
        <f t="shared" si="9"/>
        <v>283</v>
      </c>
      <c r="B289" s="806" t="s">
        <v>2777</v>
      </c>
      <c r="C289" s="830" t="str">
        <f t="shared" si="8"/>
        <v>05.2017</v>
      </c>
      <c r="D289" s="828" t="s">
        <v>2700</v>
      </c>
      <c r="E289" s="827">
        <v>19921</v>
      </c>
      <c r="F289" s="647">
        <v>22600</v>
      </c>
      <c r="G289" s="806" t="s">
        <v>2805</v>
      </c>
      <c r="H289" s="663" t="s">
        <v>2801</v>
      </c>
      <c r="I289" s="828" t="s">
        <v>2796</v>
      </c>
      <c r="J289" s="829" t="s">
        <v>2820</v>
      </c>
      <c r="K289" s="827"/>
      <c r="L289" s="829"/>
      <c r="N289" s="840"/>
    </row>
    <row r="290" spans="1:14" s="649" customFormat="1" ht="41.4" hidden="1">
      <c r="A290" s="868">
        <f t="shared" si="9"/>
        <v>284</v>
      </c>
      <c r="B290" s="869" t="s">
        <v>3195</v>
      </c>
      <c r="C290" s="717" t="str">
        <f t="shared" si="8"/>
        <v>06.2017</v>
      </c>
      <c r="D290" s="870" t="s">
        <v>2700</v>
      </c>
      <c r="E290" s="868">
        <v>19921</v>
      </c>
      <c r="F290" s="742">
        <v>58212</v>
      </c>
      <c r="G290" s="869" t="s">
        <v>2805</v>
      </c>
      <c r="H290" s="731" t="s">
        <v>2801</v>
      </c>
      <c r="I290" s="870" t="s">
        <v>2796</v>
      </c>
      <c r="J290" s="871" t="s">
        <v>3291</v>
      </c>
      <c r="K290" s="868"/>
      <c r="L290" s="871"/>
      <c r="N290" s="872"/>
    </row>
    <row r="291" spans="1:14" s="124" customFormat="1" ht="41.4">
      <c r="A291" s="827">
        <f t="shared" si="9"/>
        <v>285</v>
      </c>
      <c r="B291" s="806" t="s">
        <v>2779</v>
      </c>
      <c r="C291" s="830" t="str">
        <f t="shared" si="8"/>
        <v>06.2017</v>
      </c>
      <c r="D291" s="828" t="s">
        <v>2700</v>
      </c>
      <c r="E291" s="827">
        <v>19921</v>
      </c>
      <c r="F291" s="647">
        <v>53919</v>
      </c>
      <c r="G291" s="806" t="s">
        <v>2805</v>
      </c>
      <c r="H291" s="663" t="s">
        <v>2801</v>
      </c>
      <c r="I291" s="828" t="s">
        <v>2796</v>
      </c>
      <c r="J291" s="829" t="s">
        <v>2822</v>
      </c>
      <c r="K291" s="827"/>
      <c r="L291" s="829"/>
      <c r="N291" s="840"/>
    </row>
    <row r="292" spans="1:14" s="124" customFormat="1" ht="41.4">
      <c r="A292" s="827">
        <f t="shared" si="9"/>
        <v>286</v>
      </c>
      <c r="B292" s="806" t="s">
        <v>2781</v>
      </c>
      <c r="C292" s="830" t="str">
        <f t="shared" si="8"/>
        <v>07.2017</v>
      </c>
      <c r="D292" s="828" t="s">
        <v>2700</v>
      </c>
      <c r="E292" s="827">
        <v>19921</v>
      </c>
      <c r="F292" s="647">
        <v>1042500</v>
      </c>
      <c r="G292" s="806" t="s">
        <v>2805</v>
      </c>
      <c r="H292" s="663" t="s">
        <v>2803</v>
      </c>
      <c r="I292" s="828" t="s">
        <v>2798</v>
      </c>
      <c r="J292" s="829" t="s">
        <v>3292</v>
      </c>
      <c r="K292" s="827"/>
      <c r="L292" s="829"/>
      <c r="N292" s="840"/>
    </row>
    <row r="293" spans="1:14" s="649" customFormat="1" ht="41.4" hidden="1">
      <c r="A293" s="868">
        <f t="shared" si="9"/>
        <v>287</v>
      </c>
      <c r="B293" s="869" t="s">
        <v>2781</v>
      </c>
      <c r="C293" s="717" t="str">
        <f t="shared" si="8"/>
        <v>07.2017</v>
      </c>
      <c r="D293" s="870" t="s">
        <v>2700</v>
      </c>
      <c r="E293" s="868">
        <v>19921</v>
      </c>
      <c r="F293" s="742">
        <v>1144200</v>
      </c>
      <c r="G293" s="869" t="s">
        <v>2805</v>
      </c>
      <c r="H293" s="731" t="s">
        <v>2803</v>
      </c>
      <c r="I293" s="870" t="s">
        <v>2798</v>
      </c>
      <c r="J293" s="871" t="s">
        <v>3293</v>
      </c>
      <c r="K293" s="868"/>
      <c r="L293" s="871"/>
      <c r="N293" s="872"/>
    </row>
    <row r="294" spans="1:14" s="124" customFormat="1" ht="41.4">
      <c r="A294" s="827">
        <f t="shared" si="9"/>
        <v>288</v>
      </c>
      <c r="B294" s="806" t="s">
        <v>2784</v>
      </c>
      <c r="C294" s="830" t="str">
        <f t="shared" si="8"/>
        <v>08.2017</v>
      </c>
      <c r="D294" s="828" t="s">
        <v>2700</v>
      </c>
      <c r="E294" s="827">
        <v>19921</v>
      </c>
      <c r="F294" s="647">
        <v>994900</v>
      </c>
      <c r="G294" s="806" t="s">
        <v>2805</v>
      </c>
      <c r="H294" s="663" t="s">
        <v>2803</v>
      </c>
      <c r="I294" s="828" t="s">
        <v>2798</v>
      </c>
      <c r="J294" s="829" t="s">
        <v>3253</v>
      </c>
      <c r="K294" s="827"/>
      <c r="L294" s="829"/>
      <c r="N294" s="840"/>
    </row>
    <row r="295" spans="1:14" s="124" customFormat="1" ht="41.4">
      <c r="A295" s="827">
        <f t="shared" si="9"/>
        <v>289</v>
      </c>
      <c r="B295" s="806" t="s">
        <v>3169</v>
      </c>
      <c r="C295" s="830" t="str">
        <f t="shared" si="8"/>
        <v>09.2017</v>
      </c>
      <c r="D295" s="828" t="s">
        <v>2700</v>
      </c>
      <c r="E295" s="827">
        <v>19921</v>
      </c>
      <c r="F295" s="647">
        <v>1002200</v>
      </c>
      <c r="G295" s="806" t="s">
        <v>2805</v>
      </c>
      <c r="H295" s="663" t="s">
        <v>2803</v>
      </c>
      <c r="I295" s="828" t="s">
        <v>2798</v>
      </c>
      <c r="J295" s="829" t="s">
        <v>3256</v>
      </c>
      <c r="K295" s="827"/>
      <c r="L295" s="829"/>
      <c r="N295" s="840"/>
    </row>
    <row r="296" spans="1:14" s="124" customFormat="1" ht="41.4">
      <c r="A296" s="827">
        <f t="shared" si="9"/>
        <v>290</v>
      </c>
      <c r="B296" s="806" t="s">
        <v>3169</v>
      </c>
      <c r="C296" s="830" t="str">
        <f t="shared" si="8"/>
        <v>09.2017</v>
      </c>
      <c r="D296" s="828" t="s">
        <v>2700</v>
      </c>
      <c r="E296" s="827">
        <v>19921</v>
      </c>
      <c r="F296" s="647">
        <v>1084000</v>
      </c>
      <c r="G296" s="806" t="s">
        <v>2805</v>
      </c>
      <c r="H296" s="663" t="s">
        <v>2803</v>
      </c>
      <c r="I296" s="828" t="s">
        <v>2798</v>
      </c>
      <c r="J296" s="829" t="s">
        <v>3294</v>
      </c>
      <c r="K296" s="827"/>
      <c r="L296" s="829"/>
      <c r="N296" s="840"/>
    </row>
    <row r="297" spans="1:14" s="124" customFormat="1" ht="41.4">
      <c r="A297" s="827">
        <f t="shared" si="9"/>
        <v>291</v>
      </c>
      <c r="B297" s="806" t="s">
        <v>3169</v>
      </c>
      <c r="C297" s="830" t="str">
        <f t="shared" si="8"/>
        <v>09.2017</v>
      </c>
      <c r="D297" s="828" t="s">
        <v>2700</v>
      </c>
      <c r="E297" s="827">
        <v>19921</v>
      </c>
      <c r="F297" s="647">
        <v>99000</v>
      </c>
      <c r="G297" s="806" t="s">
        <v>2805</v>
      </c>
      <c r="H297" s="663" t="s">
        <v>2803</v>
      </c>
      <c r="I297" s="828" t="s">
        <v>2798</v>
      </c>
      <c r="J297" s="829" t="s">
        <v>3295</v>
      </c>
      <c r="K297" s="827"/>
      <c r="L297" s="829"/>
      <c r="N297" s="840"/>
    </row>
    <row r="298" spans="1:14" s="649" customFormat="1" ht="41.4" hidden="1">
      <c r="A298" s="868">
        <f t="shared" si="9"/>
        <v>292</v>
      </c>
      <c r="B298" s="869" t="s">
        <v>2787</v>
      </c>
      <c r="C298" s="717" t="str">
        <f t="shared" si="8"/>
        <v>10.2017</v>
      </c>
      <c r="D298" s="870" t="s">
        <v>2700</v>
      </c>
      <c r="E298" s="868">
        <v>19921</v>
      </c>
      <c r="F298" s="742">
        <v>180776</v>
      </c>
      <c r="G298" s="869" t="s">
        <v>2805</v>
      </c>
      <c r="H298" s="731" t="s">
        <v>2801</v>
      </c>
      <c r="I298" s="870" t="s">
        <v>2796</v>
      </c>
      <c r="J298" s="871" t="s">
        <v>2831</v>
      </c>
      <c r="K298" s="868"/>
      <c r="L298" s="871"/>
      <c r="N298" s="872"/>
    </row>
    <row r="299" spans="1:14" s="124" customFormat="1" ht="41.4">
      <c r="A299" s="827">
        <f t="shared" si="9"/>
        <v>293</v>
      </c>
      <c r="B299" s="806" t="s">
        <v>3189</v>
      </c>
      <c r="C299" s="830" t="str">
        <f t="shared" si="8"/>
        <v>10.2017</v>
      </c>
      <c r="D299" s="828" t="s">
        <v>2700</v>
      </c>
      <c r="E299" s="827">
        <v>19921</v>
      </c>
      <c r="F299" s="647">
        <v>1224000</v>
      </c>
      <c r="G299" s="806" t="s">
        <v>2805</v>
      </c>
      <c r="H299" s="663" t="s">
        <v>2803</v>
      </c>
      <c r="I299" s="828" t="s">
        <v>2798</v>
      </c>
      <c r="J299" s="829" t="s">
        <v>3258</v>
      </c>
      <c r="K299" s="827"/>
      <c r="L299" s="829"/>
      <c r="N299" s="840"/>
    </row>
    <row r="300" spans="1:14" s="124" customFormat="1" ht="41.4">
      <c r="A300" s="827">
        <f t="shared" si="9"/>
        <v>294</v>
      </c>
      <c r="B300" s="806" t="s">
        <v>3170</v>
      </c>
      <c r="C300" s="830" t="str">
        <f t="shared" si="8"/>
        <v>11.2017</v>
      </c>
      <c r="D300" s="828" t="s">
        <v>2700</v>
      </c>
      <c r="E300" s="827">
        <v>19921</v>
      </c>
      <c r="F300" s="647">
        <v>2137800</v>
      </c>
      <c r="G300" s="806" t="s">
        <v>2805</v>
      </c>
      <c r="H300" s="663" t="s">
        <v>2803</v>
      </c>
      <c r="I300" s="828" t="s">
        <v>2798</v>
      </c>
      <c r="J300" s="829" t="s">
        <v>3260</v>
      </c>
      <c r="K300" s="827"/>
      <c r="L300" s="829"/>
      <c r="N300" s="840"/>
    </row>
    <row r="301" spans="1:14" s="649" customFormat="1" ht="55.2" hidden="1">
      <c r="A301" s="868">
        <f t="shared" si="9"/>
        <v>295</v>
      </c>
      <c r="B301" s="869" t="s">
        <v>3170</v>
      </c>
      <c r="C301" s="717" t="str">
        <f t="shared" si="8"/>
        <v>11.2017</v>
      </c>
      <c r="D301" s="870" t="s">
        <v>2700</v>
      </c>
      <c r="E301" s="868">
        <v>19921</v>
      </c>
      <c r="F301" s="742">
        <v>99000</v>
      </c>
      <c r="G301" s="869" t="s">
        <v>2805</v>
      </c>
      <c r="H301" s="731" t="s">
        <v>2803</v>
      </c>
      <c r="I301" s="870" t="s">
        <v>2798</v>
      </c>
      <c r="J301" s="871" t="s">
        <v>3296</v>
      </c>
      <c r="K301" s="868"/>
      <c r="L301" s="871"/>
      <c r="N301" s="872"/>
    </row>
    <row r="302" spans="1:14" s="649" customFormat="1" ht="41.4" hidden="1">
      <c r="A302" s="868">
        <f t="shared" si="9"/>
        <v>296</v>
      </c>
      <c r="B302" s="869" t="s">
        <v>2715</v>
      </c>
      <c r="C302" s="717" t="str">
        <f t="shared" si="8"/>
        <v>12.2017</v>
      </c>
      <c r="D302" s="870" t="s">
        <v>2700</v>
      </c>
      <c r="E302" s="868">
        <v>19921</v>
      </c>
      <c r="F302" s="742">
        <v>2032900</v>
      </c>
      <c r="G302" s="869" t="s">
        <v>2805</v>
      </c>
      <c r="H302" s="731" t="s">
        <v>2803</v>
      </c>
      <c r="I302" s="870" t="s">
        <v>2798</v>
      </c>
      <c r="J302" s="871" t="s">
        <v>3297</v>
      </c>
      <c r="K302" s="868"/>
      <c r="L302" s="871"/>
      <c r="N302" s="872"/>
    </row>
    <row r="303" spans="1:14" s="124" customFormat="1" ht="41.4">
      <c r="A303" s="827">
        <f t="shared" si="9"/>
        <v>297</v>
      </c>
      <c r="B303" s="806" t="s">
        <v>2715</v>
      </c>
      <c r="C303" s="830" t="str">
        <f t="shared" si="8"/>
        <v>12.2017</v>
      </c>
      <c r="D303" s="828" t="s">
        <v>2700</v>
      </c>
      <c r="E303" s="827">
        <v>19921</v>
      </c>
      <c r="F303" s="647">
        <v>99000</v>
      </c>
      <c r="G303" s="806" t="s">
        <v>2805</v>
      </c>
      <c r="H303" s="663" t="s">
        <v>2803</v>
      </c>
      <c r="I303" s="828" t="s">
        <v>2798</v>
      </c>
      <c r="J303" s="829" t="s">
        <v>3298</v>
      </c>
      <c r="K303" s="827"/>
      <c r="L303" s="829"/>
      <c r="N303" s="840"/>
    </row>
    <row r="304" spans="1:14" s="649" customFormat="1" ht="41.4" hidden="1">
      <c r="A304" s="868">
        <f t="shared" si="9"/>
        <v>298</v>
      </c>
      <c r="B304" s="869" t="s">
        <v>2715</v>
      </c>
      <c r="C304" s="717" t="str">
        <f t="shared" si="8"/>
        <v>12.2017</v>
      </c>
      <c r="D304" s="870" t="s">
        <v>2700</v>
      </c>
      <c r="E304" s="868">
        <v>19921</v>
      </c>
      <c r="F304" s="742">
        <v>444000</v>
      </c>
      <c r="G304" s="869" t="s">
        <v>2805</v>
      </c>
      <c r="H304" s="731" t="s">
        <v>2803</v>
      </c>
      <c r="I304" s="870" t="s">
        <v>2798</v>
      </c>
      <c r="J304" s="871" t="s">
        <v>3299</v>
      </c>
      <c r="K304" s="868"/>
      <c r="L304" s="871"/>
      <c r="N304" s="872"/>
    </row>
    <row r="305" spans="1:14" s="649" customFormat="1" ht="41.4" hidden="1">
      <c r="A305" s="868">
        <f t="shared" si="9"/>
        <v>299</v>
      </c>
      <c r="B305" s="869" t="s">
        <v>2715</v>
      </c>
      <c r="C305" s="717" t="str">
        <f t="shared" si="8"/>
        <v>12.2017</v>
      </c>
      <c r="D305" s="870" t="s">
        <v>2700</v>
      </c>
      <c r="E305" s="868">
        <v>19921</v>
      </c>
      <c r="F305" s="742">
        <v>883000</v>
      </c>
      <c r="G305" s="869" t="s">
        <v>2805</v>
      </c>
      <c r="H305" s="731" t="s">
        <v>2803</v>
      </c>
      <c r="I305" s="870" t="s">
        <v>2798</v>
      </c>
      <c r="J305" s="871" t="s">
        <v>3300</v>
      </c>
      <c r="K305" s="868"/>
      <c r="L305" s="871"/>
      <c r="N305" s="872"/>
    </row>
    <row r="306" spans="1:14" s="649" customFormat="1" ht="41.4" hidden="1">
      <c r="A306" s="868">
        <f t="shared" si="9"/>
        <v>300</v>
      </c>
      <c r="B306" s="869" t="s">
        <v>2685</v>
      </c>
      <c r="C306" s="717" t="str">
        <f t="shared" si="8"/>
        <v>01.2018</v>
      </c>
      <c r="D306" s="870" t="s">
        <v>2700</v>
      </c>
      <c r="E306" s="868">
        <v>19921</v>
      </c>
      <c r="F306" s="742">
        <v>996000</v>
      </c>
      <c r="G306" s="869" t="s">
        <v>2805</v>
      </c>
      <c r="H306" s="731" t="s">
        <v>2803</v>
      </c>
      <c r="I306" s="870" t="s">
        <v>2798</v>
      </c>
      <c r="J306" s="871" t="s">
        <v>3301</v>
      </c>
      <c r="K306" s="868"/>
      <c r="L306" s="871"/>
      <c r="N306" s="872"/>
    </row>
    <row r="307" spans="1:14" s="649" customFormat="1" ht="41.4" hidden="1">
      <c r="A307" s="868">
        <f t="shared" si="9"/>
        <v>301</v>
      </c>
      <c r="B307" s="869" t="s">
        <v>2685</v>
      </c>
      <c r="C307" s="717" t="str">
        <f t="shared" si="8"/>
        <v>01.2018</v>
      </c>
      <c r="D307" s="870" t="s">
        <v>2700</v>
      </c>
      <c r="E307" s="868">
        <v>19921</v>
      </c>
      <c r="F307" s="742">
        <v>3957400</v>
      </c>
      <c r="G307" s="869" t="s">
        <v>2805</v>
      </c>
      <c r="H307" s="731" t="s">
        <v>2803</v>
      </c>
      <c r="I307" s="870" t="s">
        <v>2798</v>
      </c>
      <c r="J307" s="871" t="s">
        <v>3302</v>
      </c>
      <c r="K307" s="868"/>
      <c r="L307" s="871"/>
      <c r="N307" s="872"/>
    </row>
    <row r="308" spans="1:14" s="124" customFormat="1" ht="41.4" hidden="1">
      <c r="A308" s="868">
        <f t="shared" si="9"/>
        <v>302</v>
      </c>
      <c r="B308" s="869" t="s">
        <v>2683</v>
      </c>
      <c r="C308" s="717" t="str">
        <f t="shared" si="8"/>
        <v>02.2018</v>
      </c>
      <c r="D308" s="870" t="s">
        <v>2700</v>
      </c>
      <c r="E308" s="868">
        <v>19921</v>
      </c>
      <c r="F308" s="742">
        <v>99000</v>
      </c>
      <c r="G308" s="869" t="s">
        <v>2805</v>
      </c>
      <c r="H308" s="731" t="s">
        <v>3166</v>
      </c>
      <c r="I308" s="870" t="s">
        <v>3205</v>
      </c>
      <c r="J308" s="871" t="s">
        <v>3303</v>
      </c>
      <c r="K308" s="868"/>
      <c r="L308" s="829"/>
      <c r="N308" s="840"/>
    </row>
    <row r="309" spans="1:14" s="124" customFormat="1" ht="41.4">
      <c r="A309" s="827">
        <f t="shared" si="9"/>
        <v>303</v>
      </c>
      <c r="B309" s="806" t="s">
        <v>2695</v>
      </c>
      <c r="C309" s="830" t="str">
        <f t="shared" si="8"/>
        <v>02.2018</v>
      </c>
      <c r="D309" s="828" t="s">
        <v>2700</v>
      </c>
      <c r="E309" s="827">
        <v>19921</v>
      </c>
      <c r="F309" s="647">
        <v>1257300</v>
      </c>
      <c r="G309" s="806" t="s">
        <v>2805</v>
      </c>
      <c r="H309" s="663" t="s">
        <v>2801</v>
      </c>
      <c r="I309" s="828" t="s">
        <v>2796</v>
      </c>
      <c r="J309" s="829" t="s">
        <v>3304</v>
      </c>
      <c r="K309" s="827"/>
      <c r="L309" s="829"/>
      <c r="N309" s="840"/>
    </row>
    <row r="310" spans="1:14" s="649" customFormat="1" ht="41.4" hidden="1">
      <c r="A310" s="868">
        <f t="shared" si="9"/>
        <v>304</v>
      </c>
      <c r="B310" s="869" t="s">
        <v>2695</v>
      </c>
      <c r="C310" s="717" t="str">
        <f t="shared" si="8"/>
        <v>02.2018</v>
      </c>
      <c r="D310" s="870" t="s">
        <v>2700</v>
      </c>
      <c r="E310" s="868">
        <v>19921</v>
      </c>
      <c r="F310" s="742">
        <v>99000</v>
      </c>
      <c r="G310" s="869" t="s">
        <v>2805</v>
      </c>
      <c r="H310" s="731" t="s">
        <v>2803</v>
      </c>
      <c r="I310" s="870" t="s">
        <v>2798</v>
      </c>
      <c r="J310" s="871" t="s">
        <v>3305</v>
      </c>
      <c r="K310" s="868"/>
      <c r="L310" s="871"/>
      <c r="N310" s="872"/>
    </row>
    <row r="311" spans="1:14" s="124" customFormat="1" ht="41.4">
      <c r="A311" s="827">
        <f t="shared" si="9"/>
        <v>305</v>
      </c>
      <c r="B311" s="806" t="s">
        <v>2695</v>
      </c>
      <c r="C311" s="830" t="str">
        <f t="shared" si="8"/>
        <v>02.2018</v>
      </c>
      <c r="D311" s="828" t="s">
        <v>2700</v>
      </c>
      <c r="E311" s="827">
        <v>19921</v>
      </c>
      <c r="F311" s="647">
        <v>286000</v>
      </c>
      <c r="G311" s="806" t="s">
        <v>2805</v>
      </c>
      <c r="H311" s="663" t="s">
        <v>2803</v>
      </c>
      <c r="I311" s="828" t="s">
        <v>2798</v>
      </c>
      <c r="J311" s="829" t="s">
        <v>3306</v>
      </c>
      <c r="K311" s="827"/>
      <c r="L311" s="829"/>
      <c r="N311" s="840"/>
    </row>
    <row r="312" spans="1:14" s="124" customFormat="1" ht="41.4">
      <c r="A312" s="827">
        <f t="shared" si="9"/>
        <v>306</v>
      </c>
      <c r="B312" s="806" t="s">
        <v>2695</v>
      </c>
      <c r="C312" s="830" t="str">
        <f t="shared" si="8"/>
        <v>02.2018</v>
      </c>
      <c r="D312" s="828" t="s">
        <v>2700</v>
      </c>
      <c r="E312" s="827">
        <v>19921</v>
      </c>
      <c r="F312" s="647">
        <v>3686600</v>
      </c>
      <c r="G312" s="806" t="s">
        <v>2805</v>
      </c>
      <c r="H312" s="663" t="s">
        <v>2803</v>
      </c>
      <c r="I312" s="828" t="s">
        <v>2798</v>
      </c>
      <c r="J312" s="829" t="s">
        <v>3307</v>
      </c>
      <c r="K312" s="827"/>
      <c r="L312" s="829"/>
      <c r="N312" s="840"/>
    </row>
    <row r="313" spans="1:14" s="649" customFormat="1" ht="41.4" hidden="1">
      <c r="A313" s="868">
        <f t="shared" si="9"/>
        <v>307</v>
      </c>
      <c r="B313" s="869" t="s">
        <v>2739</v>
      </c>
      <c r="C313" s="717" t="str">
        <f t="shared" si="8"/>
        <v>02.2018</v>
      </c>
      <c r="D313" s="870" t="s">
        <v>2700</v>
      </c>
      <c r="E313" s="868">
        <v>19921</v>
      </c>
      <c r="F313" s="742">
        <v>76900</v>
      </c>
      <c r="G313" s="869" t="s">
        <v>2805</v>
      </c>
      <c r="H313" s="731" t="s">
        <v>2801</v>
      </c>
      <c r="I313" s="870" t="s">
        <v>2796</v>
      </c>
      <c r="J313" s="871" t="s">
        <v>3308</v>
      </c>
      <c r="K313" s="868"/>
      <c r="L313" s="871"/>
      <c r="N313" s="872"/>
    </row>
    <row r="314" spans="1:14" s="649" customFormat="1" ht="41.4" hidden="1">
      <c r="A314" s="868">
        <f t="shared" si="9"/>
        <v>308</v>
      </c>
      <c r="B314" s="869" t="s">
        <v>2748</v>
      </c>
      <c r="C314" s="717" t="str">
        <f t="shared" si="8"/>
        <v>03.2018</v>
      </c>
      <c r="D314" s="870" t="s">
        <v>2700</v>
      </c>
      <c r="E314" s="868">
        <v>19921</v>
      </c>
      <c r="F314" s="742">
        <v>299550</v>
      </c>
      <c r="G314" s="869" t="s">
        <v>2805</v>
      </c>
      <c r="H314" s="731" t="s">
        <v>2801</v>
      </c>
      <c r="I314" s="870" t="s">
        <v>2796</v>
      </c>
      <c r="J314" s="871" t="s">
        <v>3309</v>
      </c>
      <c r="K314" s="868"/>
      <c r="L314" s="871"/>
      <c r="N314" s="872"/>
    </row>
    <row r="315" spans="1:14" s="124" customFormat="1" ht="41.4">
      <c r="A315" s="827">
        <f t="shared" si="9"/>
        <v>309</v>
      </c>
      <c r="B315" s="806" t="s">
        <v>2692</v>
      </c>
      <c r="C315" s="830" t="str">
        <f t="shared" si="8"/>
        <v>03.2018</v>
      </c>
      <c r="D315" s="828" t="s">
        <v>2700</v>
      </c>
      <c r="E315" s="827">
        <v>19921</v>
      </c>
      <c r="F315" s="647">
        <v>2519714.9</v>
      </c>
      <c r="G315" s="806" t="s">
        <v>2805</v>
      </c>
      <c r="H315" s="663" t="s">
        <v>3167</v>
      </c>
      <c r="I315" s="828" t="s">
        <v>3206</v>
      </c>
      <c r="J315" s="829" t="s">
        <v>3310</v>
      </c>
      <c r="K315" s="827"/>
      <c r="L315" s="829"/>
      <c r="N315" s="840"/>
    </row>
    <row r="316" spans="1:14" s="124" customFormat="1" ht="41.4">
      <c r="A316" s="827">
        <f t="shared" si="9"/>
        <v>310</v>
      </c>
      <c r="B316" s="806" t="s">
        <v>2692</v>
      </c>
      <c r="C316" s="830" t="str">
        <f t="shared" si="8"/>
        <v>03.2018</v>
      </c>
      <c r="D316" s="828" t="s">
        <v>2700</v>
      </c>
      <c r="E316" s="827">
        <v>19921</v>
      </c>
      <c r="F316" s="647">
        <v>2654400</v>
      </c>
      <c r="G316" s="806" t="s">
        <v>2805</v>
      </c>
      <c r="H316" s="663" t="s">
        <v>2803</v>
      </c>
      <c r="I316" s="828" t="s">
        <v>2798</v>
      </c>
      <c r="J316" s="829" t="s">
        <v>3311</v>
      </c>
      <c r="K316" s="827"/>
      <c r="L316" s="829"/>
      <c r="N316" s="840"/>
    </row>
    <row r="317" spans="1:14" s="649" customFormat="1" ht="41.4" hidden="1">
      <c r="A317" s="868">
        <f t="shared" si="9"/>
        <v>311</v>
      </c>
      <c r="B317" s="869" t="s">
        <v>2692</v>
      </c>
      <c r="C317" s="717" t="str">
        <f t="shared" si="8"/>
        <v>03.2018</v>
      </c>
      <c r="D317" s="870" t="s">
        <v>2700</v>
      </c>
      <c r="E317" s="868">
        <v>19921</v>
      </c>
      <c r="F317" s="742">
        <v>3202400</v>
      </c>
      <c r="G317" s="869" t="s">
        <v>2805</v>
      </c>
      <c r="H317" s="731" t="s">
        <v>2803</v>
      </c>
      <c r="I317" s="870" t="s">
        <v>2798</v>
      </c>
      <c r="J317" s="871" t="s">
        <v>3312</v>
      </c>
      <c r="K317" s="868"/>
      <c r="L317" s="871"/>
      <c r="N317" s="872"/>
    </row>
    <row r="318" spans="1:14" s="649" customFormat="1" ht="41.4" hidden="1">
      <c r="A318" s="868">
        <f t="shared" si="9"/>
        <v>312</v>
      </c>
      <c r="B318" s="869" t="s">
        <v>3029</v>
      </c>
      <c r="C318" s="717" t="str">
        <f t="shared" si="8"/>
        <v>04.2018</v>
      </c>
      <c r="D318" s="870" t="s">
        <v>2700</v>
      </c>
      <c r="E318" s="868">
        <v>19921</v>
      </c>
      <c r="F318" s="742">
        <v>90000</v>
      </c>
      <c r="G318" s="869" t="s">
        <v>2805</v>
      </c>
      <c r="H318" s="731" t="s">
        <v>2803</v>
      </c>
      <c r="I318" s="870" t="s">
        <v>2798</v>
      </c>
      <c r="J318" s="871" t="s">
        <v>3313</v>
      </c>
      <c r="K318" s="868"/>
      <c r="L318" s="871"/>
      <c r="N318" s="872"/>
    </row>
    <row r="319" spans="1:14" s="649" customFormat="1" ht="41.4" hidden="1">
      <c r="A319" s="868">
        <f t="shared" si="9"/>
        <v>313</v>
      </c>
      <c r="B319" s="869" t="s">
        <v>3179</v>
      </c>
      <c r="C319" s="717" t="str">
        <f t="shared" si="8"/>
        <v>04.2018</v>
      </c>
      <c r="D319" s="870" t="s">
        <v>2700</v>
      </c>
      <c r="E319" s="868">
        <v>19921</v>
      </c>
      <c r="F319" s="742">
        <v>792600</v>
      </c>
      <c r="G319" s="869" t="s">
        <v>2805</v>
      </c>
      <c r="H319" s="731" t="s">
        <v>2803</v>
      </c>
      <c r="I319" s="870" t="s">
        <v>2798</v>
      </c>
      <c r="J319" s="871" t="s">
        <v>3314</v>
      </c>
      <c r="K319" s="868"/>
      <c r="L319" s="871"/>
      <c r="N319" s="872"/>
    </row>
    <row r="320" spans="1:14" s="649" customFormat="1" ht="41.4" hidden="1">
      <c r="A320" s="868">
        <f t="shared" si="9"/>
        <v>314</v>
      </c>
      <c r="B320" s="869" t="s">
        <v>3031</v>
      </c>
      <c r="C320" s="717" t="str">
        <f t="shared" si="8"/>
        <v>05.2018</v>
      </c>
      <c r="D320" s="870" t="s">
        <v>2700</v>
      </c>
      <c r="E320" s="868">
        <v>19921</v>
      </c>
      <c r="F320" s="742">
        <v>174000</v>
      </c>
      <c r="G320" s="869" t="s">
        <v>2805</v>
      </c>
      <c r="H320" s="731" t="s">
        <v>2803</v>
      </c>
      <c r="I320" s="870" t="s">
        <v>2798</v>
      </c>
      <c r="J320" s="871" t="s">
        <v>3315</v>
      </c>
      <c r="K320" s="868"/>
      <c r="L320" s="871"/>
      <c r="N320" s="872"/>
    </row>
    <row r="321" spans="1:14" s="649" customFormat="1" ht="41.4" hidden="1">
      <c r="A321" s="868">
        <f t="shared" si="9"/>
        <v>315</v>
      </c>
      <c r="B321" s="869" t="s">
        <v>3031</v>
      </c>
      <c r="C321" s="717" t="str">
        <f t="shared" si="8"/>
        <v>05.2018</v>
      </c>
      <c r="D321" s="870" t="s">
        <v>2700</v>
      </c>
      <c r="E321" s="868">
        <v>19921</v>
      </c>
      <c r="F321" s="742">
        <v>90000</v>
      </c>
      <c r="G321" s="869" t="s">
        <v>2805</v>
      </c>
      <c r="H321" s="731" t="s">
        <v>2803</v>
      </c>
      <c r="I321" s="870" t="s">
        <v>2798</v>
      </c>
      <c r="J321" s="871" t="s">
        <v>3316</v>
      </c>
      <c r="K321" s="868"/>
      <c r="L321" s="871"/>
      <c r="N321" s="872"/>
    </row>
    <row r="322" spans="1:14" s="649" customFormat="1" ht="41.4" hidden="1">
      <c r="A322" s="868">
        <f t="shared" si="9"/>
        <v>316</v>
      </c>
      <c r="B322" s="869" t="s">
        <v>2792</v>
      </c>
      <c r="C322" s="717" t="str">
        <f t="shared" si="8"/>
        <v>05.2018</v>
      </c>
      <c r="D322" s="870" t="s">
        <v>2700</v>
      </c>
      <c r="E322" s="868">
        <v>19921</v>
      </c>
      <c r="F322" s="742">
        <v>1063500</v>
      </c>
      <c r="G322" s="869" t="s">
        <v>2805</v>
      </c>
      <c r="H322" s="731" t="s">
        <v>2803</v>
      </c>
      <c r="I322" s="870" t="s">
        <v>2798</v>
      </c>
      <c r="J322" s="871" t="s">
        <v>3317</v>
      </c>
      <c r="K322" s="868"/>
      <c r="L322" s="871"/>
      <c r="N322" s="872"/>
    </row>
    <row r="323" spans="1:14" s="124" customFormat="1" ht="41.4">
      <c r="A323" s="827">
        <f t="shared" si="9"/>
        <v>317</v>
      </c>
      <c r="B323" s="806" t="s">
        <v>3196</v>
      </c>
      <c r="C323" s="830" t="str">
        <f t="shared" si="8"/>
        <v>06.2018</v>
      </c>
      <c r="D323" s="828" t="s">
        <v>2700</v>
      </c>
      <c r="E323" s="827">
        <v>19921</v>
      </c>
      <c r="F323" s="647">
        <v>288000</v>
      </c>
      <c r="G323" s="806" t="s">
        <v>2805</v>
      </c>
      <c r="H323" s="663" t="s">
        <v>2803</v>
      </c>
      <c r="I323" s="828" t="s">
        <v>2798</v>
      </c>
      <c r="J323" s="829" t="s">
        <v>3318</v>
      </c>
      <c r="K323" s="827"/>
      <c r="L323" s="829"/>
      <c r="N323" s="840"/>
    </row>
    <row r="324" spans="1:14" s="649" customFormat="1" ht="41.4" hidden="1">
      <c r="A324" s="868">
        <f t="shared" si="9"/>
        <v>318</v>
      </c>
      <c r="B324" s="869" t="s">
        <v>3035</v>
      </c>
      <c r="C324" s="717" t="str">
        <f t="shared" si="8"/>
        <v>07.2018</v>
      </c>
      <c r="D324" s="870" t="s">
        <v>2700</v>
      </c>
      <c r="E324" s="868">
        <v>19921</v>
      </c>
      <c r="F324" s="742">
        <v>578000</v>
      </c>
      <c r="G324" s="869" t="s">
        <v>2805</v>
      </c>
      <c r="H324" s="731" t="s">
        <v>2803</v>
      </c>
      <c r="I324" s="870" t="s">
        <v>2798</v>
      </c>
      <c r="J324" s="871" t="s">
        <v>3319</v>
      </c>
      <c r="K324" s="868"/>
      <c r="L324" s="871"/>
      <c r="N324" s="872"/>
    </row>
    <row r="325" spans="1:14" s="649" customFormat="1" ht="41.4" hidden="1">
      <c r="A325" s="868">
        <f t="shared" si="9"/>
        <v>319</v>
      </c>
      <c r="B325" s="869" t="s">
        <v>3191</v>
      </c>
      <c r="C325" s="717" t="str">
        <f t="shared" si="8"/>
        <v>07.2018</v>
      </c>
      <c r="D325" s="870" t="s">
        <v>2700</v>
      </c>
      <c r="E325" s="868">
        <v>19921</v>
      </c>
      <c r="F325" s="742">
        <v>1008000</v>
      </c>
      <c r="G325" s="869" t="s">
        <v>2805</v>
      </c>
      <c r="H325" s="731" t="s">
        <v>2803</v>
      </c>
      <c r="I325" s="870" t="s">
        <v>2798</v>
      </c>
      <c r="J325" s="871" t="s">
        <v>3320</v>
      </c>
      <c r="K325" s="868"/>
      <c r="L325" s="871"/>
      <c r="N325" s="872"/>
    </row>
    <row r="326" spans="1:14" s="649" customFormat="1" ht="41.4" hidden="1">
      <c r="A326" s="868">
        <f t="shared" si="9"/>
        <v>320</v>
      </c>
      <c r="B326" s="869" t="s">
        <v>3191</v>
      </c>
      <c r="C326" s="717" t="str">
        <f t="shared" si="8"/>
        <v>07.2018</v>
      </c>
      <c r="D326" s="870" t="s">
        <v>2700</v>
      </c>
      <c r="E326" s="868">
        <v>19921</v>
      </c>
      <c r="F326" s="742">
        <v>756000</v>
      </c>
      <c r="G326" s="869" t="s">
        <v>2805</v>
      </c>
      <c r="H326" s="731" t="s">
        <v>2803</v>
      </c>
      <c r="I326" s="870" t="s">
        <v>2798</v>
      </c>
      <c r="J326" s="871" t="s">
        <v>3321</v>
      </c>
      <c r="K326" s="868"/>
      <c r="L326" s="871"/>
      <c r="N326" s="872"/>
    </row>
    <row r="327" spans="1:14" s="124" customFormat="1" ht="41.4">
      <c r="A327" s="827">
        <f t="shared" si="9"/>
        <v>321</v>
      </c>
      <c r="B327" s="806" t="s">
        <v>3191</v>
      </c>
      <c r="C327" s="830" t="str">
        <f t="shared" ref="C327:C366" si="10">+MID(B327,4,8)</f>
        <v>07.2018</v>
      </c>
      <c r="D327" s="828" t="s">
        <v>2700</v>
      </c>
      <c r="E327" s="827">
        <v>19921</v>
      </c>
      <c r="F327" s="647">
        <v>1300500</v>
      </c>
      <c r="G327" s="806" t="s">
        <v>2805</v>
      </c>
      <c r="H327" s="663" t="s">
        <v>2804</v>
      </c>
      <c r="I327" s="828" t="s">
        <v>2795</v>
      </c>
      <c r="J327" s="829" t="s">
        <v>3322</v>
      </c>
      <c r="K327" s="827"/>
      <c r="L327" s="829"/>
      <c r="N327" s="840"/>
    </row>
    <row r="328" spans="1:14" s="649" customFormat="1" ht="41.4" hidden="1">
      <c r="A328" s="868">
        <f t="shared" si="9"/>
        <v>322</v>
      </c>
      <c r="B328" s="869" t="s">
        <v>3193</v>
      </c>
      <c r="C328" s="717" t="str">
        <f t="shared" si="10"/>
        <v>09.2018</v>
      </c>
      <c r="D328" s="870" t="s">
        <v>2700</v>
      </c>
      <c r="E328" s="868">
        <v>19921</v>
      </c>
      <c r="F328" s="742">
        <v>795000</v>
      </c>
      <c r="G328" s="869" t="s">
        <v>2805</v>
      </c>
      <c r="H328" s="731" t="s">
        <v>2803</v>
      </c>
      <c r="I328" s="870" t="s">
        <v>2798</v>
      </c>
      <c r="J328" s="871" t="s">
        <v>3323</v>
      </c>
      <c r="K328" s="868"/>
      <c r="L328" s="871"/>
      <c r="N328" s="872"/>
    </row>
    <row r="329" spans="1:14" s="124" customFormat="1" ht="41.4">
      <c r="A329" s="827">
        <f t="shared" ref="A329:A366" si="11">+A328+1</f>
        <v>323</v>
      </c>
      <c r="B329" s="806" t="s">
        <v>2784</v>
      </c>
      <c r="C329" s="830" t="str">
        <f t="shared" si="10"/>
        <v>08.2017</v>
      </c>
      <c r="D329" s="828" t="s">
        <v>2700</v>
      </c>
      <c r="E329" s="827">
        <v>19921</v>
      </c>
      <c r="F329" s="647">
        <v>38000</v>
      </c>
      <c r="G329" s="806" t="s">
        <v>2805</v>
      </c>
      <c r="H329" s="663" t="s">
        <v>2803</v>
      </c>
      <c r="I329" s="828" t="s">
        <v>2798</v>
      </c>
      <c r="J329" s="829" t="s">
        <v>3253</v>
      </c>
      <c r="K329" s="827"/>
      <c r="L329" s="829"/>
      <c r="N329" s="840"/>
    </row>
    <row r="330" spans="1:14" s="124" customFormat="1" ht="41.4">
      <c r="A330" s="827">
        <f t="shared" si="11"/>
        <v>324</v>
      </c>
      <c r="B330" s="806" t="s">
        <v>3197</v>
      </c>
      <c r="C330" s="830" t="str">
        <f t="shared" si="10"/>
        <v>09.2017</v>
      </c>
      <c r="D330" s="828" t="s">
        <v>2700</v>
      </c>
      <c r="E330" s="827">
        <v>19921</v>
      </c>
      <c r="F330" s="647">
        <v>331299.59000000003</v>
      </c>
      <c r="G330" s="806" t="s">
        <v>2805</v>
      </c>
      <c r="H330" s="663" t="s">
        <v>2801</v>
      </c>
      <c r="I330" s="828" t="s">
        <v>2796</v>
      </c>
      <c r="J330" s="829" t="s">
        <v>3324</v>
      </c>
      <c r="K330" s="827"/>
      <c r="L330" s="829"/>
      <c r="N330" s="840"/>
    </row>
    <row r="331" spans="1:14" s="649" customFormat="1" ht="55.2" hidden="1">
      <c r="A331" s="868">
        <f t="shared" si="11"/>
        <v>325</v>
      </c>
      <c r="B331" s="869" t="s">
        <v>2685</v>
      </c>
      <c r="C331" s="717" t="str">
        <f t="shared" si="10"/>
        <v>01.2018</v>
      </c>
      <c r="D331" s="870" t="s">
        <v>2700</v>
      </c>
      <c r="E331" s="868">
        <v>19921</v>
      </c>
      <c r="F331" s="742">
        <v>547500</v>
      </c>
      <c r="G331" s="869" t="s">
        <v>2805</v>
      </c>
      <c r="H331" s="731" t="s">
        <v>2803</v>
      </c>
      <c r="I331" s="870" t="s">
        <v>2798</v>
      </c>
      <c r="J331" s="871" t="s">
        <v>3325</v>
      </c>
      <c r="K331" s="868"/>
      <c r="L331" s="871"/>
      <c r="N331" s="872"/>
    </row>
    <row r="332" spans="1:14" s="649" customFormat="1" ht="41.4" hidden="1">
      <c r="A332" s="868">
        <f t="shared" si="11"/>
        <v>326</v>
      </c>
      <c r="B332" s="869" t="s">
        <v>2695</v>
      </c>
      <c r="C332" s="717" t="str">
        <f t="shared" si="10"/>
        <v>02.2018</v>
      </c>
      <c r="D332" s="870" t="s">
        <v>2700</v>
      </c>
      <c r="E332" s="868">
        <v>19921</v>
      </c>
      <c r="F332" s="742">
        <v>800000</v>
      </c>
      <c r="G332" s="869" t="s">
        <v>2805</v>
      </c>
      <c r="H332" s="731" t="s">
        <v>2803</v>
      </c>
      <c r="I332" s="870" t="s">
        <v>2798</v>
      </c>
      <c r="J332" s="871" t="s">
        <v>3326</v>
      </c>
      <c r="K332" s="868"/>
      <c r="L332" s="871"/>
      <c r="N332" s="872"/>
    </row>
    <row r="333" spans="1:14" s="124" customFormat="1" ht="41.4">
      <c r="A333" s="827">
        <f t="shared" si="11"/>
        <v>327</v>
      </c>
      <c r="B333" s="806" t="s">
        <v>2695</v>
      </c>
      <c r="C333" s="830" t="str">
        <f t="shared" si="10"/>
        <v>02.2018</v>
      </c>
      <c r="D333" s="828" t="s">
        <v>2700</v>
      </c>
      <c r="E333" s="827">
        <v>19921</v>
      </c>
      <c r="F333" s="647">
        <v>24000</v>
      </c>
      <c r="G333" s="806" t="s">
        <v>2805</v>
      </c>
      <c r="H333" s="663" t="s">
        <v>2803</v>
      </c>
      <c r="I333" s="828" t="s">
        <v>2798</v>
      </c>
      <c r="J333" s="829" t="s">
        <v>3307</v>
      </c>
      <c r="K333" s="827"/>
      <c r="L333" s="829"/>
      <c r="N333" s="840"/>
    </row>
    <row r="334" spans="1:14" s="649" customFormat="1" ht="41.4" hidden="1">
      <c r="A334" s="868">
        <f t="shared" si="11"/>
        <v>328</v>
      </c>
      <c r="B334" s="869" t="s">
        <v>2695</v>
      </c>
      <c r="C334" s="717" t="str">
        <f t="shared" si="10"/>
        <v>02.2018</v>
      </c>
      <c r="D334" s="870" t="s">
        <v>2700</v>
      </c>
      <c r="E334" s="868">
        <v>19921</v>
      </c>
      <c r="F334" s="742">
        <v>120000</v>
      </c>
      <c r="G334" s="869" t="s">
        <v>2805</v>
      </c>
      <c r="H334" s="731" t="s">
        <v>2803</v>
      </c>
      <c r="I334" s="870" t="s">
        <v>2798</v>
      </c>
      <c r="J334" s="871" t="s">
        <v>3327</v>
      </c>
      <c r="K334" s="868"/>
      <c r="L334" s="871"/>
      <c r="N334" s="872"/>
    </row>
    <row r="335" spans="1:14" s="649" customFormat="1" ht="41.4" hidden="1">
      <c r="A335" s="868">
        <f t="shared" si="11"/>
        <v>329</v>
      </c>
      <c r="B335" s="869" t="s">
        <v>2748</v>
      </c>
      <c r="C335" s="717" t="str">
        <f t="shared" si="10"/>
        <v>03.2018</v>
      </c>
      <c r="D335" s="870" t="s">
        <v>2700</v>
      </c>
      <c r="E335" s="868">
        <v>19921</v>
      </c>
      <c r="F335" s="742">
        <v>18000</v>
      </c>
      <c r="G335" s="869" t="s">
        <v>2805</v>
      </c>
      <c r="H335" s="731" t="s">
        <v>2801</v>
      </c>
      <c r="I335" s="870" t="s">
        <v>2796</v>
      </c>
      <c r="J335" s="871" t="s">
        <v>3309</v>
      </c>
      <c r="K335" s="868"/>
      <c r="L335" s="871"/>
      <c r="N335" s="872"/>
    </row>
    <row r="336" spans="1:14" s="124" customFormat="1" ht="41.4">
      <c r="A336" s="827">
        <f t="shared" si="11"/>
        <v>330</v>
      </c>
      <c r="B336" s="806" t="s">
        <v>3198</v>
      </c>
      <c r="C336" s="830" t="str">
        <f t="shared" si="10"/>
        <v>03.2018</v>
      </c>
      <c r="D336" s="828" t="s">
        <v>2700</v>
      </c>
      <c r="E336" s="827">
        <v>19921</v>
      </c>
      <c r="F336" s="647">
        <v>2397000</v>
      </c>
      <c r="G336" s="806" t="s">
        <v>2805</v>
      </c>
      <c r="H336" s="663" t="s">
        <v>2801</v>
      </c>
      <c r="I336" s="828" t="s">
        <v>2796</v>
      </c>
      <c r="J336" s="829" t="s">
        <v>3328</v>
      </c>
      <c r="K336" s="827"/>
      <c r="L336" s="829"/>
      <c r="N336" s="840"/>
    </row>
    <row r="337" spans="1:14" s="124" customFormat="1" ht="41.4" hidden="1">
      <c r="A337" s="827">
        <f t="shared" si="11"/>
        <v>331</v>
      </c>
      <c r="B337" s="806" t="s">
        <v>3180</v>
      </c>
      <c r="C337" s="830" t="str">
        <f t="shared" si="10"/>
        <v>03.2016</v>
      </c>
      <c r="D337" s="828" t="s">
        <v>2700</v>
      </c>
      <c r="E337" s="827">
        <v>19921</v>
      </c>
      <c r="F337" s="647">
        <v>70000</v>
      </c>
      <c r="G337" s="806" t="s">
        <v>2805</v>
      </c>
      <c r="H337" s="663" t="s">
        <v>2802</v>
      </c>
      <c r="I337" s="828" t="s">
        <v>2797</v>
      </c>
      <c r="J337" s="829" t="s">
        <v>3235</v>
      </c>
      <c r="K337" s="827"/>
      <c r="L337" s="829"/>
      <c r="N337" s="840"/>
    </row>
    <row r="338" spans="1:14" s="124" customFormat="1" ht="41.4" hidden="1">
      <c r="A338" s="827">
        <f t="shared" si="11"/>
        <v>332</v>
      </c>
      <c r="B338" s="806" t="s">
        <v>2056</v>
      </c>
      <c r="C338" s="830" t="str">
        <f t="shared" si="10"/>
        <v>05.2016</v>
      </c>
      <c r="D338" s="828" t="s">
        <v>2700</v>
      </c>
      <c r="E338" s="827">
        <v>19921</v>
      </c>
      <c r="F338" s="647">
        <v>840000</v>
      </c>
      <c r="G338" s="806" t="s">
        <v>2805</v>
      </c>
      <c r="H338" s="663" t="s">
        <v>2800</v>
      </c>
      <c r="I338" s="828" t="s">
        <v>2795</v>
      </c>
      <c r="J338" s="829" t="s">
        <v>3329</v>
      </c>
      <c r="K338" s="827"/>
      <c r="L338" s="829"/>
      <c r="N338" s="840"/>
    </row>
    <row r="339" spans="1:14" s="124" customFormat="1" ht="41.4" hidden="1">
      <c r="A339" s="827">
        <f t="shared" si="11"/>
        <v>333</v>
      </c>
      <c r="B339" s="806" t="s">
        <v>2056</v>
      </c>
      <c r="C339" s="830" t="str">
        <f t="shared" si="10"/>
        <v>05.2016</v>
      </c>
      <c r="D339" s="828" t="s">
        <v>2700</v>
      </c>
      <c r="E339" s="827">
        <v>19921</v>
      </c>
      <c r="F339" s="647">
        <v>70000</v>
      </c>
      <c r="G339" s="806" t="s">
        <v>2805</v>
      </c>
      <c r="H339" s="663" t="s">
        <v>2800</v>
      </c>
      <c r="I339" s="828" t="s">
        <v>2795</v>
      </c>
      <c r="J339" s="829" t="s">
        <v>3330</v>
      </c>
      <c r="K339" s="827"/>
      <c r="L339" s="829"/>
      <c r="N339" s="840"/>
    </row>
    <row r="340" spans="1:14" s="124" customFormat="1" ht="41.4" hidden="1">
      <c r="A340" s="827">
        <f t="shared" si="11"/>
        <v>334</v>
      </c>
      <c r="B340" s="806" t="s">
        <v>2056</v>
      </c>
      <c r="C340" s="830" t="str">
        <f t="shared" si="10"/>
        <v>05.2016</v>
      </c>
      <c r="D340" s="828" t="s">
        <v>2700</v>
      </c>
      <c r="E340" s="827">
        <v>19921</v>
      </c>
      <c r="F340" s="647">
        <v>10976000</v>
      </c>
      <c r="G340" s="806" t="s">
        <v>2805</v>
      </c>
      <c r="H340" s="663" t="s">
        <v>2801</v>
      </c>
      <c r="I340" s="828" t="s">
        <v>2796</v>
      </c>
      <c r="J340" s="829" t="s">
        <v>3211</v>
      </c>
      <c r="K340" s="827"/>
      <c r="L340" s="829"/>
      <c r="N340" s="840"/>
    </row>
    <row r="341" spans="1:14" s="124" customFormat="1" ht="41.4" hidden="1">
      <c r="A341" s="827">
        <f t="shared" si="11"/>
        <v>335</v>
      </c>
      <c r="B341" s="806" t="s">
        <v>2767</v>
      </c>
      <c r="C341" s="830" t="str">
        <f t="shared" si="10"/>
        <v>07.2016</v>
      </c>
      <c r="D341" s="828" t="s">
        <v>2700</v>
      </c>
      <c r="E341" s="827">
        <v>19921</v>
      </c>
      <c r="F341" s="647">
        <v>3855361.37</v>
      </c>
      <c r="G341" s="806" t="s">
        <v>2805</v>
      </c>
      <c r="H341" s="663" t="s">
        <v>2801</v>
      </c>
      <c r="I341" s="828" t="s">
        <v>2796</v>
      </c>
      <c r="J341" s="829" t="s">
        <v>3331</v>
      </c>
      <c r="K341" s="827"/>
      <c r="L341" s="829"/>
      <c r="N341" s="840"/>
    </row>
    <row r="342" spans="1:14" s="124" customFormat="1" ht="41.4" hidden="1">
      <c r="A342" s="827">
        <f t="shared" si="11"/>
        <v>336</v>
      </c>
      <c r="B342" s="806" t="s">
        <v>2767</v>
      </c>
      <c r="C342" s="830" t="str">
        <f t="shared" si="10"/>
        <v>07.2016</v>
      </c>
      <c r="D342" s="828" t="s">
        <v>2700</v>
      </c>
      <c r="E342" s="827">
        <v>19921</v>
      </c>
      <c r="F342" s="647">
        <v>4325580</v>
      </c>
      <c r="G342" s="806" t="s">
        <v>2805</v>
      </c>
      <c r="H342" s="663" t="s">
        <v>2801</v>
      </c>
      <c r="I342" s="828" t="s">
        <v>2796</v>
      </c>
      <c r="J342" s="829" t="s">
        <v>3213</v>
      </c>
      <c r="K342" s="827"/>
      <c r="L342" s="829"/>
      <c r="N342" s="840"/>
    </row>
    <row r="343" spans="1:14" s="124" customFormat="1" ht="41.4" hidden="1">
      <c r="A343" s="827">
        <f t="shared" si="11"/>
        <v>337</v>
      </c>
      <c r="B343" s="806" t="s">
        <v>2076</v>
      </c>
      <c r="C343" s="830" t="str">
        <f t="shared" si="10"/>
        <v>10.2016</v>
      </c>
      <c r="D343" s="828" t="s">
        <v>2700</v>
      </c>
      <c r="E343" s="827">
        <v>19921</v>
      </c>
      <c r="F343" s="647">
        <v>516300</v>
      </c>
      <c r="G343" s="806" t="s">
        <v>2805</v>
      </c>
      <c r="H343" s="663" t="s">
        <v>3168</v>
      </c>
      <c r="I343" s="828" t="s">
        <v>3207</v>
      </c>
      <c r="J343" s="829" t="s">
        <v>3332</v>
      </c>
      <c r="K343" s="827"/>
      <c r="L343" s="829"/>
      <c r="N343" s="840"/>
    </row>
    <row r="344" spans="1:14" s="124" customFormat="1" ht="41.4">
      <c r="A344" s="827">
        <f t="shared" si="11"/>
        <v>338</v>
      </c>
      <c r="B344" s="806" t="s">
        <v>2774</v>
      </c>
      <c r="C344" s="830" t="str">
        <f t="shared" si="10"/>
        <v>02.2017</v>
      </c>
      <c r="D344" s="828" t="s">
        <v>2700</v>
      </c>
      <c r="E344" s="827">
        <v>19921</v>
      </c>
      <c r="F344" s="647">
        <v>136000</v>
      </c>
      <c r="G344" s="806" t="s">
        <v>2805</v>
      </c>
      <c r="H344" s="663" t="s">
        <v>2801</v>
      </c>
      <c r="I344" s="828" t="s">
        <v>2796</v>
      </c>
      <c r="J344" s="829" t="s">
        <v>2817</v>
      </c>
      <c r="K344" s="827"/>
      <c r="L344" s="829"/>
      <c r="N344" s="840"/>
    </row>
    <row r="345" spans="1:14" s="649" customFormat="1" ht="41.4" hidden="1">
      <c r="A345" s="868">
        <f t="shared" si="11"/>
        <v>339</v>
      </c>
      <c r="B345" s="869" t="s">
        <v>2792</v>
      </c>
      <c r="C345" s="717" t="str">
        <f t="shared" si="10"/>
        <v>05.2018</v>
      </c>
      <c r="D345" s="870" t="s">
        <v>2700</v>
      </c>
      <c r="E345" s="868">
        <v>19921</v>
      </c>
      <c r="F345" s="742">
        <v>470000</v>
      </c>
      <c r="G345" s="869" t="s">
        <v>2805</v>
      </c>
      <c r="H345" s="731" t="s">
        <v>2801</v>
      </c>
      <c r="I345" s="870" t="s">
        <v>2796</v>
      </c>
      <c r="J345" s="871" t="s">
        <v>2845</v>
      </c>
      <c r="K345" s="868"/>
      <c r="L345" s="871"/>
      <c r="N345" s="872"/>
    </row>
    <row r="346" spans="1:14" s="124" customFormat="1" ht="41.4" hidden="1">
      <c r="A346" s="827">
        <f t="shared" si="11"/>
        <v>340</v>
      </c>
      <c r="B346" s="806" t="s">
        <v>2064</v>
      </c>
      <c r="C346" s="830" t="str">
        <f t="shared" si="10"/>
        <v>02.2016</v>
      </c>
      <c r="D346" s="828" t="s">
        <v>2700</v>
      </c>
      <c r="E346" s="827">
        <v>19921</v>
      </c>
      <c r="F346" s="647">
        <v>644400</v>
      </c>
      <c r="G346" s="806" t="s">
        <v>2805</v>
      </c>
      <c r="H346" s="663" t="s">
        <v>2801</v>
      </c>
      <c r="I346" s="828" t="s">
        <v>2796</v>
      </c>
      <c r="J346" s="829" t="s">
        <v>3333</v>
      </c>
      <c r="K346" s="827"/>
      <c r="L346" s="829"/>
      <c r="N346" s="840"/>
    </row>
    <row r="347" spans="1:14" s="124" customFormat="1" ht="41.4" hidden="1">
      <c r="A347" s="827">
        <f t="shared" si="11"/>
        <v>341</v>
      </c>
      <c r="B347" s="806" t="s">
        <v>2064</v>
      </c>
      <c r="C347" s="830" t="str">
        <f t="shared" si="10"/>
        <v>02.2016</v>
      </c>
      <c r="D347" s="828" t="s">
        <v>2700</v>
      </c>
      <c r="E347" s="827">
        <v>19921</v>
      </c>
      <c r="F347" s="647">
        <v>10543707</v>
      </c>
      <c r="G347" s="806" t="s">
        <v>2805</v>
      </c>
      <c r="H347" s="663" t="s">
        <v>2801</v>
      </c>
      <c r="I347" s="828" t="s">
        <v>2796</v>
      </c>
      <c r="J347" s="829" t="s">
        <v>3334</v>
      </c>
      <c r="K347" s="827"/>
      <c r="L347" s="829"/>
      <c r="N347" s="840"/>
    </row>
    <row r="348" spans="1:14" s="124" customFormat="1" ht="41.4" hidden="1">
      <c r="A348" s="827">
        <f t="shared" si="11"/>
        <v>342</v>
      </c>
      <c r="B348" s="806" t="s">
        <v>3174</v>
      </c>
      <c r="C348" s="830" t="str">
        <f t="shared" si="10"/>
        <v>04.2016</v>
      </c>
      <c r="D348" s="828" t="s">
        <v>2700</v>
      </c>
      <c r="E348" s="827">
        <v>19921</v>
      </c>
      <c r="F348" s="647">
        <v>1989804</v>
      </c>
      <c r="G348" s="806" t="s">
        <v>2805</v>
      </c>
      <c r="H348" s="663" t="s">
        <v>2801</v>
      </c>
      <c r="I348" s="828" t="s">
        <v>2796</v>
      </c>
      <c r="J348" s="829" t="s">
        <v>3218</v>
      </c>
      <c r="K348" s="827"/>
      <c r="L348" s="829"/>
      <c r="N348" s="840"/>
    </row>
    <row r="349" spans="1:14" s="124" customFormat="1" ht="41.4" hidden="1">
      <c r="A349" s="827">
        <f t="shared" si="11"/>
        <v>343</v>
      </c>
      <c r="B349" s="806" t="s">
        <v>3199</v>
      </c>
      <c r="C349" s="830" t="str">
        <f t="shared" si="10"/>
        <v>06.2016</v>
      </c>
      <c r="D349" s="828" t="s">
        <v>2700</v>
      </c>
      <c r="E349" s="827">
        <v>19921</v>
      </c>
      <c r="F349" s="647">
        <v>12857520</v>
      </c>
      <c r="G349" s="806" t="s">
        <v>2805</v>
      </c>
      <c r="H349" s="663" t="s">
        <v>2801</v>
      </c>
      <c r="I349" s="828" t="s">
        <v>2796</v>
      </c>
      <c r="J349" s="829" t="s">
        <v>3335</v>
      </c>
      <c r="K349" s="827"/>
      <c r="L349" s="829"/>
      <c r="N349" s="840"/>
    </row>
    <row r="350" spans="1:14" s="124" customFormat="1" ht="41.4" hidden="1">
      <c r="A350" s="827">
        <f t="shared" si="11"/>
        <v>344</v>
      </c>
      <c r="B350" s="806" t="s">
        <v>2766</v>
      </c>
      <c r="C350" s="830" t="str">
        <f t="shared" si="10"/>
        <v>06.2016</v>
      </c>
      <c r="D350" s="828" t="s">
        <v>2700</v>
      </c>
      <c r="E350" s="827">
        <v>19921</v>
      </c>
      <c r="F350" s="647">
        <v>716000</v>
      </c>
      <c r="G350" s="806" t="s">
        <v>2805</v>
      </c>
      <c r="H350" s="663" t="s">
        <v>2801</v>
      </c>
      <c r="I350" s="828" t="s">
        <v>2796</v>
      </c>
      <c r="J350" s="829" t="s">
        <v>3336</v>
      </c>
      <c r="K350" s="827"/>
      <c r="L350" s="829"/>
      <c r="N350" s="840"/>
    </row>
    <row r="351" spans="1:14" s="124" customFormat="1" ht="41.4" hidden="1">
      <c r="A351" s="827">
        <f t="shared" si="11"/>
        <v>345</v>
      </c>
      <c r="B351" s="806" t="s">
        <v>3172</v>
      </c>
      <c r="C351" s="830" t="str">
        <f t="shared" si="10"/>
        <v>11.2016</v>
      </c>
      <c r="D351" s="828" t="s">
        <v>2700</v>
      </c>
      <c r="E351" s="827">
        <v>19921</v>
      </c>
      <c r="F351" s="647">
        <v>676057</v>
      </c>
      <c r="G351" s="806" t="s">
        <v>2805</v>
      </c>
      <c r="H351" s="663" t="s">
        <v>2801</v>
      </c>
      <c r="I351" s="828" t="s">
        <v>2796</v>
      </c>
      <c r="J351" s="829" t="s">
        <v>3215</v>
      </c>
      <c r="K351" s="827"/>
      <c r="L351" s="829"/>
      <c r="N351" s="840"/>
    </row>
    <row r="352" spans="1:14" s="124" customFormat="1" ht="41.4" hidden="1">
      <c r="A352" s="827">
        <f t="shared" si="11"/>
        <v>346</v>
      </c>
      <c r="B352" s="806" t="s">
        <v>3200</v>
      </c>
      <c r="C352" s="830" t="str">
        <f t="shared" si="10"/>
        <v>11.2016</v>
      </c>
      <c r="D352" s="828" t="s">
        <v>2700</v>
      </c>
      <c r="E352" s="827">
        <v>19921</v>
      </c>
      <c r="F352" s="647">
        <v>563381</v>
      </c>
      <c r="G352" s="806" t="s">
        <v>2805</v>
      </c>
      <c r="H352" s="663" t="s">
        <v>2801</v>
      </c>
      <c r="I352" s="828" t="s">
        <v>2796</v>
      </c>
      <c r="J352" s="829" t="s">
        <v>3337</v>
      </c>
      <c r="K352" s="827"/>
      <c r="L352" s="829"/>
      <c r="N352" s="840"/>
    </row>
    <row r="353" spans="1:14" s="124" customFormat="1" ht="41.4" hidden="1">
      <c r="A353" s="827">
        <f t="shared" si="11"/>
        <v>347</v>
      </c>
      <c r="B353" s="806" t="s">
        <v>3201</v>
      </c>
      <c r="C353" s="830" t="str">
        <f t="shared" si="10"/>
        <v>12.2016</v>
      </c>
      <c r="D353" s="828" t="s">
        <v>2700</v>
      </c>
      <c r="E353" s="827">
        <v>19921</v>
      </c>
      <c r="F353" s="647">
        <v>1126762</v>
      </c>
      <c r="G353" s="806" t="s">
        <v>2805</v>
      </c>
      <c r="H353" s="663" t="s">
        <v>2801</v>
      </c>
      <c r="I353" s="828" t="s">
        <v>2796</v>
      </c>
      <c r="J353" s="829" t="s">
        <v>3338</v>
      </c>
      <c r="K353" s="827"/>
      <c r="L353" s="829"/>
      <c r="N353" s="840"/>
    </row>
    <row r="354" spans="1:14" s="124" customFormat="1" ht="41.4" hidden="1">
      <c r="A354" s="827">
        <f t="shared" si="11"/>
        <v>348</v>
      </c>
      <c r="B354" s="806" t="s">
        <v>2771</v>
      </c>
      <c r="C354" s="830" t="str">
        <f t="shared" si="10"/>
        <v>12.2016</v>
      </c>
      <c r="D354" s="828" t="s">
        <v>2700</v>
      </c>
      <c r="E354" s="827">
        <v>19921</v>
      </c>
      <c r="F354" s="647">
        <v>1330044</v>
      </c>
      <c r="G354" s="806" t="s">
        <v>2805</v>
      </c>
      <c r="H354" s="663" t="s">
        <v>2801</v>
      </c>
      <c r="I354" s="828" t="s">
        <v>2796</v>
      </c>
      <c r="J354" s="829" t="s">
        <v>3339</v>
      </c>
      <c r="K354" s="827"/>
      <c r="L354" s="829"/>
      <c r="N354" s="840"/>
    </row>
    <row r="355" spans="1:14" s="124" customFormat="1" ht="41.4">
      <c r="A355" s="827">
        <f t="shared" si="11"/>
        <v>349</v>
      </c>
      <c r="B355" s="806" t="s">
        <v>2774</v>
      </c>
      <c r="C355" s="830" t="str">
        <f t="shared" si="10"/>
        <v>02.2017</v>
      </c>
      <c r="D355" s="828" t="s">
        <v>2700</v>
      </c>
      <c r="E355" s="827">
        <v>19921</v>
      </c>
      <c r="F355" s="647">
        <v>2297626</v>
      </c>
      <c r="G355" s="806" t="s">
        <v>2805</v>
      </c>
      <c r="H355" s="663" t="s">
        <v>2801</v>
      </c>
      <c r="I355" s="828" t="s">
        <v>2796</v>
      </c>
      <c r="J355" s="829" t="s">
        <v>3340</v>
      </c>
      <c r="K355" s="827"/>
      <c r="L355" s="829"/>
      <c r="N355" s="840"/>
    </row>
    <row r="356" spans="1:14" s="649" customFormat="1" ht="41.4" hidden="1">
      <c r="A356" s="868">
        <f t="shared" si="11"/>
        <v>350</v>
      </c>
      <c r="B356" s="869" t="s">
        <v>2775</v>
      </c>
      <c r="C356" s="717" t="str">
        <f t="shared" si="10"/>
        <v>03.2017</v>
      </c>
      <c r="D356" s="870" t="s">
        <v>2700</v>
      </c>
      <c r="E356" s="868">
        <v>19921</v>
      </c>
      <c r="F356" s="742">
        <v>2297626</v>
      </c>
      <c r="G356" s="869" t="s">
        <v>2805</v>
      </c>
      <c r="H356" s="731" t="s">
        <v>2801</v>
      </c>
      <c r="I356" s="870" t="s">
        <v>2796</v>
      </c>
      <c r="J356" s="871" t="s">
        <v>2818</v>
      </c>
      <c r="K356" s="868"/>
      <c r="L356" s="871"/>
      <c r="N356" s="872"/>
    </row>
    <row r="357" spans="1:14" s="124" customFormat="1" ht="41.4">
      <c r="A357" s="827">
        <f t="shared" si="11"/>
        <v>351</v>
      </c>
      <c r="B357" s="806" t="s">
        <v>2728</v>
      </c>
      <c r="C357" s="830" t="str">
        <f t="shared" si="10"/>
        <v>01.2018</v>
      </c>
      <c r="D357" s="828" t="s">
        <v>2700</v>
      </c>
      <c r="E357" s="827">
        <v>19921</v>
      </c>
      <c r="F357" s="647">
        <v>547282</v>
      </c>
      <c r="G357" s="806" t="s">
        <v>2805</v>
      </c>
      <c r="H357" s="663" t="s">
        <v>2801</v>
      </c>
      <c r="I357" s="828" t="s">
        <v>2796</v>
      </c>
      <c r="J357" s="829" t="s">
        <v>3341</v>
      </c>
      <c r="K357" s="827"/>
      <c r="L357" s="829"/>
      <c r="N357" s="840"/>
    </row>
    <row r="358" spans="1:14" s="649" customFormat="1" ht="41.4" hidden="1">
      <c r="A358" s="868">
        <f t="shared" si="11"/>
        <v>352</v>
      </c>
      <c r="B358" s="869" t="s">
        <v>2699</v>
      </c>
      <c r="C358" s="717" t="str">
        <f t="shared" si="10"/>
        <v>02.2018</v>
      </c>
      <c r="D358" s="870" t="s">
        <v>2700</v>
      </c>
      <c r="E358" s="868">
        <v>19921</v>
      </c>
      <c r="F358" s="742">
        <v>4234902</v>
      </c>
      <c r="G358" s="869" t="s">
        <v>2805</v>
      </c>
      <c r="H358" s="731" t="s">
        <v>2801</v>
      </c>
      <c r="I358" s="870" t="s">
        <v>2796</v>
      </c>
      <c r="J358" s="871" t="s">
        <v>3342</v>
      </c>
      <c r="K358" s="868"/>
      <c r="L358" s="871"/>
      <c r="N358" s="872"/>
    </row>
    <row r="359" spans="1:14" s="649" customFormat="1" ht="41.4" hidden="1">
      <c r="A359" s="868">
        <f t="shared" si="11"/>
        <v>353</v>
      </c>
      <c r="B359" s="869" t="s">
        <v>2751</v>
      </c>
      <c r="C359" s="717" t="str">
        <f t="shared" si="10"/>
        <v>03.2018</v>
      </c>
      <c r="D359" s="870" t="s">
        <v>2700</v>
      </c>
      <c r="E359" s="868">
        <v>19921</v>
      </c>
      <c r="F359" s="742">
        <v>11480400</v>
      </c>
      <c r="G359" s="869" t="s">
        <v>2805</v>
      </c>
      <c r="H359" s="731" t="s">
        <v>2801</v>
      </c>
      <c r="I359" s="870" t="s">
        <v>2796</v>
      </c>
      <c r="J359" s="871" t="s">
        <v>3343</v>
      </c>
      <c r="K359" s="868"/>
      <c r="L359" s="871"/>
      <c r="N359" s="872"/>
    </row>
    <row r="360" spans="1:14" s="124" customFormat="1" ht="41.4">
      <c r="A360" s="827">
        <f t="shared" si="11"/>
        <v>354</v>
      </c>
      <c r="B360" s="806" t="s">
        <v>2793</v>
      </c>
      <c r="C360" s="830" t="str">
        <f t="shared" si="10"/>
        <v>07.2018</v>
      </c>
      <c r="D360" s="828" t="s">
        <v>2700</v>
      </c>
      <c r="E360" s="827">
        <v>19921</v>
      </c>
      <c r="F360" s="647">
        <v>2500000</v>
      </c>
      <c r="G360" s="806" t="s">
        <v>2805</v>
      </c>
      <c r="H360" s="663" t="s">
        <v>2801</v>
      </c>
      <c r="I360" s="828" t="s">
        <v>2796</v>
      </c>
      <c r="J360" s="829" t="s">
        <v>2846</v>
      </c>
      <c r="K360" s="827"/>
      <c r="L360" s="829"/>
      <c r="N360" s="840"/>
    </row>
    <row r="361" spans="1:14" s="124" customFormat="1" ht="41.4" hidden="1">
      <c r="A361" s="827">
        <f t="shared" si="11"/>
        <v>355</v>
      </c>
      <c r="B361" s="806" t="s">
        <v>2064</v>
      </c>
      <c r="C361" s="830" t="str">
        <f t="shared" si="10"/>
        <v>02.2016</v>
      </c>
      <c r="D361" s="828" t="s">
        <v>2700</v>
      </c>
      <c r="E361" s="827">
        <v>19921</v>
      </c>
      <c r="F361" s="647">
        <v>41310</v>
      </c>
      <c r="G361" s="806" t="s">
        <v>2805</v>
      </c>
      <c r="H361" s="663" t="s">
        <v>2801</v>
      </c>
      <c r="I361" s="828" t="s">
        <v>2796</v>
      </c>
      <c r="J361" s="829" t="s">
        <v>3344</v>
      </c>
      <c r="K361" s="827"/>
      <c r="L361" s="829"/>
      <c r="N361" s="840"/>
    </row>
    <row r="362" spans="1:14" s="124" customFormat="1" ht="41.4" hidden="1">
      <c r="A362" s="827">
        <f t="shared" si="11"/>
        <v>356</v>
      </c>
      <c r="B362" s="806" t="s">
        <v>2064</v>
      </c>
      <c r="C362" s="830" t="str">
        <f t="shared" si="10"/>
        <v>02.2016</v>
      </c>
      <c r="D362" s="828" t="s">
        <v>2700</v>
      </c>
      <c r="E362" s="827">
        <v>19921</v>
      </c>
      <c r="F362" s="647">
        <v>3570</v>
      </c>
      <c r="G362" s="806" t="s">
        <v>2805</v>
      </c>
      <c r="H362" s="663" t="s">
        <v>2801</v>
      </c>
      <c r="I362" s="828" t="s">
        <v>2796</v>
      </c>
      <c r="J362" s="829" t="s">
        <v>3345</v>
      </c>
      <c r="K362" s="827"/>
      <c r="L362" s="829"/>
      <c r="N362" s="840"/>
    </row>
    <row r="363" spans="1:14" s="124" customFormat="1" ht="41.4" hidden="1">
      <c r="A363" s="827">
        <f t="shared" si="11"/>
        <v>357</v>
      </c>
      <c r="B363" s="806" t="s">
        <v>2064</v>
      </c>
      <c r="C363" s="830" t="str">
        <f t="shared" si="10"/>
        <v>02.2016</v>
      </c>
      <c r="D363" s="828" t="s">
        <v>2700</v>
      </c>
      <c r="E363" s="827">
        <v>19921</v>
      </c>
      <c r="F363" s="647">
        <v>16200</v>
      </c>
      <c r="G363" s="806" t="s">
        <v>2805</v>
      </c>
      <c r="H363" s="663" t="s">
        <v>2801</v>
      </c>
      <c r="I363" s="828" t="s">
        <v>2796</v>
      </c>
      <c r="J363" s="829" t="s">
        <v>3346</v>
      </c>
      <c r="K363" s="827"/>
      <c r="L363" s="829"/>
      <c r="N363" s="840"/>
    </row>
    <row r="364" spans="1:14" s="124" customFormat="1" ht="41.4" hidden="1">
      <c r="A364" s="827">
        <f t="shared" si="11"/>
        <v>358</v>
      </c>
      <c r="B364" s="806" t="s">
        <v>2064</v>
      </c>
      <c r="C364" s="830" t="str">
        <f t="shared" si="10"/>
        <v>02.2016</v>
      </c>
      <c r="D364" s="828" t="s">
        <v>2700</v>
      </c>
      <c r="E364" s="827">
        <v>19921</v>
      </c>
      <c r="F364" s="647">
        <v>56736</v>
      </c>
      <c r="G364" s="806" t="s">
        <v>2805</v>
      </c>
      <c r="H364" s="663" t="s">
        <v>2801</v>
      </c>
      <c r="I364" s="828" t="s">
        <v>2796</v>
      </c>
      <c r="J364" s="829" t="s">
        <v>3347</v>
      </c>
      <c r="K364" s="827"/>
      <c r="L364" s="829"/>
      <c r="N364" s="840"/>
    </row>
    <row r="365" spans="1:14" s="124" customFormat="1" ht="41.4">
      <c r="A365" s="827">
        <f t="shared" si="11"/>
        <v>359</v>
      </c>
      <c r="B365" s="806" t="s">
        <v>3169</v>
      </c>
      <c r="C365" s="830" t="str">
        <f t="shared" si="10"/>
        <v>09.2017</v>
      </c>
      <c r="D365" s="828" t="s">
        <v>2700</v>
      </c>
      <c r="E365" s="827">
        <v>19921</v>
      </c>
      <c r="F365" s="647">
        <v>104000</v>
      </c>
      <c r="G365" s="806" t="s">
        <v>2805</v>
      </c>
      <c r="H365" s="663" t="s">
        <v>2803</v>
      </c>
      <c r="I365" s="828" t="s">
        <v>2798</v>
      </c>
      <c r="J365" s="829" t="s">
        <v>3256</v>
      </c>
      <c r="K365" s="827"/>
      <c r="L365" s="829"/>
      <c r="N365" s="840"/>
    </row>
    <row r="366" spans="1:14" s="124" customFormat="1" ht="41.4">
      <c r="A366" s="842">
        <f t="shared" si="11"/>
        <v>360</v>
      </c>
      <c r="B366" s="843" t="s">
        <v>3169</v>
      </c>
      <c r="C366" s="844" t="str">
        <f t="shared" si="10"/>
        <v>09.2017</v>
      </c>
      <c r="D366" s="845" t="s">
        <v>2700</v>
      </c>
      <c r="E366" s="842">
        <v>19921</v>
      </c>
      <c r="F366" s="846">
        <v>195000</v>
      </c>
      <c r="G366" s="843" t="s">
        <v>2805</v>
      </c>
      <c r="H366" s="847" t="s">
        <v>2803</v>
      </c>
      <c r="I366" s="845" t="s">
        <v>2798</v>
      </c>
      <c r="J366" s="848" t="s">
        <v>3294</v>
      </c>
      <c r="K366" s="842"/>
      <c r="L366" s="848"/>
      <c r="N366" s="840"/>
    </row>
    <row r="367" spans="1:14">
      <c r="A367" s="849"/>
      <c r="B367" s="850"/>
      <c r="C367" s="850"/>
      <c r="D367" s="687" t="s">
        <v>3348</v>
      </c>
      <c r="E367" s="850"/>
      <c r="F367" s="852">
        <f>SUM(F7:F366)</f>
        <v>771010934.90000021</v>
      </c>
      <c r="G367" s="850"/>
      <c r="H367" s="850"/>
      <c r="I367" s="850"/>
      <c r="J367" s="851"/>
      <c r="K367" s="851"/>
      <c r="L367" s="850"/>
    </row>
    <row r="369" spans="4:11">
      <c r="D369" s="185" t="str">
        <f>+'5.омборхона'!B32</f>
        <v>Бешариқ филиали филиал бошқарувчиси:</v>
      </c>
      <c r="E369" s="185"/>
      <c r="F369" s="185"/>
      <c r="G369" s="185"/>
      <c r="H369" s="185"/>
      <c r="I369" s="185"/>
      <c r="J369" s="185"/>
      <c r="K369" s="185" t="str">
        <f>+'5.омборхона'!I32</f>
        <v>_____________</v>
      </c>
    </row>
    <row r="370" spans="4:11">
      <c r="D370" s="185"/>
      <c r="E370" s="185"/>
      <c r="F370" s="185"/>
      <c r="G370" s="185"/>
      <c r="H370" s="185"/>
      <c r="I370" s="185"/>
      <c r="J370" s="185"/>
      <c r="K370" s="185"/>
    </row>
    <row r="371" spans="4:11">
      <c r="D371" s="185" t="str">
        <f>+'5.омборхона'!B34</f>
        <v>Бош бухгалтери:</v>
      </c>
      <c r="E371" s="185"/>
      <c r="F371" s="905"/>
      <c r="G371" s="185"/>
      <c r="H371" s="185"/>
      <c r="I371" s="185"/>
      <c r="J371" s="906"/>
      <c r="K371" s="185" t="str">
        <f>+'5.омборхона'!I34</f>
        <v>_____________</v>
      </c>
    </row>
  </sheetData>
  <autoFilter ref="A6:N367" xr:uid="{00000000-0009-0000-0000-000010000000}">
    <filterColumn colId="2">
      <filters blank="1">
        <filter val="01.2017"/>
        <filter val="01.2018"/>
        <filter val="02.2017"/>
        <filter val="02.2018"/>
        <filter val="03.2017"/>
        <filter val="03.2018"/>
        <filter val="04.2017"/>
        <filter val="05.2017"/>
        <filter val="05.2018"/>
        <filter val="06.2017"/>
        <filter val="06.2018"/>
        <filter val="07.2017"/>
        <filter val="07.2018"/>
        <filter val="08.2017"/>
        <filter val="09.2017"/>
        <filter val="10.2017"/>
        <filter val="11.2017"/>
        <filter val="12.2017"/>
      </filters>
    </filterColumn>
    <filterColumn colId="10">
      <colorFilter dxfId="1" cellColor="0"/>
    </filterColumn>
  </autoFilter>
  <mergeCells count="2">
    <mergeCell ref="A2:K2"/>
    <mergeCell ref="A3:K3"/>
  </mergeCells>
  <phoneticPr fontId="0" type="noConversion"/>
  <printOptions horizontalCentered="1"/>
  <pageMargins left="0.25" right="0.25" top="0.75" bottom="0.75" header="0.3" footer="0.3"/>
  <pageSetup paperSize="9" scale="50" fitToHeight="30" orientation="landscape" r:id="rId1"/>
  <headerFooter alignWithMargins="0"/>
  <ignoredErrors>
    <ignoredError sqref="G6 D6:F6 H6:K6"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9">
    <tabColor rgb="FFFFFF00"/>
    <pageSetUpPr fitToPage="1"/>
  </sheetPr>
  <dimension ref="A1:J35"/>
  <sheetViews>
    <sheetView zoomScale="80" zoomScaleNormal="75" workbookViewId="0">
      <selection activeCell="A3" sqref="A3"/>
    </sheetView>
  </sheetViews>
  <sheetFormatPr defaultColWidth="9.109375" defaultRowHeight="13.8"/>
  <cols>
    <col min="1" max="1" width="4.109375" style="1" customWidth="1"/>
    <col min="2" max="2" width="11.44140625" style="1" customWidth="1"/>
    <col min="3" max="3" width="22" style="1" customWidth="1"/>
    <col min="4" max="4" width="13" style="1" customWidth="1"/>
    <col min="5" max="5" width="15.44140625" style="1" customWidth="1"/>
    <col min="6" max="6" width="12.33203125" style="1" customWidth="1"/>
    <col min="7" max="7" width="18.44140625" style="1" customWidth="1"/>
    <col min="8" max="8" width="17.88671875" style="1" customWidth="1"/>
    <col min="9" max="9" width="15.88671875" style="1" customWidth="1"/>
    <col min="10" max="10" width="11.33203125" style="1" customWidth="1"/>
    <col min="11" max="16384" width="9.109375" style="1"/>
  </cols>
  <sheetData>
    <row r="1" spans="1:10">
      <c r="J1" s="245" t="s">
        <v>274</v>
      </c>
    </row>
    <row r="2" spans="1:10" ht="36.75" customHeight="1">
      <c r="A2" s="1150" t="str">
        <f>""&amp;(Шаблон!B1)&amp;"нинг "&amp;(Шаблон!B2)&amp;" вилоят бошқармаси "&amp;(Шаблон!B3)&amp;" филиалида банк омонатларига қабул қилинган аҳоли омонатлари бўйича текширув давомида аниқланган ортиқча ёки кам фоиз ҳисобланган ҳолатлар бўйича"</f>
        <v>АТ "Халқ банк"нинг Фаргона вилояти вилоят бошқармаси Бешариқ филиали филиалида банк омонатларига қабул қилинган аҳоли омонатлари бўйича текширув давомида аниқланган ортиқча ёки кам фоиз ҳисобланган ҳолатлар бўйича</v>
      </c>
      <c r="B2" s="1150"/>
      <c r="C2" s="1150"/>
      <c r="D2" s="1150"/>
      <c r="E2" s="1150"/>
      <c r="F2" s="1150"/>
      <c r="G2" s="1150"/>
      <c r="H2" s="1150"/>
      <c r="I2" s="1150"/>
      <c r="J2" s="1150"/>
    </row>
    <row r="3" spans="1:10">
      <c r="A3" s="11"/>
      <c r="B3" s="11"/>
      <c r="C3" s="11"/>
      <c r="D3" s="11"/>
      <c r="E3" s="989" t="s">
        <v>385</v>
      </c>
      <c r="F3" s="989"/>
      <c r="G3" s="989"/>
      <c r="H3" s="11"/>
      <c r="I3" s="6"/>
      <c r="J3" s="2"/>
    </row>
    <row r="4" spans="1:10" ht="14.4" thickBot="1">
      <c r="J4" s="245" t="s">
        <v>111</v>
      </c>
    </row>
    <row r="5" spans="1:10" s="145" customFormat="1">
      <c r="A5" s="1154" t="s">
        <v>237</v>
      </c>
      <c r="B5" s="1008" t="s">
        <v>284</v>
      </c>
      <c r="C5" s="1008" t="s">
        <v>497</v>
      </c>
      <c r="D5" s="1008" t="s">
        <v>349</v>
      </c>
      <c r="E5" s="1008" t="s">
        <v>496</v>
      </c>
      <c r="F5" s="1151" t="s">
        <v>239</v>
      </c>
      <c r="G5" s="1152"/>
      <c r="H5" s="1152"/>
      <c r="I5" s="1153"/>
      <c r="J5" s="1008" t="s">
        <v>295</v>
      </c>
    </row>
    <row r="6" spans="1:10" s="145" customFormat="1" ht="42" thickBot="1">
      <c r="A6" s="1155"/>
      <c r="B6" s="1156"/>
      <c r="C6" s="1156"/>
      <c r="D6" s="1156"/>
      <c r="E6" s="1156"/>
      <c r="F6" s="150" t="s">
        <v>352</v>
      </c>
      <c r="G6" s="151" t="s">
        <v>252</v>
      </c>
      <c r="H6" s="151" t="s">
        <v>251</v>
      </c>
      <c r="I6" s="152" t="s">
        <v>308</v>
      </c>
      <c r="J6" s="1156"/>
    </row>
    <row r="7" spans="1:10" s="92" customFormat="1" ht="10.199999999999999">
      <c r="A7" s="89" t="s">
        <v>208</v>
      </c>
      <c r="B7" s="90" t="s">
        <v>209</v>
      </c>
      <c r="C7" s="90" t="s">
        <v>351</v>
      </c>
      <c r="D7" s="90">
        <v>1</v>
      </c>
      <c r="E7" s="90">
        <v>2</v>
      </c>
      <c r="F7" s="90">
        <v>4</v>
      </c>
      <c r="G7" s="90">
        <v>5</v>
      </c>
      <c r="H7" s="90">
        <v>6</v>
      </c>
      <c r="I7" s="90">
        <v>7</v>
      </c>
      <c r="J7" s="91">
        <v>8</v>
      </c>
    </row>
    <row r="8" spans="1:10">
      <c r="A8" s="88">
        <v>1</v>
      </c>
      <c r="B8" s="83"/>
      <c r="C8" s="84"/>
      <c r="D8" s="85"/>
      <c r="E8" s="86"/>
      <c r="F8" s="87"/>
      <c r="G8" s="86"/>
      <c r="H8" s="86"/>
      <c r="I8" s="86">
        <f>+G8-H8</f>
        <v>0</v>
      </c>
      <c r="J8" s="119"/>
    </row>
    <row r="9" spans="1:10" ht="15.75" customHeight="1">
      <c r="A9" s="88">
        <f>+A8+1</f>
        <v>2</v>
      </c>
      <c r="B9" s="83"/>
      <c r="C9" s="84"/>
      <c r="D9" s="85"/>
      <c r="E9" s="86"/>
      <c r="F9" s="87"/>
      <c r="G9" s="86"/>
      <c r="H9" s="86"/>
      <c r="I9" s="86">
        <f>+G9-H9</f>
        <v>0</v>
      </c>
      <c r="J9" s="122"/>
    </row>
    <row r="10" spans="1:10">
      <c r="A10" s="88">
        <f>+A9+1</f>
        <v>3</v>
      </c>
      <c r="B10" s="83"/>
      <c r="C10" s="84"/>
      <c r="D10" s="85"/>
      <c r="E10" s="86"/>
      <c r="F10" s="87"/>
      <c r="G10" s="86"/>
      <c r="H10" s="86"/>
      <c r="I10" s="86">
        <f>+G10-H10</f>
        <v>0</v>
      </c>
      <c r="J10" s="119"/>
    </row>
    <row r="11" spans="1:10">
      <c r="A11" s="88">
        <f>+A10+1</f>
        <v>4</v>
      </c>
      <c r="B11" s="83"/>
      <c r="C11" s="84"/>
      <c r="D11" s="85"/>
      <c r="E11" s="86"/>
      <c r="F11" s="87"/>
      <c r="G11" s="86"/>
      <c r="H11" s="86"/>
      <c r="I11" s="86">
        <f>+G11-H11</f>
        <v>0</v>
      </c>
      <c r="J11" s="119"/>
    </row>
    <row r="12" spans="1:10">
      <c r="A12" s="88">
        <f>+A11+1</f>
        <v>5</v>
      </c>
      <c r="B12" s="83"/>
      <c r="C12" s="84"/>
      <c r="D12" s="85"/>
      <c r="E12" s="86"/>
      <c r="F12" s="87"/>
      <c r="G12" s="86"/>
      <c r="H12" s="86"/>
      <c r="I12" s="86">
        <f>+G12-H12</f>
        <v>0</v>
      </c>
      <c r="J12" s="119"/>
    </row>
    <row r="13" spans="1:10" ht="24.75" customHeight="1" thickBot="1">
      <c r="A13" s="93"/>
      <c r="B13" s="94" t="s">
        <v>174</v>
      </c>
      <c r="C13" s="94" t="s">
        <v>285</v>
      </c>
      <c r="D13" s="94"/>
      <c r="E13" s="95">
        <f>SUM(E8:E12)</f>
        <v>0</v>
      </c>
      <c r="F13" s="94" t="s">
        <v>285</v>
      </c>
      <c r="G13" s="95">
        <f>SUM(G8:G12)</f>
        <v>0</v>
      </c>
      <c r="H13" s="95">
        <f>SUM(H8:H12)</f>
        <v>0</v>
      </c>
      <c r="I13" s="95">
        <f>SUM(I8:I12)</f>
        <v>0</v>
      </c>
      <c r="J13" s="96" t="s">
        <v>285</v>
      </c>
    </row>
    <row r="15" spans="1:10">
      <c r="G15" s="24"/>
    </row>
    <row r="16" spans="1:10">
      <c r="B16" s="6" t="str">
        <f>""&amp;(Шаблон!B1)&amp;"нинг Ички Аудит"</f>
        <v>АТ "Халқ банк"нинг Ички Аудит</v>
      </c>
      <c r="F16" s="27"/>
      <c r="G16" s="28"/>
    </row>
    <row r="17" spans="2:7">
      <c r="B17" s="6" t="s">
        <v>493</v>
      </c>
      <c r="F17" s="43"/>
      <c r="G17" s="6" t="str">
        <f>Шаблон!B13</f>
        <v>А.Ҳазратқулов</v>
      </c>
    </row>
    <row r="18" spans="2:7">
      <c r="B18" s="6"/>
      <c r="F18" s="43"/>
      <c r="G18" s="6"/>
    </row>
    <row r="19" spans="2:7">
      <c r="B19" s="6" t="str">
        <f>""&amp;(Шаблон!B1)&amp;" "&amp;(Шаблон!B2)&amp;" вилоят бошқармаси"</f>
        <v>АТ "Халқ банк" Фаргона вилояти вилоят бошқармаси</v>
      </c>
      <c r="F19" s="43"/>
    </row>
    <row r="20" spans="2:7">
      <c r="B20" s="6" t="str">
        <f>""&amp;(Шаблон!B3)&amp;" филиали бошқарувчиси:"</f>
        <v>Бешариқ филиали филиали бошқарувчиси:</v>
      </c>
      <c r="F20" s="27"/>
      <c r="G20" s="6" t="str">
        <f>Шаблон!B5</f>
        <v>_____________</v>
      </c>
    </row>
    <row r="21" spans="2:7">
      <c r="B21" s="6"/>
      <c r="F21" s="27"/>
    </row>
    <row r="22" spans="2:7">
      <c r="B22" s="105" t="s">
        <v>4</v>
      </c>
      <c r="F22" s="27"/>
      <c r="G22" s="6" t="str">
        <f>Шаблон!B8</f>
        <v>_____________</v>
      </c>
    </row>
    <row r="23" spans="2:7">
      <c r="B23" s="6"/>
      <c r="F23" s="27"/>
    </row>
    <row r="24" spans="2:7">
      <c r="B24" s="6"/>
      <c r="F24" s="27"/>
      <c r="G24" s="6"/>
    </row>
    <row r="25" spans="2:7">
      <c r="B25" s="6"/>
      <c r="D25" s="6"/>
      <c r="E25" s="6"/>
      <c r="F25" s="6"/>
      <c r="G25" s="6"/>
    </row>
    <row r="32" spans="2:7">
      <c r="B32" s="25"/>
    </row>
    <row r="33" spans="2:8">
      <c r="B33" s="25"/>
      <c r="D33" s="25"/>
    </row>
    <row r="34" spans="2:8">
      <c r="B34" s="25"/>
      <c r="D34" s="25"/>
    </row>
    <row r="35" spans="2:8">
      <c r="B35" s="26"/>
      <c r="D35" s="26"/>
      <c r="F35" s="22"/>
      <c r="G35" s="22">
        <f>((C35*5%)/365)*E35</f>
        <v>0</v>
      </c>
      <c r="H35" s="22">
        <f>((C35*5%)/360)*E35</f>
        <v>0</v>
      </c>
    </row>
  </sheetData>
  <mergeCells count="9">
    <mergeCell ref="E3:G3"/>
    <mergeCell ref="A2:J2"/>
    <mergeCell ref="F5:I5"/>
    <mergeCell ref="A5:A6"/>
    <mergeCell ref="B5:B6"/>
    <mergeCell ref="C5:C6"/>
    <mergeCell ref="E5:E6"/>
    <mergeCell ref="J5:J6"/>
    <mergeCell ref="D5:D6"/>
  </mergeCells>
  <phoneticPr fontId="0" type="noConversion"/>
  <pageMargins left="0.49" right="0.27559055118110237" top="0.88" bottom="0.44" header="0.34" footer="0.32"/>
  <pageSetup paperSize="9" orientation="landscape" horizontalDpi="240" verticalDpi="144"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indexed="34"/>
  </sheetPr>
  <dimension ref="A1:K32"/>
  <sheetViews>
    <sheetView zoomScale="87" zoomScaleNormal="87" workbookViewId="0">
      <selection activeCell="B8" sqref="B8:J8"/>
    </sheetView>
  </sheetViews>
  <sheetFormatPr defaultColWidth="9.109375" defaultRowHeight="13.8"/>
  <cols>
    <col min="1" max="1" width="4.109375" style="1" customWidth="1"/>
    <col min="2" max="2" width="11.44140625" style="1" customWidth="1"/>
    <col min="3" max="3" width="24.33203125" style="1" customWidth="1"/>
    <col min="4" max="4" width="15" style="1" customWidth="1"/>
    <col min="5" max="5" width="17" style="1" customWidth="1"/>
    <col min="6" max="6" width="45.33203125" style="1" customWidth="1"/>
    <col min="7" max="7" width="12.33203125" style="1" customWidth="1"/>
    <col min="8" max="8" width="18.44140625" style="1" customWidth="1"/>
    <col min="9" max="9" width="17.88671875" style="1" customWidth="1"/>
    <col min="10" max="10" width="15.88671875" style="1" customWidth="1"/>
    <col min="11" max="11" width="11.33203125" style="1" customWidth="1"/>
    <col min="12" max="16384" width="9.109375" style="1"/>
  </cols>
  <sheetData>
    <row r="1" spans="1:11">
      <c r="K1" s="245" t="s">
        <v>276</v>
      </c>
    </row>
    <row r="2" spans="1:11" ht="37.5" customHeight="1">
      <c r="A2" s="1150" t="str">
        <f>""&amp;(Шаблон!B1)&amp;"нинг "&amp;(Шаблон!B2)&amp;" вилоят бошқармаси "&amp;(Шаблон!B3)&amp;" филиалида нақд пулсиз шаклда банк омонатларига қабул қилинган аҳоли омонатларидан Банк бошқаруви томонидан тасдиқланган Банк тарифларига асосан  ундирилиши лозим бўлган, лекин ундирилмаган ёки кам ундирилган даромадлар тўғрисида 2013 йил 1 июн холатига"</f>
        <v>АТ "Халқ банк"нинг Фаргона вилояти вилоят бошқармаси Бешариқ филиали филиалида нақд пулсиз шаклда банк омонатларига қабул қилинган аҳоли омонатларидан Банк бошқаруви томонидан тасдиқланган Банк тарифларига асосан  ундирилиши лозим бўлган, лекин ундирилмаган ёки кам ундирилган даромадлар тўғрисида 2013 йил 1 июн холатига</v>
      </c>
      <c r="B2" s="1150"/>
      <c r="C2" s="1150"/>
      <c r="D2" s="1150"/>
      <c r="E2" s="1150"/>
      <c r="F2" s="1150"/>
      <c r="G2" s="1150"/>
      <c r="H2" s="1150"/>
      <c r="I2" s="1150"/>
      <c r="J2" s="1150"/>
      <c r="K2" s="1150"/>
    </row>
    <row r="3" spans="1:11">
      <c r="A3" s="11"/>
      <c r="B3" s="11"/>
      <c r="C3" s="11"/>
      <c r="D3" s="11"/>
      <c r="E3" s="989" t="s">
        <v>385</v>
      </c>
      <c r="F3" s="989"/>
      <c r="G3" s="989"/>
      <c r="H3" s="989"/>
      <c r="I3" s="11"/>
      <c r="J3" s="6"/>
      <c r="K3" s="2"/>
    </row>
    <row r="4" spans="1:11" ht="14.4" thickBot="1">
      <c r="K4" s="245" t="s">
        <v>111</v>
      </c>
    </row>
    <row r="5" spans="1:11" s="145" customFormat="1" ht="15" customHeight="1" thickBot="1">
      <c r="A5" s="1154" t="s">
        <v>237</v>
      </c>
      <c r="B5" s="1008" t="s">
        <v>284</v>
      </c>
      <c r="C5" s="1008" t="s">
        <v>348</v>
      </c>
      <c r="D5" s="1008" t="s">
        <v>349</v>
      </c>
      <c r="E5" s="1008" t="s">
        <v>250</v>
      </c>
      <c r="F5" s="1008" t="s">
        <v>306</v>
      </c>
      <c r="G5" s="1157" t="s">
        <v>239</v>
      </c>
      <c r="H5" s="1158"/>
      <c r="I5" s="1158"/>
      <c r="J5" s="1159"/>
      <c r="K5" s="1008" t="s">
        <v>295</v>
      </c>
    </row>
    <row r="6" spans="1:11" s="145" customFormat="1" ht="42" thickBot="1">
      <c r="A6" s="1155"/>
      <c r="B6" s="1156"/>
      <c r="C6" s="1156"/>
      <c r="D6" s="1156"/>
      <c r="E6" s="1156"/>
      <c r="F6" s="1156"/>
      <c r="G6" s="541" t="s">
        <v>350</v>
      </c>
      <c r="H6" s="542" t="s">
        <v>252</v>
      </c>
      <c r="I6" s="543" t="s">
        <v>251</v>
      </c>
      <c r="J6" s="542" t="s">
        <v>308</v>
      </c>
      <c r="K6" s="1156"/>
    </row>
    <row r="7" spans="1:11" s="92" customFormat="1">
      <c r="A7" s="89" t="s">
        <v>208</v>
      </c>
      <c r="B7" s="90" t="s">
        <v>209</v>
      </c>
      <c r="C7" s="90" t="s">
        <v>351</v>
      </c>
      <c r="D7" s="512">
        <v>1</v>
      </c>
      <c r="E7" s="90">
        <v>2</v>
      </c>
      <c r="F7" s="90">
        <v>3</v>
      </c>
      <c r="G7" s="90">
        <v>4</v>
      </c>
      <c r="H7" s="90">
        <v>5</v>
      </c>
      <c r="I7" s="90">
        <v>6</v>
      </c>
      <c r="J7" s="90">
        <v>7</v>
      </c>
      <c r="K7" s="91">
        <v>8</v>
      </c>
    </row>
    <row r="8" spans="1:11" ht="54" customHeight="1">
      <c r="A8" s="83">
        <v>1</v>
      </c>
      <c r="B8" s="83"/>
      <c r="C8" s="84"/>
      <c r="D8" s="578"/>
      <c r="E8" s="509"/>
      <c r="F8" s="579"/>
      <c r="G8" s="87"/>
      <c r="H8" s="510"/>
      <c r="I8" s="510"/>
      <c r="J8" s="510"/>
      <c r="K8" s="119"/>
    </row>
    <row r="9" spans="1:11">
      <c r="A9" s="83"/>
      <c r="B9" s="83"/>
      <c r="C9" s="534"/>
      <c r="D9" s="516"/>
      <c r="E9" s="514"/>
      <c r="F9" s="535"/>
      <c r="G9" s="87"/>
      <c r="H9" s="510"/>
      <c r="I9" s="510"/>
      <c r="J9" s="510"/>
      <c r="K9" s="515"/>
    </row>
    <row r="10" spans="1:11" ht="24.75" customHeight="1" thickBot="1">
      <c r="A10" s="93"/>
      <c r="B10" s="94" t="s">
        <v>174</v>
      </c>
      <c r="C10" s="94" t="s">
        <v>285</v>
      </c>
      <c r="D10" s="94"/>
      <c r="E10" s="511">
        <f>SUM(E8:E9)</f>
        <v>0</v>
      </c>
      <c r="F10" s="95"/>
      <c r="G10" s="94" t="s">
        <v>285</v>
      </c>
      <c r="H10" s="511">
        <f>SUM(H8:H9)</f>
        <v>0</v>
      </c>
      <c r="I10" s="511">
        <f>SUM(I8:I9)</f>
        <v>0</v>
      </c>
      <c r="J10" s="511">
        <f>SUM(J8:J9)</f>
        <v>0</v>
      </c>
      <c r="K10" s="96" t="s">
        <v>285</v>
      </c>
    </row>
    <row r="12" spans="1:11">
      <c r="H12" s="24"/>
    </row>
    <row r="13" spans="1:11">
      <c r="B13" s="6" t="str">
        <f>""&amp;(Шаблон!B1)&amp;"нинг Ички Аудит"</f>
        <v>АТ "Халқ банк"нинг Ички Аудит</v>
      </c>
      <c r="F13" s="6"/>
      <c r="G13" s="27"/>
      <c r="H13" s="28"/>
    </row>
    <row r="14" spans="1:11">
      <c r="B14" s="6" t="s">
        <v>493</v>
      </c>
      <c r="F14" s="6"/>
      <c r="G14" s="43"/>
      <c r="H14" s="6" t="str">
        <f>Шаблон!B13</f>
        <v>А.Ҳазратқулов</v>
      </c>
    </row>
    <row r="15" spans="1:11">
      <c r="B15" s="6"/>
      <c r="F15" s="6"/>
      <c r="G15" s="43"/>
      <c r="H15" s="6"/>
    </row>
    <row r="16" spans="1:11">
      <c r="B16" s="6" t="str">
        <f>""&amp;(Шаблон!B1)&amp;" "&amp;(Шаблон!B2)&amp;" вилоят бошқармаси"</f>
        <v>АТ "Халқ банк" Фаргона вилояти вилоят бошқармаси</v>
      </c>
      <c r="G16" s="43"/>
    </row>
    <row r="17" spans="2:9">
      <c r="B17" s="6" t="str">
        <f>""&amp;(Шаблон!B3)&amp;" филиали бошқарувчиси:"</f>
        <v>Бешариқ филиали филиали бошқарувчиси:</v>
      </c>
      <c r="F17" s="6"/>
      <c r="G17" s="27"/>
      <c r="H17" s="6" t="str">
        <f>Шаблон!B5</f>
        <v>_____________</v>
      </c>
    </row>
    <row r="18" spans="2:9">
      <c r="B18" s="6"/>
      <c r="G18" s="27"/>
    </row>
    <row r="19" spans="2:9">
      <c r="B19" s="105" t="s">
        <v>323</v>
      </c>
      <c r="F19" s="6"/>
      <c r="G19" s="27"/>
      <c r="H19" s="6" t="str">
        <f>Шаблон!B8</f>
        <v>_____________</v>
      </c>
    </row>
    <row r="20" spans="2:9">
      <c r="B20" s="6"/>
      <c r="G20" s="27"/>
    </row>
    <row r="21" spans="2:9">
      <c r="B21" s="6"/>
      <c r="F21" s="6"/>
      <c r="G21" s="27"/>
      <c r="H21" s="6"/>
    </row>
    <row r="22" spans="2:9">
      <c r="B22" s="6"/>
      <c r="E22" s="6"/>
      <c r="F22" s="6"/>
      <c r="G22" s="6"/>
      <c r="H22" s="6"/>
    </row>
    <row r="29" spans="2:9">
      <c r="B29" s="25"/>
    </row>
    <row r="30" spans="2:9">
      <c r="B30" s="25"/>
    </row>
    <row r="31" spans="2:9">
      <c r="B31" s="25"/>
    </row>
    <row r="32" spans="2:9">
      <c r="B32" s="26"/>
      <c r="G32" s="22"/>
      <c r="H32" s="22">
        <f>((C32*5%)/365)*E32</f>
        <v>0</v>
      </c>
      <c r="I32" s="22">
        <f>((C32*5%)/360)*E32</f>
        <v>0</v>
      </c>
    </row>
  </sheetData>
  <mergeCells count="10">
    <mergeCell ref="G5:J5"/>
    <mergeCell ref="K5:K6"/>
    <mergeCell ref="A2:K2"/>
    <mergeCell ref="E3:H3"/>
    <mergeCell ref="A5:A6"/>
    <mergeCell ref="B5:B6"/>
    <mergeCell ref="C5:C6"/>
    <mergeCell ref="E5:E6"/>
    <mergeCell ref="D5:D6"/>
    <mergeCell ref="F5:F6"/>
  </mergeCells>
  <phoneticPr fontId="41" type="noConversion"/>
  <printOptions horizontalCentered="1"/>
  <pageMargins left="0.24" right="0.16" top="0.74803149606299213" bottom="0.19685039370078741" header="0.31496062992125984" footer="0.23622047244094491"/>
  <pageSetup paperSize="9" scale="65"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L41"/>
  <sheetViews>
    <sheetView view="pageBreakPreview" topLeftCell="A13" zoomScale="60" workbookViewId="0">
      <selection activeCell="E7" sqref="E7"/>
    </sheetView>
  </sheetViews>
  <sheetFormatPr defaultColWidth="9.109375" defaultRowHeight="15.6"/>
  <cols>
    <col min="1" max="1" width="5.44140625" style="592" customWidth="1"/>
    <col min="2" max="2" width="16.88671875" style="592" customWidth="1"/>
    <col min="3" max="3" width="11.6640625" style="592" customWidth="1"/>
    <col min="4" max="4" width="43.6640625" style="627" customWidth="1"/>
    <col min="5" max="5" width="33.6640625" style="592" bestFit="1" customWidth="1"/>
    <col min="6" max="6" width="19.6640625" style="628" customWidth="1"/>
    <col min="7" max="7" width="36.5546875" style="625" customWidth="1"/>
    <col min="8" max="8" width="85.109375" style="625" customWidth="1"/>
    <col min="9" max="9" width="51" style="592" customWidth="1"/>
    <col min="10" max="10" width="28.6640625" style="592" bestFit="1" customWidth="1"/>
    <col min="11" max="16384" width="9.109375" style="592"/>
  </cols>
  <sheetData>
    <row r="1" spans="1:12">
      <c r="A1" s="587"/>
      <c r="B1" s="587"/>
      <c r="C1" s="587"/>
      <c r="D1" s="588"/>
      <c r="E1" s="587"/>
      <c r="F1" s="589"/>
      <c r="G1" s="590"/>
      <c r="H1" s="590"/>
      <c r="I1" s="587"/>
      <c r="J1" s="591" t="s">
        <v>136</v>
      </c>
      <c r="K1" s="587"/>
      <c r="L1" s="587"/>
    </row>
    <row r="2" spans="1:12" ht="36" customHeight="1">
      <c r="A2" s="1160" t="s">
        <v>906</v>
      </c>
      <c r="B2" s="1160"/>
      <c r="C2" s="1160"/>
      <c r="D2" s="1160"/>
      <c r="E2" s="1160"/>
      <c r="F2" s="1160"/>
      <c r="G2" s="1160"/>
      <c r="H2" s="1160"/>
      <c r="I2" s="1160"/>
      <c r="J2" s="1160"/>
      <c r="K2" s="587"/>
      <c r="L2" s="587"/>
    </row>
    <row r="3" spans="1:12" ht="16.2" thickBot="1">
      <c r="A3" s="590"/>
      <c r="B3" s="590"/>
      <c r="C3" s="590"/>
      <c r="D3" s="593"/>
      <c r="E3" s="590"/>
      <c r="F3" s="594"/>
      <c r="G3" s="590"/>
      <c r="H3" s="595"/>
      <c r="I3" s="587"/>
      <c r="J3" s="596" t="s">
        <v>721</v>
      </c>
      <c r="K3" s="587"/>
      <c r="L3" s="587"/>
    </row>
    <row r="4" spans="1:12" ht="84" customHeight="1">
      <c r="A4" s="597" t="s">
        <v>245</v>
      </c>
      <c r="B4" s="598" t="s">
        <v>191</v>
      </c>
      <c r="C4" s="598" t="s">
        <v>722</v>
      </c>
      <c r="D4" s="598" t="s">
        <v>137</v>
      </c>
      <c r="E4" s="598" t="s">
        <v>723</v>
      </c>
      <c r="F4" s="599" t="s">
        <v>138</v>
      </c>
      <c r="G4" s="598" t="s">
        <v>724</v>
      </c>
      <c r="H4" s="598" t="s">
        <v>306</v>
      </c>
      <c r="I4" s="598" t="s">
        <v>246</v>
      </c>
      <c r="J4" s="600" t="s">
        <v>295</v>
      </c>
      <c r="K4" s="587"/>
      <c r="L4" s="587"/>
    </row>
    <row r="5" spans="1:12">
      <c r="A5" s="601" t="s">
        <v>208</v>
      </c>
      <c r="B5" s="602">
        <v>1</v>
      </c>
      <c r="C5" s="602">
        <v>2</v>
      </c>
      <c r="D5" s="602">
        <v>3</v>
      </c>
      <c r="E5" s="602">
        <v>4</v>
      </c>
      <c r="F5" s="602">
        <v>5</v>
      </c>
      <c r="G5" s="602"/>
      <c r="H5" s="602">
        <v>6</v>
      </c>
      <c r="I5" s="602">
        <v>7</v>
      </c>
      <c r="J5" s="603">
        <v>8</v>
      </c>
      <c r="K5" s="587"/>
      <c r="L5" s="587"/>
    </row>
    <row r="6" spans="1:12" s="611" customFormat="1" ht="48.75" customHeight="1">
      <c r="A6" s="604">
        <v>1</v>
      </c>
      <c r="B6" s="605" t="s">
        <v>843</v>
      </c>
      <c r="C6" s="606" t="s">
        <v>287</v>
      </c>
      <c r="D6" s="606" t="s">
        <v>844</v>
      </c>
      <c r="E6" s="605" t="s">
        <v>845</v>
      </c>
      <c r="F6" s="607">
        <v>3000000</v>
      </c>
      <c r="G6" s="606" t="s">
        <v>846</v>
      </c>
      <c r="H6" s="608" t="s">
        <v>847</v>
      </c>
      <c r="I6" s="606" t="s">
        <v>725</v>
      </c>
      <c r="J6" s="609" t="s">
        <v>898</v>
      </c>
      <c r="K6" s="610"/>
      <c r="L6" s="610"/>
    </row>
    <row r="7" spans="1:12" s="611" customFormat="1" ht="48.75" customHeight="1">
      <c r="A7" s="604">
        <v>2</v>
      </c>
      <c r="B7" s="605" t="s">
        <v>848</v>
      </c>
      <c r="C7" s="606" t="s">
        <v>849</v>
      </c>
      <c r="D7" s="606" t="s">
        <v>815</v>
      </c>
      <c r="E7" s="605" t="s">
        <v>850</v>
      </c>
      <c r="F7" s="607">
        <v>1500000000</v>
      </c>
      <c r="G7" s="606" t="s">
        <v>851</v>
      </c>
      <c r="H7" s="608" t="s">
        <v>852</v>
      </c>
      <c r="I7" s="606" t="s">
        <v>725</v>
      </c>
      <c r="J7" s="609" t="s">
        <v>898</v>
      </c>
      <c r="K7" s="610"/>
      <c r="L7" s="610"/>
    </row>
    <row r="8" spans="1:12" s="611" customFormat="1" ht="48.75" customHeight="1">
      <c r="A8" s="604">
        <v>3</v>
      </c>
      <c r="B8" s="605" t="s">
        <v>836</v>
      </c>
      <c r="C8" s="606" t="s">
        <v>372</v>
      </c>
      <c r="D8" s="606" t="s">
        <v>837</v>
      </c>
      <c r="E8" s="605" t="s">
        <v>835</v>
      </c>
      <c r="F8" s="607">
        <v>2200000</v>
      </c>
      <c r="G8" s="606" t="s">
        <v>838</v>
      </c>
      <c r="H8" s="608" t="s">
        <v>839</v>
      </c>
      <c r="I8" s="1161" t="s">
        <v>842</v>
      </c>
      <c r="J8" s="612" t="s">
        <v>898</v>
      </c>
      <c r="K8" s="610"/>
      <c r="L8" s="610"/>
    </row>
    <row r="9" spans="1:12" s="611" customFormat="1" ht="48.75" customHeight="1">
      <c r="A9" s="604">
        <v>4</v>
      </c>
      <c r="B9" s="605" t="s">
        <v>836</v>
      </c>
      <c r="C9" s="606" t="s">
        <v>286</v>
      </c>
      <c r="D9" s="606" t="s">
        <v>837</v>
      </c>
      <c r="E9" s="605" t="s">
        <v>835</v>
      </c>
      <c r="F9" s="607">
        <v>26800000</v>
      </c>
      <c r="G9" s="606" t="s">
        <v>840</v>
      </c>
      <c r="H9" s="608" t="s">
        <v>841</v>
      </c>
      <c r="I9" s="1162"/>
      <c r="J9" s="613" t="s">
        <v>898</v>
      </c>
      <c r="K9" s="610"/>
      <c r="L9" s="610"/>
    </row>
    <row r="10" spans="1:12" s="611" customFormat="1" ht="48.75" customHeight="1">
      <c r="A10" s="604">
        <v>5</v>
      </c>
      <c r="B10" s="605" t="s">
        <v>872</v>
      </c>
      <c r="C10" s="606" t="s">
        <v>372</v>
      </c>
      <c r="D10" s="606" t="s">
        <v>873</v>
      </c>
      <c r="E10" s="605" t="s">
        <v>874</v>
      </c>
      <c r="F10" s="607">
        <v>20000000</v>
      </c>
      <c r="G10" s="606" t="s">
        <v>875</v>
      </c>
      <c r="H10" s="608" t="s">
        <v>876</v>
      </c>
      <c r="I10" s="606" t="s">
        <v>725</v>
      </c>
      <c r="J10" s="609" t="s">
        <v>898</v>
      </c>
      <c r="K10" s="610"/>
      <c r="L10" s="610"/>
    </row>
    <row r="11" spans="1:12" s="611" customFormat="1" ht="48.75" customHeight="1">
      <c r="A11" s="604">
        <v>6</v>
      </c>
      <c r="B11" s="605" t="s">
        <v>820</v>
      </c>
      <c r="C11" s="606" t="s">
        <v>821</v>
      </c>
      <c r="D11" s="606" t="s">
        <v>794</v>
      </c>
      <c r="E11" s="605" t="s">
        <v>822</v>
      </c>
      <c r="F11" s="607">
        <v>350000000</v>
      </c>
      <c r="G11" s="606" t="s">
        <v>823</v>
      </c>
      <c r="H11" s="608" t="s">
        <v>824</v>
      </c>
      <c r="I11" s="606" t="s">
        <v>825</v>
      </c>
      <c r="J11" s="609" t="s">
        <v>898</v>
      </c>
      <c r="K11" s="610"/>
      <c r="L11" s="610"/>
    </row>
    <row r="12" spans="1:12" s="611" customFormat="1" ht="48.75" customHeight="1">
      <c r="A12" s="604">
        <v>7</v>
      </c>
      <c r="B12" s="605" t="s">
        <v>820</v>
      </c>
      <c r="C12" s="606" t="s">
        <v>829</v>
      </c>
      <c r="D12" s="606" t="s">
        <v>826</v>
      </c>
      <c r="E12" s="605" t="s">
        <v>827</v>
      </c>
      <c r="F12" s="607">
        <v>3412500</v>
      </c>
      <c r="G12" s="606" t="s">
        <v>805</v>
      </c>
      <c r="H12" s="608" t="s">
        <v>828</v>
      </c>
      <c r="I12" s="606" t="s">
        <v>725</v>
      </c>
      <c r="J12" s="609" t="s">
        <v>898</v>
      </c>
      <c r="K12" s="610"/>
      <c r="L12" s="610"/>
    </row>
    <row r="13" spans="1:12" s="611" customFormat="1" ht="48.75" customHeight="1">
      <c r="A13" s="604">
        <v>8</v>
      </c>
      <c r="B13" s="605" t="s">
        <v>820</v>
      </c>
      <c r="C13" s="606" t="s">
        <v>732</v>
      </c>
      <c r="D13" s="606" t="s">
        <v>830</v>
      </c>
      <c r="E13" s="605" t="s">
        <v>831</v>
      </c>
      <c r="F13" s="607">
        <v>3465000</v>
      </c>
      <c r="G13" s="606" t="s">
        <v>805</v>
      </c>
      <c r="H13" s="608" t="s">
        <v>828</v>
      </c>
      <c r="I13" s="606" t="s">
        <v>725</v>
      </c>
      <c r="J13" s="609" t="s">
        <v>898</v>
      </c>
      <c r="K13" s="610"/>
      <c r="L13" s="610"/>
    </row>
    <row r="14" spans="1:12" s="611" customFormat="1" ht="48.75" customHeight="1">
      <c r="A14" s="604">
        <v>9</v>
      </c>
      <c r="B14" s="605" t="s">
        <v>820</v>
      </c>
      <c r="C14" s="606" t="s">
        <v>833</v>
      </c>
      <c r="D14" s="606" t="s">
        <v>832</v>
      </c>
      <c r="E14" s="605" t="s">
        <v>834</v>
      </c>
      <c r="F14" s="607">
        <v>6740000</v>
      </c>
      <c r="G14" s="606" t="s">
        <v>805</v>
      </c>
      <c r="H14" s="608" t="s">
        <v>828</v>
      </c>
      <c r="I14" s="606" t="s">
        <v>725</v>
      </c>
      <c r="J14" s="609" t="s">
        <v>898</v>
      </c>
      <c r="K14" s="610"/>
      <c r="L14" s="610"/>
    </row>
    <row r="15" spans="1:12" s="611" customFormat="1" ht="48.75" customHeight="1">
      <c r="A15" s="1167">
        <v>10</v>
      </c>
      <c r="B15" s="1163" t="s">
        <v>877</v>
      </c>
      <c r="C15" s="606" t="s">
        <v>888</v>
      </c>
      <c r="D15" s="1161" t="s">
        <v>815</v>
      </c>
      <c r="E15" s="1163" t="s">
        <v>887</v>
      </c>
      <c r="F15" s="607">
        <v>2000000</v>
      </c>
      <c r="G15" s="606" t="s">
        <v>891</v>
      </c>
      <c r="H15" s="608" t="s">
        <v>894</v>
      </c>
      <c r="I15" s="606" t="s">
        <v>725</v>
      </c>
      <c r="J15" s="609"/>
      <c r="K15" s="610"/>
      <c r="L15" s="610"/>
    </row>
    <row r="16" spans="1:12" s="611" customFormat="1" ht="48.75" customHeight="1">
      <c r="A16" s="1168"/>
      <c r="B16" s="1164"/>
      <c r="C16" s="606" t="s">
        <v>889</v>
      </c>
      <c r="D16" s="1166"/>
      <c r="E16" s="1164"/>
      <c r="F16" s="607">
        <v>30000000</v>
      </c>
      <c r="G16" s="606" t="s">
        <v>892</v>
      </c>
      <c r="H16" s="608" t="s">
        <v>895</v>
      </c>
      <c r="I16" s="606" t="s">
        <v>725</v>
      </c>
      <c r="J16" s="609"/>
      <c r="K16" s="610"/>
      <c r="L16" s="610"/>
    </row>
    <row r="17" spans="1:12" s="611" customFormat="1" ht="48.75" customHeight="1">
      <c r="A17" s="1169"/>
      <c r="B17" s="1165"/>
      <c r="C17" s="606" t="s">
        <v>890</v>
      </c>
      <c r="D17" s="1162"/>
      <c r="E17" s="1165"/>
      <c r="F17" s="607">
        <v>43540000</v>
      </c>
      <c r="G17" s="606" t="s">
        <v>893</v>
      </c>
      <c r="H17" s="608" t="s">
        <v>896</v>
      </c>
      <c r="I17" s="606" t="s">
        <v>725</v>
      </c>
      <c r="J17" s="609"/>
      <c r="K17" s="610"/>
      <c r="L17" s="610"/>
    </row>
    <row r="18" spans="1:12" s="611" customFormat="1" ht="48.75" customHeight="1">
      <c r="A18" s="1167">
        <v>11</v>
      </c>
      <c r="B18" s="1163" t="s">
        <v>877</v>
      </c>
      <c r="C18" s="606" t="s">
        <v>879</v>
      </c>
      <c r="D18" s="1161" t="s">
        <v>794</v>
      </c>
      <c r="E18" s="1163" t="s">
        <v>878</v>
      </c>
      <c r="F18" s="607">
        <v>509465</v>
      </c>
      <c r="G18" s="606" t="s">
        <v>882</v>
      </c>
      <c r="H18" s="608" t="s">
        <v>884</v>
      </c>
      <c r="I18" s="1161" t="s">
        <v>886</v>
      </c>
      <c r="J18" s="1170" t="s">
        <v>898</v>
      </c>
      <c r="K18" s="610"/>
      <c r="L18" s="610"/>
    </row>
    <row r="19" spans="1:12" s="611" customFormat="1" ht="48.75" customHeight="1">
      <c r="A19" s="1168"/>
      <c r="B19" s="1164"/>
      <c r="C19" s="606" t="s">
        <v>880</v>
      </c>
      <c r="D19" s="1166"/>
      <c r="E19" s="1164"/>
      <c r="F19" s="607">
        <v>2800000</v>
      </c>
      <c r="G19" s="606" t="s">
        <v>883</v>
      </c>
      <c r="H19" s="1161" t="s">
        <v>885</v>
      </c>
      <c r="I19" s="1166"/>
      <c r="J19" s="1171"/>
      <c r="K19" s="610"/>
      <c r="L19" s="610"/>
    </row>
    <row r="20" spans="1:12" s="611" customFormat="1" ht="48.75" customHeight="1">
      <c r="A20" s="1169"/>
      <c r="B20" s="1165"/>
      <c r="C20" s="606" t="s">
        <v>881</v>
      </c>
      <c r="D20" s="1162"/>
      <c r="E20" s="1165"/>
      <c r="F20" s="607">
        <v>4200000</v>
      </c>
      <c r="G20" s="606" t="s">
        <v>883</v>
      </c>
      <c r="H20" s="1162"/>
      <c r="I20" s="1162"/>
      <c r="J20" s="1172"/>
      <c r="K20" s="610"/>
      <c r="L20" s="610"/>
    </row>
    <row r="21" spans="1:12" s="611" customFormat="1" ht="48.75" customHeight="1">
      <c r="A21" s="604">
        <v>12</v>
      </c>
      <c r="B21" s="605" t="s">
        <v>865</v>
      </c>
      <c r="C21" s="606" t="s">
        <v>866</v>
      </c>
      <c r="D21" s="606" t="s">
        <v>811</v>
      </c>
      <c r="E21" s="605" t="s">
        <v>864</v>
      </c>
      <c r="F21" s="607">
        <v>49000000</v>
      </c>
      <c r="G21" s="606" t="s">
        <v>868</v>
      </c>
      <c r="H21" s="608" t="s">
        <v>867</v>
      </c>
      <c r="I21" s="606" t="s">
        <v>725</v>
      </c>
      <c r="J21" s="609" t="s">
        <v>898</v>
      </c>
      <c r="K21" s="610"/>
      <c r="L21" s="610"/>
    </row>
    <row r="22" spans="1:12" s="611" customFormat="1" ht="48.75" customHeight="1">
      <c r="A22" s="604">
        <v>13</v>
      </c>
      <c r="B22" s="605" t="s">
        <v>855</v>
      </c>
      <c r="C22" s="606" t="s">
        <v>854</v>
      </c>
      <c r="D22" s="606" t="s">
        <v>853</v>
      </c>
      <c r="E22" s="605" t="s">
        <v>856</v>
      </c>
      <c r="F22" s="607">
        <v>60000000</v>
      </c>
      <c r="G22" s="606" t="s">
        <v>857</v>
      </c>
      <c r="H22" s="608" t="s">
        <v>858</v>
      </c>
      <c r="I22" s="606" t="s">
        <v>725</v>
      </c>
      <c r="J22" s="609" t="s">
        <v>898</v>
      </c>
      <c r="K22" s="610"/>
      <c r="L22" s="610"/>
    </row>
    <row r="23" spans="1:12" s="611" customFormat="1" ht="48.75" customHeight="1">
      <c r="A23" s="604">
        <v>14</v>
      </c>
      <c r="B23" s="605" t="s">
        <v>855</v>
      </c>
      <c r="C23" s="606" t="s">
        <v>860</v>
      </c>
      <c r="D23" s="606" t="s">
        <v>859</v>
      </c>
      <c r="E23" s="605" t="s">
        <v>861</v>
      </c>
      <c r="F23" s="607">
        <v>6260000</v>
      </c>
      <c r="G23" s="606" t="s">
        <v>862</v>
      </c>
      <c r="H23" s="608" t="s">
        <v>863</v>
      </c>
      <c r="I23" s="606" t="s">
        <v>725</v>
      </c>
      <c r="J23" s="609" t="s">
        <v>898</v>
      </c>
      <c r="K23" s="610"/>
      <c r="L23" s="610"/>
    </row>
    <row r="24" spans="1:12" s="611" customFormat="1" ht="48.75" customHeight="1">
      <c r="A24" s="604">
        <v>15</v>
      </c>
      <c r="B24" s="605" t="s">
        <v>869</v>
      </c>
      <c r="C24" s="606" t="s">
        <v>731</v>
      </c>
      <c r="D24" s="606" t="s">
        <v>859</v>
      </c>
      <c r="E24" s="605" t="s">
        <v>861</v>
      </c>
      <c r="F24" s="607">
        <v>7240000</v>
      </c>
      <c r="G24" s="606" t="s">
        <v>870</v>
      </c>
      <c r="H24" s="608" t="s">
        <v>871</v>
      </c>
      <c r="I24" s="606" t="s">
        <v>725</v>
      </c>
      <c r="J24" s="609" t="s">
        <v>898</v>
      </c>
      <c r="K24" s="610"/>
      <c r="L24" s="610"/>
    </row>
    <row r="25" spans="1:12" s="611" customFormat="1" ht="48.75" customHeight="1">
      <c r="A25" s="604">
        <v>16</v>
      </c>
      <c r="B25" s="605" t="s">
        <v>790</v>
      </c>
      <c r="C25" s="605" t="s">
        <v>791</v>
      </c>
      <c r="D25" s="606" t="s">
        <v>794</v>
      </c>
      <c r="E25" s="605" t="s">
        <v>795</v>
      </c>
      <c r="F25" s="614">
        <v>14000000</v>
      </c>
      <c r="G25" s="606" t="s">
        <v>796</v>
      </c>
      <c r="H25" s="608" t="s">
        <v>799</v>
      </c>
      <c r="I25" s="606" t="s">
        <v>725</v>
      </c>
      <c r="J25" s="609" t="s">
        <v>898</v>
      </c>
      <c r="K25" s="610"/>
      <c r="L25" s="610"/>
    </row>
    <row r="26" spans="1:12" s="611" customFormat="1" ht="48.75" customHeight="1">
      <c r="A26" s="604">
        <v>17</v>
      </c>
      <c r="B26" s="605" t="s">
        <v>790</v>
      </c>
      <c r="C26" s="605" t="s">
        <v>792</v>
      </c>
      <c r="D26" s="606" t="s">
        <v>794</v>
      </c>
      <c r="E26" s="605" t="s">
        <v>795</v>
      </c>
      <c r="F26" s="614">
        <v>36000000</v>
      </c>
      <c r="G26" s="606" t="s">
        <v>797</v>
      </c>
      <c r="H26" s="608" t="s">
        <v>800</v>
      </c>
      <c r="I26" s="606" t="s">
        <v>725</v>
      </c>
      <c r="J26" s="609" t="s">
        <v>898</v>
      </c>
      <c r="K26" s="610"/>
      <c r="L26" s="610"/>
    </row>
    <row r="27" spans="1:12" s="611" customFormat="1" ht="53.25" customHeight="1">
      <c r="A27" s="604">
        <v>18</v>
      </c>
      <c r="B27" s="605" t="s">
        <v>790</v>
      </c>
      <c r="C27" s="605" t="s">
        <v>793</v>
      </c>
      <c r="D27" s="606" t="s">
        <v>794</v>
      </c>
      <c r="E27" s="605" t="s">
        <v>795</v>
      </c>
      <c r="F27" s="607">
        <v>100000000</v>
      </c>
      <c r="G27" s="606" t="s">
        <v>798</v>
      </c>
      <c r="H27" s="608" t="s">
        <v>801</v>
      </c>
      <c r="I27" s="606" t="s">
        <v>725</v>
      </c>
      <c r="J27" s="609" t="s">
        <v>898</v>
      </c>
      <c r="K27" s="610"/>
      <c r="L27" s="610"/>
    </row>
    <row r="28" spans="1:12" s="611" customFormat="1" ht="54" customHeight="1">
      <c r="A28" s="604">
        <v>19</v>
      </c>
      <c r="B28" s="605" t="s">
        <v>802</v>
      </c>
      <c r="C28" s="605" t="s">
        <v>372</v>
      </c>
      <c r="D28" s="606" t="s">
        <v>803</v>
      </c>
      <c r="E28" s="605" t="s">
        <v>804</v>
      </c>
      <c r="F28" s="607">
        <v>2250000</v>
      </c>
      <c r="G28" s="606" t="s">
        <v>805</v>
      </c>
      <c r="H28" s="608" t="s">
        <v>806</v>
      </c>
      <c r="I28" s="606" t="s">
        <v>725</v>
      </c>
      <c r="J28" s="609" t="s">
        <v>898</v>
      </c>
      <c r="K28" s="610"/>
      <c r="L28" s="610"/>
    </row>
    <row r="29" spans="1:12" s="611" customFormat="1" ht="48.75" customHeight="1">
      <c r="A29" s="604">
        <v>20</v>
      </c>
      <c r="B29" s="605" t="s">
        <v>802</v>
      </c>
      <c r="C29" s="605" t="s">
        <v>372</v>
      </c>
      <c r="D29" s="606" t="s">
        <v>807</v>
      </c>
      <c r="E29" s="605" t="s">
        <v>808</v>
      </c>
      <c r="F29" s="607">
        <v>940000</v>
      </c>
      <c r="G29" s="606" t="s">
        <v>805</v>
      </c>
      <c r="H29" s="608" t="s">
        <v>806</v>
      </c>
      <c r="I29" s="606" t="s">
        <v>725</v>
      </c>
      <c r="J29" s="609" t="s">
        <v>898</v>
      </c>
      <c r="K29" s="610"/>
      <c r="L29" s="610"/>
    </row>
    <row r="30" spans="1:12" s="611" customFormat="1" ht="51" customHeight="1">
      <c r="A30" s="604">
        <v>21</v>
      </c>
      <c r="B30" s="605" t="s">
        <v>802</v>
      </c>
      <c r="C30" s="605" t="s">
        <v>372</v>
      </c>
      <c r="D30" s="606" t="s">
        <v>809</v>
      </c>
      <c r="E30" s="605" t="s">
        <v>810</v>
      </c>
      <c r="F30" s="607">
        <v>1200000</v>
      </c>
      <c r="G30" s="606" t="s">
        <v>805</v>
      </c>
      <c r="H30" s="608" t="s">
        <v>806</v>
      </c>
      <c r="I30" s="606" t="s">
        <v>725</v>
      </c>
      <c r="J30" s="609" t="s">
        <v>898</v>
      </c>
      <c r="K30" s="610"/>
      <c r="L30" s="610"/>
    </row>
    <row r="31" spans="1:12" s="611" customFormat="1" ht="41.25" customHeight="1">
      <c r="A31" s="604">
        <v>22</v>
      </c>
      <c r="B31" s="605" t="s">
        <v>802</v>
      </c>
      <c r="C31" s="605" t="s">
        <v>372</v>
      </c>
      <c r="D31" s="606" t="s">
        <v>811</v>
      </c>
      <c r="E31" s="615" t="s">
        <v>812</v>
      </c>
      <c r="F31" s="607">
        <v>1363000</v>
      </c>
      <c r="G31" s="606" t="s">
        <v>805</v>
      </c>
      <c r="H31" s="608" t="s">
        <v>806</v>
      </c>
      <c r="I31" s="606" t="s">
        <v>725</v>
      </c>
      <c r="J31" s="609" t="s">
        <v>898</v>
      </c>
      <c r="K31" s="610"/>
      <c r="L31" s="610"/>
    </row>
    <row r="32" spans="1:12" s="611" customFormat="1" ht="52.5" customHeight="1">
      <c r="A32" s="604">
        <v>23</v>
      </c>
      <c r="B32" s="605" t="s">
        <v>813</v>
      </c>
      <c r="C32" s="616" t="s">
        <v>814</v>
      </c>
      <c r="D32" s="606" t="s">
        <v>815</v>
      </c>
      <c r="E32" s="605" t="s">
        <v>816</v>
      </c>
      <c r="F32" s="617" t="s">
        <v>897</v>
      </c>
      <c r="G32" s="606" t="s">
        <v>817</v>
      </c>
      <c r="H32" s="608" t="s">
        <v>818</v>
      </c>
      <c r="I32" s="606" t="s">
        <v>819</v>
      </c>
      <c r="J32" s="609"/>
      <c r="K32" s="610"/>
      <c r="L32" s="610"/>
    </row>
    <row r="33" spans="1:12" s="611" customFormat="1" ht="52.5" customHeight="1">
      <c r="A33" s="618"/>
      <c r="B33" s="619"/>
      <c r="C33" s="618"/>
      <c r="D33" s="620"/>
      <c r="E33" s="619"/>
      <c r="F33" s="621"/>
      <c r="G33" s="620"/>
      <c r="H33" s="622"/>
      <c r="I33" s="620"/>
      <c r="J33" s="623"/>
      <c r="K33" s="610"/>
      <c r="L33" s="610"/>
    </row>
    <row r="35" spans="1:12">
      <c r="B35" s="624" t="s">
        <v>474</v>
      </c>
      <c r="D35" s="592"/>
      <c r="F35" s="624"/>
    </row>
    <row r="36" spans="1:12">
      <c r="B36" s="624" t="s">
        <v>729</v>
      </c>
      <c r="D36" s="592"/>
      <c r="F36" s="624" t="s">
        <v>475</v>
      </c>
    </row>
    <row r="37" spans="1:12">
      <c r="B37" s="624"/>
      <c r="D37" s="592"/>
      <c r="F37" s="624"/>
    </row>
    <row r="38" spans="1:12">
      <c r="B38" s="624" t="s">
        <v>907</v>
      </c>
      <c r="D38" s="592"/>
      <c r="F38" s="592"/>
    </row>
    <row r="39" spans="1:12">
      <c r="B39" s="624" t="s">
        <v>908</v>
      </c>
      <c r="D39" s="592"/>
      <c r="F39" s="624" t="s">
        <v>904</v>
      </c>
    </row>
    <row r="40" spans="1:12">
      <c r="B40" s="624"/>
      <c r="D40" s="592"/>
      <c r="F40" s="592"/>
    </row>
    <row r="41" spans="1:12">
      <c r="B41" s="626" t="s">
        <v>323</v>
      </c>
      <c r="D41" s="592"/>
      <c r="F41" s="624" t="s">
        <v>905</v>
      </c>
    </row>
  </sheetData>
  <mergeCells count="13">
    <mergeCell ref="A2:J2"/>
    <mergeCell ref="I8:I9"/>
    <mergeCell ref="B18:B20"/>
    <mergeCell ref="D18:D20"/>
    <mergeCell ref="A18:A20"/>
    <mergeCell ref="E18:E20"/>
    <mergeCell ref="H19:H20"/>
    <mergeCell ref="I18:I20"/>
    <mergeCell ref="A15:A17"/>
    <mergeCell ref="B15:B17"/>
    <mergeCell ref="D15:D17"/>
    <mergeCell ref="E15:E17"/>
    <mergeCell ref="J18:J20"/>
  </mergeCells>
  <phoneticPr fontId="0" type="noConversion"/>
  <printOptions horizontalCentered="1"/>
  <pageMargins left="0.98425196850393704" right="0.59055118110236227" top="0.51" bottom="0.41" header="0.51181102362204722" footer="0.43"/>
  <pageSetup paperSize="9" scale="31" fitToHeight="100" orientation="landscape" verticalDpi="3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FFFF00"/>
    <pageSetUpPr fitToPage="1"/>
  </sheetPr>
  <dimension ref="A1:I615"/>
  <sheetViews>
    <sheetView topLeftCell="A13" zoomScale="82" zoomScaleNormal="82" workbookViewId="0">
      <selection activeCell="A13" sqref="A13:H42"/>
    </sheetView>
  </sheetViews>
  <sheetFormatPr defaultColWidth="12.6640625" defaultRowHeight="13.8"/>
  <cols>
    <col min="1" max="1" width="6.5546875" style="38" bestFit="1" customWidth="1"/>
    <col min="2" max="2" width="27.109375" style="38" customWidth="1"/>
    <col min="3" max="3" width="15.33203125" style="38" customWidth="1"/>
    <col min="4" max="4" width="17.88671875" style="38" customWidth="1"/>
    <col min="5" max="5" width="22.44140625" style="38" customWidth="1"/>
    <col min="6" max="6" width="16.88671875" style="38" customWidth="1"/>
    <col min="7" max="7" width="24.88671875" style="38" customWidth="1"/>
    <col min="8" max="8" width="19.44140625" style="38" customWidth="1"/>
    <col min="9" max="16384" width="12.6640625" style="38"/>
  </cols>
  <sheetData>
    <row r="1" spans="1:9">
      <c r="H1" s="321" t="s">
        <v>139</v>
      </c>
    </row>
    <row r="2" spans="1:9">
      <c r="A2" s="1182" t="s">
        <v>718</v>
      </c>
      <c r="B2" s="1182"/>
      <c r="C2" s="1182"/>
      <c r="D2" s="1182"/>
      <c r="E2" s="1182"/>
      <c r="F2" s="1182"/>
      <c r="G2" s="1182"/>
      <c r="H2" s="1182"/>
    </row>
    <row r="3" spans="1:9">
      <c r="A3" s="1182" t="s">
        <v>499</v>
      </c>
      <c r="B3" s="1182"/>
      <c r="C3" s="1182"/>
      <c r="D3" s="1182"/>
      <c r="E3" s="1182"/>
      <c r="F3" s="1182"/>
      <c r="G3" s="1182"/>
      <c r="H3" s="1182"/>
      <c r="I3" s="1182"/>
    </row>
    <row r="4" spans="1:9">
      <c r="A4" s="1182" t="s">
        <v>500</v>
      </c>
      <c r="B4" s="1182"/>
      <c r="C4" s="1182"/>
      <c r="D4" s="1182"/>
      <c r="E4" s="1182"/>
      <c r="F4" s="1182"/>
      <c r="G4" s="1182"/>
      <c r="H4" s="1182"/>
    </row>
    <row r="5" spans="1:9">
      <c r="A5" s="1182" t="s">
        <v>197</v>
      </c>
      <c r="B5" s="1182"/>
      <c r="C5" s="1182"/>
      <c r="D5" s="1182"/>
      <c r="E5" s="1182"/>
      <c r="F5" s="1182"/>
      <c r="G5" s="1182"/>
      <c r="H5" s="1182"/>
    </row>
    <row r="6" spans="1:9" ht="14.4" thickBot="1">
      <c r="H6" s="322" t="s">
        <v>248</v>
      </c>
    </row>
    <row r="7" spans="1:9" s="39" customFormat="1" ht="12.75" customHeight="1">
      <c r="A7" s="1189" t="s">
        <v>228</v>
      </c>
      <c r="B7" s="1173" t="s">
        <v>206</v>
      </c>
      <c r="C7" s="1173" t="s">
        <v>140</v>
      </c>
      <c r="D7" s="1173" t="s">
        <v>141</v>
      </c>
      <c r="E7" s="1173" t="s">
        <v>142</v>
      </c>
      <c r="F7" s="1173" t="s">
        <v>143</v>
      </c>
      <c r="G7" s="1176" t="s">
        <v>144</v>
      </c>
      <c r="H7" s="1186" t="s">
        <v>145</v>
      </c>
    </row>
    <row r="8" spans="1:9" s="39" customFormat="1">
      <c r="A8" s="1190"/>
      <c r="B8" s="1174"/>
      <c r="C8" s="1174"/>
      <c r="D8" s="1174"/>
      <c r="E8" s="1174"/>
      <c r="F8" s="1174"/>
      <c r="G8" s="1177"/>
      <c r="H8" s="1187"/>
    </row>
    <row r="9" spans="1:9" s="39" customFormat="1">
      <c r="A9" s="1190"/>
      <c r="B9" s="1174"/>
      <c r="C9" s="1174"/>
      <c r="D9" s="1174"/>
      <c r="E9" s="1174"/>
      <c r="F9" s="1174"/>
      <c r="G9" s="1177"/>
      <c r="H9" s="1187"/>
    </row>
    <row r="10" spans="1:9" s="39" customFormat="1" ht="38.25" customHeight="1">
      <c r="A10" s="1190"/>
      <c r="B10" s="1174"/>
      <c r="C10" s="1174"/>
      <c r="D10" s="1174"/>
      <c r="E10" s="1174"/>
      <c r="F10" s="1174"/>
      <c r="G10" s="1177"/>
      <c r="H10" s="1187"/>
    </row>
    <row r="11" spans="1:9" s="39" customFormat="1" ht="53.25" customHeight="1" thickBot="1">
      <c r="A11" s="1191"/>
      <c r="B11" s="1175"/>
      <c r="C11" s="1175"/>
      <c r="D11" s="1175"/>
      <c r="E11" s="1175"/>
      <c r="F11" s="1175"/>
      <c r="G11" s="1178"/>
      <c r="H11" s="1188"/>
    </row>
    <row r="12" spans="1:9" s="111" customFormat="1" ht="12" customHeight="1">
      <c r="A12" s="114" t="s">
        <v>208</v>
      </c>
      <c r="B12" s="115" t="s">
        <v>209</v>
      </c>
      <c r="C12" s="115">
        <v>1</v>
      </c>
      <c r="D12" s="115">
        <v>2</v>
      </c>
      <c r="E12" s="115">
        <v>3</v>
      </c>
      <c r="F12" s="115">
        <v>4</v>
      </c>
      <c r="G12" s="115">
        <v>5</v>
      </c>
      <c r="H12" s="116">
        <v>6</v>
      </c>
    </row>
    <row r="13" spans="1:9" s="467" customFormat="1" ht="17.25" customHeight="1">
      <c r="A13" s="1183">
        <v>1</v>
      </c>
      <c r="B13" s="1179" t="s">
        <v>422</v>
      </c>
      <c r="C13" s="521" t="s">
        <v>423</v>
      </c>
      <c r="D13" s="522">
        <v>66225.899999999994</v>
      </c>
      <c r="E13" s="523" t="s">
        <v>5</v>
      </c>
      <c r="F13" s="524"/>
      <c r="G13" s="524" t="s">
        <v>424</v>
      </c>
      <c r="H13" s="525">
        <f>+D13*0.5%*4</f>
        <v>1324.5179999999998</v>
      </c>
    </row>
    <row r="14" spans="1:9" s="467" customFormat="1" ht="17.25" customHeight="1">
      <c r="A14" s="1184"/>
      <c r="B14" s="1180"/>
      <c r="C14" s="521" t="s">
        <v>425</v>
      </c>
      <c r="D14" s="522">
        <v>4465.2</v>
      </c>
      <c r="E14" s="523" t="s">
        <v>5</v>
      </c>
      <c r="F14" s="524"/>
      <c r="G14" s="524" t="s">
        <v>426</v>
      </c>
      <c r="H14" s="525">
        <f>+D14*0.5%*21</f>
        <v>468.846</v>
      </c>
    </row>
    <row r="15" spans="1:9" s="467" customFormat="1" ht="17.25" customHeight="1">
      <c r="A15" s="1184"/>
      <c r="B15" s="1180"/>
      <c r="C15" s="521" t="s">
        <v>427</v>
      </c>
      <c r="D15" s="522">
        <v>740.3</v>
      </c>
      <c r="E15" s="523" t="s">
        <v>5</v>
      </c>
      <c r="F15" s="524"/>
      <c r="G15" s="524" t="s">
        <v>426</v>
      </c>
      <c r="H15" s="525">
        <f>+D15*0.5%*21</f>
        <v>77.731499999999997</v>
      </c>
    </row>
    <row r="16" spans="1:9" s="467" customFormat="1" ht="17.25" customHeight="1">
      <c r="A16" s="1184"/>
      <c r="B16" s="1180"/>
      <c r="C16" s="521" t="s">
        <v>428</v>
      </c>
      <c r="D16" s="522">
        <v>40316.6</v>
      </c>
      <c r="E16" s="523" t="s">
        <v>5</v>
      </c>
      <c r="F16" s="524"/>
      <c r="G16" s="524" t="s">
        <v>7</v>
      </c>
      <c r="H16" s="525">
        <f>+D16*0.5%*3</f>
        <v>604.74900000000002</v>
      </c>
    </row>
    <row r="17" spans="1:8" s="467" customFormat="1" ht="17.25" customHeight="1">
      <c r="A17" s="1184"/>
      <c r="B17" s="1180"/>
      <c r="C17" s="521" t="s">
        <v>429</v>
      </c>
      <c r="D17" s="522">
        <v>379.6</v>
      </c>
      <c r="E17" s="523" t="s">
        <v>5</v>
      </c>
      <c r="F17" s="524"/>
      <c r="G17" s="524" t="s">
        <v>7</v>
      </c>
      <c r="H17" s="525">
        <f>+D17*0.5%*3</f>
        <v>5.6940000000000008</v>
      </c>
    </row>
    <row r="18" spans="1:8" s="467" customFormat="1" ht="17.25" customHeight="1">
      <c r="A18" s="1184"/>
      <c r="B18" s="1180"/>
      <c r="C18" s="521" t="s">
        <v>430</v>
      </c>
      <c r="D18" s="522">
        <v>28145.7</v>
      </c>
      <c r="E18" s="523" t="s">
        <v>5</v>
      </c>
      <c r="F18" s="524"/>
      <c r="G18" s="524" t="s">
        <v>7</v>
      </c>
      <c r="H18" s="525">
        <f>+D18*0.5%*3</f>
        <v>422.18549999999999</v>
      </c>
    </row>
    <row r="19" spans="1:8" s="467" customFormat="1" ht="17.25" customHeight="1">
      <c r="A19" s="1184"/>
      <c r="B19" s="1180"/>
      <c r="C19" s="521" t="s">
        <v>431</v>
      </c>
      <c r="D19" s="522">
        <v>8145.7</v>
      </c>
      <c r="E19" s="523" t="s">
        <v>5</v>
      </c>
      <c r="F19" s="524"/>
      <c r="G19" s="524" t="s">
        <v>6</v>
      </c>
      <c r="H19" s="525">
        <f>+D19*0.5%*2</f>
        <v>81.456999999999994</v>
      </c>
    </row>
    <row r="20" spans="1:8" s="467" customFormat="1">
      <c r="A20" s="1184"/>
      <c r="B20" s="1180"/>
      <c r="C20" s="521" t="s">
        <v>432</v>
      </c>
      <c r="D20" s="522">
        <v>6603.8</v>
      </c>
      <c r="E20" s="523" t="s">
        <v>5</v>
      </c>
      <c r="F20" s="524"/>
      <c r="G20" s="524" t="s">
        <v>433</v>
      </c>
      <c r="H20" s="525">
        <f>+D20*0.5%*12</f>
        <v>396.22799999999995</v>
      </c>
    </row>
    <row r="21" spans="1:8" s="467" customFormat="1">
      <c r="A21" s="1184"/>
      <c r="B21" s="1180"/>
      <c r="C21" s="521" t="s">
        <v>434</v>
      </c>
      <c r="D21" s="522">
        <v>13072.9</v>
      </c>
      <c r="E21" s="523" t="s">
        <v>5</v>
      </c>
      <c r="F21" s="524"/>
      <c r="G21" s="524" t="s">
        <v>7</v>
      </c>
      <c r="H21" s="525">
        <f>+D21*0.5%*3</f>
        <v>196.09349999999998</v>
      </c>
    </row>
    <row r="22" spans="1:8" s="467" customFormat="1">
      <c r="A22" s="1184"/>
      <c r="B22" s="1180"/>
      <c r="C22" s="521" t="s">
        <v>435</v>
      </c>
      <c r="D22" s="522">
        <v>1130</v>
      </c>
      <c r="E22" s="523" t="s">
        <v>5</v>
      </c>
      <c r="F22" s="524"/>
      <c r="G22" s="524" t="s">
        <v>436</v>
      </c>
      <c r="H22" s="525">
        <f>+D22*0.5%*11</f>
        <v>62.150000000000006</v>
      </c>
    </row>
    <row r="23" spans="1:8" s="467" customFormat="1">
      <c r="A23" s="1184"/>
      <c r="B23" s="1180"/>
      <c r="C23" s="521" t="s">
        <v>437</v>
      </c>
      <c r="D23" s="522">
        <v>858.6</v>
      </c>
      <c r="E23" s="523" t="s">
        <v>5</v>
      </c>
      <c r="F23" s="524"/>
      <c r="G23" s="524" t="s">
        <v>6</v>
      </c>
      <c r="H23" s="525">
        <f>+D23*0.5%*2</f>
        <v>8.5860000000000003</v>
      </c>
    </row>
    <row r="24" spans="1:8" s="467" customFormat="1">
      <c r="A24" s="1185"/>
      <c r="B24" s="1181"/>
      <c r="C24" s="521" t="s">
        <v>438</v>
      </c>
      <c r="D24" s="522">
        <v>6163.6</v>
      </c>
      <c r="E24" s="523" t="s">
        <v>5</v>
      </c>
      <c r="F24" s="524"/>
      <c r="G24" s="524" t="s">
        <v>6</v>
      </c>
      <c r="H24" s="525">
        <f>+D24*0.5%*2</f>
        <v>61.636000000000003</v>
      </c>
    </row>
    <row r="25" spans="1:8" s="467" customFormat="1">
      <c r="A25" s="526"/>
      <c r="B25" s="527" t="s">
        <v>174</v>
      </c>
      <c r="C25" s="521"/>
      <c r="D25" s="528">
        <f>SUM(D13:D24)</f>
        <v>176247.90000000002</v>
      </c>
      <c r="E25" s="523"/>
      <c r="F25" s="524"/>
      <c r="G25" s="524"/>
      <c r="H25" s="528">
        <f>SUM(H13:H24)</f>
        <v>3709.8744999999999</v>
      </c>
    </row>
    <row r="26" spans="1:8" s="467" customFormat="1">
      <c r="A26" s="1183">
        <v>2</v>
      </c>
      <c r="B26" s="1179" t="s">
        <v>439</v>
      </c>
      <c r="C26" s="521" t="s">
        <v>441</v>
      </c>
      <c r="D26" s="522">
        <v>109.3</v>
      </c>
      <c r="E26" s="523" t="s">
        <v>5</v>
      </c>
      <c r="F26" s="524"/>
      <c r="G26" s="524" t="s">
        <v>6</v>
      </c>
      <c r="H26" s="525">
        <f>+D26*0.5%*2</f>
        <v>1.093</v>
      </c>
    </row>
    <row r="27" spans="1:8" s="467" customFormat="1">
      <c r="A27" s="1184"/>
      <c r="B27" s="1180"/>
      <c r="C27" s="521" t="s">
        <v>442</v>
      </c>
      <c r="D27" s="522">
        <v>141.6</v>
      </c>
      <c r="E27" s="523" t="s">
        <v>5</v>
      </c>
      <c r="F27" s="524"/>
      <c r="G27" s="524" t="s">
        <v>443</v>
      </c>
      <c r="H27" s="525">
        <f>+D27*0.5%*7</f>
        <v>4.9559999999999995</v>
      </c>
    </row>
    <row r="28" spans="1:8" s="467" customFormat="1">
      <c r="A28" s="1184"/>
      <c r="B28" s="1180"/>
      <c r="C28" s="521" t="s">
        <v>444</v>
      </c>
      <c r="D28" s="522">
        <v>6</v>
      </c>
      <c r="E28" s="523" t="s">
        <v>5</v>
      </c>
      <c r="F28" s="524"/>
      <c r="G28" s="524" t="s">
        <v>445</v>
      </c>
      <c r="H28" s="525">
        <f>+D28*0.5%*9</f>
        <v>0.27</v>
      </c>
    </row>
    <row r="29" spans="1:8" s="467" customFormat="1">
      <c r="A29" s="1184"/>
      <c r="B29" s="1180"/>
      <c r="C29" s="521" t="s">
        <v>446</v>
      </c>
      <c r="D29" s="522">
        <v>2.9</v>
      </c>
      <c r="E29" s="523" t="s">
        <v>5</v>
      </c>
      <c r="F29" s="524"/>
      <c r="G29" s="524" t="s">
        <v>447</v>
      </c>
      <c r="H29" s="525">
        <f>+D29*0.5%*14</f>
        <v>0.20299999999999999</v>
      </c>
    </row>
    <row r="30" spans="1:8" s="40" customFormat="1">
      <c r="A30" s="1185"/>
      <c r="B30" s="1181"/>
      <c r="C30" s="521" t="s">
        <v>425</v>
      </c>
      <c r="D30" s="522">
        <v>30.8</v>
      </c>
      <c r="E30" s="523" t="s">
        <v>5</v>
      </c>
      <c r="F30" s="524"/>
      <c r="G30" s="524" t="s">
        <v>440</v>
      </c>
      <c r="H30" s="525">
        <f>+D30*0.5%*15</f>
        <v>2.31</v>
      </c>
    </row>
    <row r="31" spans="1:8" s="40" customFormat="1">
      <c r="A31" s="526"/>
      <c r="B31" s="527" t="s">
        <v>174</v>
      </c>
      <c r="C31" s="521"/>
      <c r="D31" s="528">
        <f>SUM(D26:D30)</f>
        <v>290.59999999999997</v>
      </c>
      <c r="E31" s="523"/>
      <c r="F31" s="524"/>
      <c r="G31" s="524"/>
      <c r="H31" s="528">
        <f>SUM(H26:H30)</f>
        <v>8.831999999999999</v>
      </c>
    </row>
    <row r="32" spans="1:8" s="40" customFormat="1">
      <c r="A32" s="1183">
        <v>3</v>
      </c>
      <c r="B32" s="1179" t="s">
        <v>448</v>
      </c>
      <c r="C32" s="521" t="s">
        <v>449</v>
      </c>
      <c r="D32" s="522">
        <v>133.5</v>
      </c>
      <c r="E32" s="523" t="s">
        <v>5</v>
      </c>
      <c r="F32" s="529"/>
      <c r="G32" s="524" t="s">
        <v>450</v>
      </c>
      <c r="H32" s="525">
        <f>+D32*0.5%*1</f>
        <v>0.66749999999999998</v>
      </c>
    </row>
    <row r="33" spans="1:8" s="40" customFormat="1">
      <c r="A33" s="1184"/>
      <c r="B33" s="1180"/>
      <c r="C33" s="521" t="s">
        <v>451</v>
      </c>
      <c r="D33" s="522">
        <v>130</v>
      </c>
      <c r="E33" s="523" t="s">
        <v>5</v>
      </c>
      <c r="F33" s="529"/>
      <c r="G33" s="524" t="s">
        <v>452</v>
      </c>
      <c r="H33" s="525">
        <f>+D33*0.5%*10</f>
        <v>6.5</v>
      </c>
    </row>
    <row r="34" spans="1:8" s="40" customFormat="1">
      <c r="A34" s="1185"/>
      <c r="B34" s="1181"/>
      <c r="C34" s="521" t="s">
        <v>453</v>
      </c>
      <c r="D34" s="522">
        <v>45.7</v>
      </c>
      <c r="E34" s="523" t="s">
        <v>5</v>
      </c>
      <c r="F34" s="529"/>
      <c r="G34" s="524" t="s">
        <v>454</v>
      </c>
      <c r="H34" s="525">
        <f>+D34*0.5%*20</f>
        <v>4.57</v>
      </c>
    </row>
    <row r="35" spans="1:8" s="40" customFormat="1">
      <c r="A35" s="526"/>
      <c r="B35" s="527" t="s">
        <v>174</v>
      </c>
      <c r="C35" s="521"/>
      <c r="D35" s="528">
        <f>SUM(D32:D34)</f>
        <v>309.2</v>
      </c>
      <c r="E35" s="523"/>
      <c r="F35" s="529"/>
      <c r="G35" s="524"/>
      <c r="H35" s="528">
        <f>SUM(H32:H34)</f>
        <v>11.737500000000001</v>
      </c>
    </row>
    <row r="36" spans="1:8" s="40" customFormat="1">
      <c r="A36" s="1183">
        <v>4</v>
      </c>
      <c r="B36" s="1179" t="s">
        <v>455</v>
      </c>
      <c r="C36" s="521" t="s">
        <v>430</v>
      </c>
      <c r="D36" s="522">
        <v>124.9</v>
      </c>
      <c r="E36" s="523" t="s">
        <v>5</v>
      </c>
      <c r="F36" s="529"/>
      <c r="G36" s="524" t="s">
        <v>450</v>
      </c>
      <c r="H36" s="525">
        <f>+D36*0.5%*1</f>
        <v>0.62450000000000006</v>
      </c>
    </row>
    <row r="37" spans="1:8" s="40" customFormat="1">
      <c r="A37" s="1184"/>
      <c r="B37" s="1180"/>
      <c r="C37" s="521" t="s">
        <v>456</v>
      </c>
      <c r="D37" s="522">
        <v>148</v>
      </c>
      <c r="E37" s="523" t="s">
        <v>5</v>
      </c>
      <c r="F37" s="529"/>
      <c r="G37" s="524" t="s">
        <v>436</v>
      </c>
      <c r="H37" s="525">
        <v>8.6</v>
      </c>
    </row>
    <row r="38" spans="1:8" s="40" customFormat="1">
      <c r="A38" s="1184"/>
      <c r="B38" s="1180"/>
      <c r="C38" s="521" t="s">
        <v>457</v>
      </c>
      <c r="D38" s="522">
        <v>48</v>
      </c>
      <c r="E38" s="523" t="s">
        <v>5</v>
      </c>
      <c r="F38" s="529"/>
      <c r="G38" s="524" t="s">
        <v>433</v>
      </c>
      <c r="H38" s="525">
        <f>+D38*0.5%*12</f>
        <v>2.88</v>
      </c>
    </row>
    <row r="39" spans="1:8" s="40" customFormat="1" ht="15" customHeight="1">
      <c r="A39" s="1184"/>
      <c r="B39" s="1180"/>
      <c r="C39" s="521" t="s">
        <v>458</v>
      </c>
      <c r="D39" s="522">
        <v>56</v>
      </c>
      <c r="E39" s="523" t="s">
        <v>5</v>
      </c>
      <c r="F39" s="529"/>
      <c r="G39" s="524" t="s">
        <v>460</v>
      </c>
      <c r="H39" s="525">
        <f>+D39*0.5%*13</f>
        <v>3.6400000000000006</v>
      </c>
    </row>
    <row r="40" spans="1:8" s="40" customFormat="1">
      <c r="A40" s="1184"/>
      <c r="B40" s="1180"/>
      <c r="C40" s="521" t="s">
        <v>459</v>
      </c>
      <c r="D40" s="522">
        <v>55.3</v>
      </c>
      <c r="E40" s="523" t="s">
        <v>5</v>
      </c>
      <c r="F40" s="529"/>
      <c r="G40" s="524" t="s">
        <v>447</v>
      </c>
      <c r="H40" s="525">
        <f>+D40*0.5%*14</f>
        <v>3.8709999999999996</v>
      </c>
    </row>
    <row r="41" spans="1:8" s="40" customFormat="1">
      <c r="A41" s="1185"/>
      <c r="B41" s="1181"/>
      <c r="C41" s="521" t="s">
        <v>459</v>
      </c>
      <c r="D41" s="522">
        <v>148</v>
      </c>
      <c r="E41" s="523" t="s">
        <v>5</v>
      </c>
      <c r="F41" s="523"/>
      <c r="G41" s="524" t="s">
        <v>461</v>
      </c>
      <c r="H41" s="525">
        <v>143.69999999999999</v>
      </c>
    </row>
    <row r="42" spans="1:8" s="40" customFormat="1">
      <c r="A42" s="526"/>
      <c r="B42" s="527" t="s">
        <v>174</v>
      </c>
      <c r="C42" s="530"/>
      <c r="D42" s="531">
        <f>SUM(D36:D41)</f>
        <v>580.20000000000005</v>
      </c>
      <c r="E42" s="532"/>
      <c r="F42" s="532"/>
      <c r="G42" s="533"/>
      <c r="H42" s="531">
        <f>SUM(H36:H41)</f>
        <v>163.31549999999999</v>
      </c>
    </row>
    <row r="43" spans="1:8" s="41" customFormat="1" ht="29.25" customHeight="1" thickBot="1">
      <c r="A43" s="112"/>
      <c r="B43" s="113" t="s">
        <v>462</v>
      </c>
      <c r="C43" s="120">
        <v>0</v>
      </c>
      <c r="D43" s="121">
        <f>+D42+D35+D31+D25</f>
        <v>177427.90000000002</v>
      </c>
      <c r="E43" s="120" t="s">
        <v>285</v>
      </c>
      <c r="F43" s="120" t="s">
        <v>285</v>
      </c>
      <c r="G43" s="120" t="s">
        <v>285</v>
      </c>
      <c r="H43" s="121">
        <f>+H42+H35+H31+H25</f>
        <v>3893.7595000000001</v>
      </c>
    </row>
    <row r="44" spans="1:8">
      <c r="A44" s="39"/>
    </row>
    <row r="45" spans="1:8">
      <c r="A45" s="39"/>
      <c r="B45" s="36"/>
      <c r="C45" s="28"/>
      <c r="D45" s="28"/>
      <c r="E45" s="28"/>
      <c r="F45" s="27"/>
      <c r="G45" s="36"/>
      <c r="H45" s="28"/>
    </row>
    <row r="46" spans="1:8">
      <c r="A46" s="39"/>
      <c r="B46" s="6" t="str">
        <f>""&amp;(Шаблон!B1)&amp;"нинг Ички Аудит"</f>
        <v>АТ "Халқ банк"нинг Ички Аудит</v>
      </c>
      <c r="C46" s="1"/>
      <c r="D46" s="1"/>
      <c r="E46" s="1"/>
      <c r="F46" s="6"/>
      <c r="G46" s="1"/>
      <c r="H46" s="36"/>
    </row>
    <row r="47" spans="1:8">
      <c r="A47" s="39"/>
      <c r="B47" s="6" t="s">
        <v>493</v>
      </c>
      <c r="C47" s="1"/>
      <c r="D47" s="1"/>
      <c r="E47" s="1"/>
      <c r="F47" s="1"/>
      <c r="G47" s="6" t="str">
        <f>Шаблон!B13</f>
        <v>А.Ҳазратқулов</v>
      </c>
    </row>
    <row r="48" spans="1:8">
      <c r="A48" s="39"/>
      <c r="B48" s="6"/>
      <c r="C48" s="1"/>
      <c r="D48" s="1"/>
      <c r="E48" s="1"/>
      <c r="F48" s="1"/>
      <c r="G48" s="6"/>
    </row>
    <row r="49" spans="1:7">
      <c r="A49" s="39"/>
      <c r="B49" s="6" t="str">
        <f>""&amp;(Шаблон!B1)&amp;" "&amp;(Шаблон!B2)&amp;" вилоят бошқармаси"</f>
        <v>АТ "Халқ банк" Фаргона вилояти вилоят бошқармаси</v>
      </c>
      <c r="C49" s="1"/>
      <c r="D49" s="1"/>
      <c r="E49" s="1"/>
      <c r="F49" s="1"/>
      <c r="G49" s="1"/>
    </row>
    <row r="50" spans="1:7">
      <c r="A50" s="39"/>
      <c r="B50" s="6" t="str">
        <f>""&amp;(Шаблон!B3)&amp;" филиал бошқарувчиси в.в.б.:"</f>
        <v>Бешариқ филиали филиал бошқарувчиси в.в.б.:</v>
      </c>
      <c r="C50" s="1"/>
      <c r="D50" s="1"/>
      <c r="E50" s="1"/>
      <c r="F50" s="1"/>
      <c r="G50" s="6" t="str">
        <f>Шаблон!B5</f>
        <v>_____________</v>
      </c>
    </row>
    <row r="51" spans="1:7">
      <c r="A51" s="39"/>
      <c r="B51" s="6"/>
      <c r="C51" s="1"/>
      <c r="D51" s="1"/>
      <c r="E51" s="1"/>
      <c r="F51" s="1"/>
      <c r="G51" s="1"/>
    </row>
    <row r="52" spans="1:7">
      <c r="A52" s="39"/>
      <c r="B52" s="105" t="s">
        <v>4</v>
      </c>
      <c r="C52" s="1"/>
      <c r="D52" s="1"/>
      <c r="E52" s="1"/>
      <c r="F52" s="1"/>
      <c r="G52" s="6" t="str">
        <f>Шаблон!B8</f>
        <v>_____________</v>
      </c>
    </row>
    <row r="53" spans="1:7">
      <c r="A53" s="39"/>
    </row>
    <row r="54" spans="1:7">
      <c r="A54" s="39"/>
    </row>
    <row r="55" spans="1:7">
      <c r="A55" s="39"/>
    </row>
    <row r="56" spans="1:7">
      <c r="A56" s="39"/>
    </row>
    <row r="57" spans="1:7">
      <c r="A57" s="39"/>
    </row>
    <row r="58" spans="1:7">
      <c r="A58" s="39"/>
    </row>
    <row r="59" spans="1:7">
      <c r="A59" s="39"/>
    </row>
    <row r="60" spans="1:7">
      <c r="A60" s="39"/>
    </row>
    <row r="61" spans="1:7">
      <c r="A61" s="39"/>
    </row>
    <row r="62" spans="1:7">
      <c r="A62" s="39"/>
    </row>
    <row r="63" spans="1:7">
      <c r="A63" s="39"/>
    </row>
    <row r="64" spans="1:7">
      <c r="A64" s="39"/>
    </row>
    <row r="65" spans="1:1">
      <c r="A65" s="39"/>
    </row>
    <row r="66" spans="1:1">
      <c r="A66" s="39"/>
    </row>
    <row r="67" spans="1:1">
      <c r="A67" s="39"/>
    </row>
    <row r="68" spans="1:1">
      <c r="A68" s="39"/>
    </row>
    <row r="69" spans="1:1">
      <c r="A69" s="39"/>
    </row>
    <row r="70" spans="1:1">
      <c r="A70" s="39"/>
    </row>
    <row r="71" spans="1:1">
      <c r="A71" s="39"/>
    </row>
    <row r="72" spans="1:1">
      <c r="A72" s="39"/>
    </row>
    <row r="73" spans="1:1">
      <c r="A73" s="39"/>
    </row>
    <row r="74" spans="1:1">
      <c r="A74" s="39"/>
    </row>
    <row r="75" spans="1:1">
      <c r="A75" s="39"/>
    </row>
    <row r="76" spans="1:1">
      <c r="A76" s="39"/>
    </row>
    <row r="77" spans="1:1">
      <c r="A77" s="39"/>
    </row>
    <row r="78" spans="1:1">
      <c r="A78" s="39"/>
    </row>
    <row r="79" spans="1:1">
      <c r="A79" s="39"/>
    </row>
    <row r="80" spans="1:1">
      <c r="A80" s="39"/>
    </row>
    <row r="81" spans="1:1">
      <c r="A81" s="39"/>
    </row>
    <row r="82" spans="1:1">
      <c r="A82" s="39"/>
    </row>
    <row r="83" spans="1:1">
      <c r="A83" s="39"/>
    </row>
    <row r="84" spans="1:1">
      <c r="A84" s="39"/>
    </row>
    <row r="85" spans="1:1">
      <c r="A85" s="39"/>
    </row>
    <row r="86" spans="1:1">
      <c r="A86" s="39"/>
    </row>
    <row r="87" spans="1:1">
      <c r="A87" s="39"/>
    </row>
    <row r="88" spans="1:1">
      <c r="A88" s="39"/>
    </row>
    <row r="89" spans="1:1">
      <c r="A89" s="39"/>
    </row>
    <row r="90" spans="1:1">
      <c r="A90" s="39"/>
    </row>
    <row r="91" spans="1:1">
      <c r="A91" s="39"/>
    </row>
    <row r="92" spans="1:1">
      <c r="A92" s="39"/>
    </row>
    <row r="93" spans="1:1">
      <c r="A93" s="39"/>
    </row>
    <row r="94" spans="1:1">
      <c r="A94" s="39"/>
    </row>
    <row r="95" spans="1:1">
      <c r="A95" s="39"/>
    </row>
    <row r="96" spans="1:1">
      <c r="A96" s="39"/>
    </row>
    <row r="97" spans="1:1">
      <c r="A97" s="39"/>
    </row>
    <row r="98" spans="1:1">
      <c r="A98" s="39"/>
    </row>
    <row r="99" spans="1:1">
      <c r="A99" s="39"/>
    </row>
    <row r="100" spans="1:1">
      <c r="A100" s="39"/>
    </row>
    <row r="101" spans="1:1">
      <c r="A101" s="39"/>
    </row>
    <row r="102" spans="1:1">
      <c r="A102" s="39"/>
    </row>
    <row r="103" spans="1:1">
      <c r="A103" s="39"/>
    </row>
    <row r="104" spans="1:1">
      <c r="A104" s="39"/>
    </row>
    <row r="105" spans="1:1">
      <c r="A105" s="39"/>
    </row>
    <row r="106" spans="1:1">
      <c r="A106" s="39"/>
    </row>
    <row r="107" spans="1:1">
      <c r="A107" s="39"/>
    </row>
    <row r="108" spans="1:1">
      <c r="A108" s="39"/>
    </row>
    <row r="109" spans="1:1">
      <c r="A109" s="39"/>
    </row>
    <row r="110" spans="1:1">
      <c r="A110" s="39"/>
    </row>
    <row r="111" spans="1:1">
      <c r="A111" s="39"/>
    </row>
    <row r="112" spans="1:1">
      <c r="A112" s="39"/>
    </row>
    <row r="113" spans="1:1">
      <c r="A113" s="39"/>
    </row>
    <row r="114" spans="1:1">
      <c r="A114" s="39"/>
    </row>
    <row r="115" spans="1:1">
      <c r="A115" s="39"/>
    </row>
    <row r="116" spans="1:1">
      <c r="A116" s="39"/>
    </row>
    <row r="117" spans="1:1">
      <c r="A117" s="39"/>
    </row>
    <row r="118" spans="1:1">
      <c r="A118" s="39"/>
    </row>
    <row r="119" spans="1:1">
      <c r="A119" s="39"/>
    </row>
    <row r="120" spans="1:1">
      <c r="A120" s="39"/>
    </row>
    <row r="121" spans="1:1">
      <c r="A121" s="39"/>
    </row>
    <row r="122" spans="1:1">
      <c r="A122" s="39"/>
    </row>
    <row r="123" spans="1:1">
      <c r="A123" s="39"/>
    </row>
    <row r="124" spans="1:1">
      <c r="A124" s="39"/>
    </row>
    <row r="125" spans="1:1">
      <c r="A125" s="39"/>
    </row>
    <row r="126" spans="1:1">
      <c r="A126" s="39"/>
    </row>
    <row r="127" spans="1:1">
      <c r="A127" s="39"/>
    </row>
    <row r="128" spans="1:1">
      <c r="A128" s="39"/>
    </row>
    <row r="129" spans="1:1">
      <c r="A129" s="39"/>
    </row>
    <row r="130" spans="1:1">
      <c r="A130" s="39"/>
    </row>
    <row r="131" spans="1:1">
      <c r="A131" s="39"/>
    </row>
    <row r="132" spans="1:1">
      <c r="A132" s="39"/>
    </row>
    <row r="133" spans="1:1">
      <c r="A133" s="39"/>
    </row>
    <row r="134" spans="1:1">
      <c r="A134" s="39"/>
    </row>
    <row r="135" spans="1:1">
      <c r="A135" s="39"/>
    </row>
    <row r="136" spans="1:1">
      <c r="A136" s="39"/>
    </row>
    <row r="137" spans="1:1">
      <c r="A137" s="39"/>
    </row>
    <row r="138" spans="1:1">
      <c r="A138" s="39"/>
    </row>
    <row r="139" spans="1:1">
      <c r="A139" s="39"/>
    </row>
    <row r="140" spans="1:1">
      <c r="A140" s="39"/>
    </row>
    <row r="141" spans="1:1">
      <c r="A141" s="39"/>
    </row>
    <row r="142" spans="1:1">
      <c r="A142" s="39"/>
    </row>
    <row r="143" spans="1:1">
      <c r="A143" s="39"/>
    </row>
    <row r="144" spans="1:1">
      <c r="A144" s="39"/>
    </row>
    <row r="145" spans="1:1">
      <c r="A145" s="39"/>
    </row>
    <row r="146" spans="1:1">
      <c r="A146" s="39"/>
    </row>
    <row r="147" spans="1:1">
      <c r="A147" s="39"/>
    </row>
    <row r="148" spans="1:1">
      <c r="A148" s="39"/>
    </row>
    <row r="149" spans="1:1">
      <c r="A149" s="39"/>
    </row>
    <row r="150" spans="1:1">
      <c r="A150" s="39"/>
    </row>
    <row r="151" spans="1:1">
      <c r="A151" s="39"/>
    </row>
    <row r="152" spans="1:1">
      <c r="A152" s="39"/>
    </row>
    <row r="153" spans="1:1">
      <c r="A153" s="39"/>
    </row>
    <row r="154" spans="1:1">
      <c r="A154" s="39"/>
    </row>
    <row r="155" spans="1:1">
      <c r="A155" s="39"/>
    </row>
    <row r="156" spans="1:1">
      <c r="A156" s="39"/>
    </row>
    <row r="157" spans="1:1">
      <c r="A157" s="39"/>
    </row>
    <row r="158" spans="1:1">
      <c r="A158" s="39"/>
    </row>
    <row r="159" spans="1:1">
      <c r="A159" s="39"/>
    </row>
    <row r="160" spans="1:1">
      <c r="A160" s="39"/>
    </row>
    <row r="161" spans="1:1">
      <c r="A161" s="39"/>
    </row>
    <row r="162" spans="1:1">
      <c r="A162" s="39"/>
    </row>
    <row r="163" spans="1:1">
      <c r="A163" s="39"/>
    </row>
    <row r="164" spans="1:1">
      <c r="A164" s="39"/>
    </row>
    <row r="165" spans="1:1">
      <c r="A165" s="39"/>
    </row>
    <row r="166" spans="1:1">
      <c r="A166" s="39"/>
    </row>
    <row r="167" spans="1:1">
      <c r="A167" s="39"/>
    </row>
    <row r="168" spans="1:1">
      <c r="A168" s="39"/>
    </row>
    <row r="169" spans="1:1">
      <c r="A169" s="39"/>
    </row>
    <row r="170" spans="1:1">
      <c r="A170" s="39"/>
    </row>
    <row r="171" spans="1:1">
      <c r="A171" s="39"/>
    </row>
    <row r="172" spans="1:1">
      <c r="A172" s="39"/>
    </row>
    <row r="173" spans="1:1">
      <c r="A173" s="39"/>
    </row>
    <row r="174" spans="1:1">
      <c r="A174" s="39"/>
    </row>
    <row r="175" spans="1:1">
      <c r="A175" s="39"/>
    </row>
    <row r="176" spans="1:1">
      <c r="A176" s="39"/>
    </row>
    <row r="177" spans="1:1">
      <c r="A177" s="39"/>
    </row>
    <row r="178" spans="1:1">
      <c r="A178" s="39"/>
    </row>
    <row r="179" spans="1:1">
      <c r="A179" s="39"/>
    </row>
    <row r="180" spans="1:1">
      <c r="A180" s="39"/>
    </row>
    <row r="181" spans="1:1">
      <c r="A181" s="39"/>
    </row>
    <row r="182" spans="1:1">
      <c r="A182" s="39"/>
    </row>
    <row r="183" spans="1:1">
      <c r="A183" s="39"/>
    </row>
    <row r="184" spans="1:1">
      <c r="A184" s="39"/>
    </row>
    <row r="185" spans="1:1">
      <c r="A185" s="39"/>
    </row>
    <row r="186" spans="1:1">
      <c r="A186" s="39"/>
    </row>
    <row r="187" spans="1:1">
      <c r="A187" s="39"/>
    </row>
    <row r="188" spans="1:1">
      <c r="A188" s="39"/>
    </row>
    <row r="189" spans="1:1">
      <c r="A189" s="39"/>
    </row>
    <row r="190" spans="1:1">
      <c r="A190" s="39"/>
    </row>
    <row r="191" spans="1:1">
      <c r="A191" s="39"/>
    </row>
    <row r="192" spans="1:1">
      <c r="A192" s="39"/>
    </row>
    <row r="193" spans="1:1">
      <c r="A193" s="39"/>
    </row>
    <row r="194" spans="1:1">
      <c r="A194" s="39"/>
    </row>
    <row r="195" spans="1:1">
      <c r="A195" s="39"/>
    </row>
    <row r="196" spans="1:1">
      <c r="A196" s="39"/>
    </row>
    <row r="197" spans="1:1">
      <c r="A197" s="39"/>
    </row>
    <row r="198" spans="1:1">
      <c r="A198" s="39"/>
    </row>
    <row r="199" spans="1:1">
      <c r="A199" s="39"/>
    </row>
    <row r="200" spans="1:1">
      <c r="A200" s="39"/>
    </row>
    <row r="201" spans="1:1">
      <c r="A201" s="39"/>
    </row>
    <row r="202" spans="1:1">
      <c r="A202" s="39"/>
    </row>
    <row r="203" spans="1:1">
      <c r="A203" s="39"/>
    </row>
    <row r="204" spans="1:1">
      <c r="A204" s="39"/>
    </row>
    <row r="205" spans="1:1">
      <c r="A205" s="39"/>
    </row>
    <row r="206" spans="1:1">
      <c r="A206" s="39"/>
    </row>
    <row r="207" spans="1:1">
      <c r="A207" s="39"/>
    </row>
    <row r="208" spans="1:1">
      <c r="A208" s="39"/>
    </row>
    <row r="209" spans="1:1">
      <c r="A209" s="39"/>
    </row>
    <row r="210" spans="1:1">
      <c r="A210" s="39"/>
    </row>
    <row r="211" spans="1:1">
      <c r="A211" s="39"/>
    </row>
    <row r="212" spans="1:1">
      <c r="A212" s="39"/>
    </row>
    <row r="213" spans="1:1">
      <c r="A213" s="39"/>
    </row>
    <row r="214" spans="1:1">
      <c r="A214" s="39"/>
    </row>
    <row r="215" spans="1:1">
      <c r="A215" s="39"/>
    </row>
    <row r="216" spans="1:1">
      <c r="A216" s="39"/>
    </row>
    <row r="217" spans="1:1">
      <c r="A217" s="39"/>
    </row>
    <row r="218" spans="1:1">
      <c r="A218" s="39"/>
    </row>
    <row r="219" spans="1:1">
      <c r="A219" s="39"/>
    </row>
    <row r="220" spans="1:1">
      <c r="A220" s="39"/>
    </row>
    <row r="221" spans="1:1">
      <c r="A221" s="39"/>
    </row>
    <row r="222" spans="1:1">
      <c r="A222" s="39"/>
    </row>
    <row r="223" spans="1:1">
      <c r="A223" s="39"/>
    </row>
    <row r="224" spans="1:1">
      <c r="A224" s="39"/>
    </row>
    <row r="225" spans="1:1">
      <c r="A225" s="39"/>
    </row>
    <row r="226" spans="1:1">
      <c r="A226" s="39"/>
    </row>
    <row r="227" spans="1:1">
      <c r="A227" s="39"/>
    </row>
    <row r="228" spans="1:1">
      <c r="A228" s="39"/>
    </row>
    <row r="229" spans="1:1">
      <c r="A229" s="39"/>
    </row>
    <row r="230" spans="1:1">
      <c r="A230" s="39"/>
    </row>
    <row r="231" spans="1:1">
      <c r="A231" s="39"/>
    </row>
    <row r="232" spans="1:1">
      <c r="A232" s="39"/>
    </row>
    <row r="233" spans="1:1">
      <c r="A233" s="39"/>
    </row>
    <row r="234" spans="1:1">
      <c r="A234" s="39"/>
    </row>
    <row r="235" spans="1:1">
      <c r="A235" s="39"/>
    </row>
    <row r="236" spans="1:1">
      <c r="A236" s="39"/>
    </row>
    <row r="237" spans="1:1">
      <c r="A237" s="39"/>
    </row>
    <row r="238" spans="1:1">
      <c r="A238" s="39"/>
    </row>
    <row r="239" spans="1:1">
      <c r="A239" s="39"/>
    </row>
    <row r="240" spans="1:1">
      <c r="A240" s="39"/>
    </row>
    <row r="241" spans="1:1">
      <c r="A241" s="39"/>
    </row>
    <row r="242" spans="1:1">
      <c r="A242" s="39"/>
    </row>
    <row r="243" spans="1:1">
      <c r="A243" s="39"/>
    </row>
    <row r="244" spans="1:1">
      <c r="A244" s="39"/>
    </row>
    <row r="245" spans="1:1">
      <c r="A245" s="39"/>
    </row>
    <row r="246" spans="1:1">
      <c r="A246" s="39"/>
    </row>
    <row r="247" spans="1:1">
      <c r="A247" s="39"/>
    </row>
    <row r="248" spans="1:1">
      <c r="A248" s="39"/>
    </row>
    <row r="249" spans="1:1">
      <c r="A249" s="39"/>
    </row>
    <row r="250" spans="1:1">
      <c r="A250" s="39"/>
    </row>
    <row r="251" spans="1:1">
      <c r="A251" s="39"/>
    </row>
    <row r="252" spans="1:1">
      <c r="A252" s="39"/>
    </row>
    <row r="253" spans="1:1">
      <c r="A253" s="39"/>
    </row>
    <row r="254" spans="1:1">
      <c r="A254" s="39"/>
    </row>
    <row r="255" spans="1:1">
      <c r="A255" s="39"/>
    </row>
    <row r="256" spans="1:1">
      <c r="A256" s="39"/>
    </row>
    <row r="257" spans="1:1">
      <c r="A257" s="39"/>
    </row>
    <row r="258" spans="1:1">
      <c r="A258" s="39"/>
    </row>
    <row r="259" spans="1:1">
      <c r="A259" s="39"/>
    </row>
    <row r="260" spans="1:1">
      <c r="A260" s="39"/>
    </row>
    <row r="261" spans="1:1">
      <c r="A261" s="39"/>
    </row>
    <row r="262" spans="1:1">
      <c r="A262" s="39"/>
    </row>
    <row r="263" spans="1:1">
      <c r="A263" s="39"/>
    </row>
    <row r="264" spans="1:1">
      <c r="A264" s="39"/>
    </row>
    <row r="265" spans="1:1">
      <c r="A265" s="39"/>
    </row>
    <row r="266" spans="1:1">
      <c r="A266" s="39"/>
    </row>
    <row r="267" spans="1:1">
      <c r="A267" s="39"/>
    </row>
    <row r="268" spans="1:1">
      <c r="A268" s="39"/>
    </row>
    <row r="269" spans="1:1">
      <c r="A269" s="39"/>
    </row>
    <row r="270" spans="1:1">
      <c r="A270" s="39"/>
    </row>
    <row r="271" spans="1:1">
      <c r="A271" s="39"/>
    </row>
    <row r="272" spans="1:1">
      <c r="A272" s="39"/>
    </row>
    <row r="273" spans="1:1">
      <c r="A273" s="39"/>
    </row>
    <row r="274" spans="1:1">
      <c r="A274" s="39"/>
    </row>
    <row r="275" spans="1:1">
      <c r="A275" s="39"/>
    </row>
    <row r="276" spans="1:1">
      <c r="A276" s="39"/>
    </row>
    <row r="277" spans="1:1">
      <c r="A277" s="39"/>
    </row>
    <row r="278" spans="1:1">
      <c r="A278" s="39"/>
    </row>
    <row r="279" spans="1:1">
      <c r="A279" s="39"/>
    </row>
    <row r="280" spans="1:1">
      <c r="A280" s="39"/>
    </row>
    <row r="281" spans="1:1">
      <c r="A281" s="39"/>
    </row>
    <row r="282" spans="1:1">
      <c r="A282" s="39"/>
    </row>
    <row r="283" spans="1:1">
      <c r="A283" s="39"/>
    </row>
    <row r="284" spans="1:1">
      <c r="A284" s="39"/>
    </row>
    <row r="285" spans="1:1">
      <c r="A285" s="39"/>
    </row>
    <row r="286" spans="1:1">
      <c r="A286" s="39"/>
    </row>
    <row r="287" spans="1:1">
      <c r="A287" s="39"/>
    </row>
    <row r="288" spans="1:1">
      <c r="A288" s="39"/>
    </row>
    <row r="289" spans="1:1">
      <c r="A289" s="39"/>
    </row>
    <row r="290" spans="1:1">
      <c r="A290" s="39"/>
    </row>
    <row r="291" spans="1:1">
      <c r="A291" s="39"/>
    </row>
    <row r="292" spans="1:1">
      <c r="A292" s="39"/>
    </row>
    <row r="293" spans="1:1">
      <c r="A293" s="39"/>
    </row>
    <row r="294" spans="1:1">
      <c r="A294" s="39"/>
    </row>
    <row r="295" spans="1:1">
      <c r="A295" s="39"/>
    </row>
    <row r="296" spans="1:1">
      <c r="A296" s="39"/>
    </row>
    <row r="297" spans="1:1">
      <c r="A297" s="39"/>
    </row>
    <row r="298" spans="1:1">
      <c r="A298" s="39"/>
    </row>
    <row r="299" spans="1:1">
      <c r="A299" s="39"/>
    </row>
    <row r="300" spans="1:1">
      <c r="A300" s="39"/>
    </row>
    <row r="301" spans="1:1">
      <c r="A301" s="39"/>
    </row>
    <row r="302" spans="1:1">
      <c r="A302" s="39"/>
    </row>
    <row r="303" spans="1:1">
      <c r="A303" s="39"/>
    </row>
    <row r="304" spans="1:1">
      <c r="A304" s="39"/>
    </row>
    <row r="305" spans="1:1">
      <c r="A305" s="39"/>
    </row>
    <row r="306" spans="1:1">
      <c r="A306" s="39"/>
    </row>
    <row r="307" spans="1:1">
      <c r="A307" s="39"/>
    </row>
    <row r="308" spans="1:1">
      <c r="A308" s="39"/>
    </row>
    <row r="309" spans="1:1">
      <c r="A309" s="39"/>
    </row>
    <row r="310" spans="1:1">
      <c r="A310" s="39"/>
    </row>
    <row r="311" spans="1:1">
      <c r="A311" s="39"/>
    </row>
    <row r="312" spans="1:1">
      <c r="A312" s="39"/>
    </row>
    <row r="313" spans="1:1">
      <c r="A313" s="39"/>
    </row>
    <row r="314" spans="1:1">
      <c r="A314" s="39"/>
    </row>
    <row r="315" spans="1:1">
      <c r="A315" s="39"/>
    </row>
    <row r="316" spans="1:1">
      <c r="A316" s="39"/>
    </row>
    <row r="317" spans="1:1">
      <c r="A317" s="39"/>
    </row>
    <row r="318" spans="1:1">
      <c r="A318" s="39"/>
    </row>
    <row r="319" spans="1:1">
      <c r="A319" s="39"/>
    </row>
    <row r="320" spans="1:1">
      <c r="A320" s="39"/>
    </row>
    <row r="321" spans="1:1">
      <c r="A321" s="39"/>
    </row>
    <row r="322" spans="1:1">
      <c r="A322" s="39"/>
    </row>
    <row r="323" spans="1:1">
      <c r="A323" s="39"/>
    </row>
    <row r="324" spans="1:1">
      <c r="A324" s="39"/>
    </row>
    <row r="325" spans="1:1">
      <c r="A325" s="39"/>
    </row>
    <row r="326" spans="1:1">
      <c r="A326" s="39"/>
    </row>
    <row r="327" spans="1:1">
      <c r="A327" s="39"/>
    </row>
    <row r="328" spans="1:1">
      <c r="A328" s="39"/>
    </row>
    <row r="329" spans="1:1">
      <c r="A329" s="39"/>
    </row>
    <row r="330" spans="1:1">
      <c r="A330" s="39"/>
    </row>
    <row r="331" spans="1:1">
      <c r="A331" s="39"/>
    </row>
    <row r="332" spans="1:1">
      <c r="A332" s="39"/>
    </row>
    <row r="333" spans="1:1">
      <c r="A333" s="39"/>
    </row>
    <row r="334" spans="1:1">
      <c r="A334" s="39"/>
    </row>
    <row r="335" spans="1:1">
      <c r="A335" s="39"/>
    </row>
    <row r="336" spans="1:1">
      <c r="A336" s="39"/>
    </row>
    <row r="337" spans="1:1">
      <c r="A337" s="39"/>
    </row>
    <row r="338" spans="1:1">
      <c r="A338" s="39"/>
    </row>
    <row r="339" spans="1:1">
      <c r="A339" s="39"/>
    </row>
    <row r="340" spans="1:1">
      <c r="A340" s="39"/>
    </row>
    <row r="341" spans="1:1">
      <c r="A341" s="39"/>
    </row>
    <row r="342" spans="1:1">
      <c r="A342" s="39"/>
    </row>
    <row r="343" spans="1:1">
      <c r="A343" s="39"/>
    </row>
    <row r="344" spans="1:1">
      <c r="A344" s="39"/>
    </row>
    <row r="345" spans="1:1">
      <c r="A345" s="39"/>
    </row>
    <row r="346" spans="1:1">
      <c r="A346" s="39"/>
    </row>
    <row r="347" spans="1:1">
      <c r="A347" s="39"/>
    </row>
    <row r="348" spans="1:1">
      <c r="A348" s="39"/>
    </row>
    <row r="349" spans="1:1">
      <c r="A349" s="39"/>
    </row>
    <row r="350" spans="1:1">
      <c r="A350" s="39"/>
    </row>
    <row r="351" spans="1:1">
      <c r="A351" s="39"/>
    </row>
    <row r="352" spans="1:1">
      <c r="A352" s="39"/>
    </row>
    <row r="353" spans="1:1">
      <c r="A353" s="39"/>
    </row>
    <row r="354" spans="1:1">
      <c r="A354" s="39"/>
    </row>
    <row r="355" spans="1:1">
      <c r="A355" s="39"/>
    </row>
    <row r="356" spans="1:1">
      <c r="A356" s="39"/>
    </row>
    <row r="357" spans="1:1">
      <c r="A357" s="39"/>
    </row>
    <row r="358" spans="1:1">
      <c r="A358" s="39"/>
    </row>
    <row r="359" spans="1:1">
      <c r="A359" s="39"/>
    </row>
    <row r="360" spans="1:1">
      <c r="A360" s="39"/>
    </row>
    <row r="361" spans="1:1">
      <c r="A361" s="39"/>
    </row>
    <row r="362" spans="1:1">
      <c r="A362" s="39"/>
    </row>
    <row r="363" spans="1:1">
      <c r="A363" s="39"/>
    </row>
    <row r="364" spans="1:1">
      <c r="A364" s="39"/>
    </row>
    <row r="365" spans="1:1">
      <c r="A365" s="39"/>
    </row>
    <row r="366" spans="1:1">
      <c r="A366" s="39"/>
    </row>
    <row r="367" spans="1:1">
      <c r="A367" s="39"/>
    </row>
    <row r="368" spans="1:1">
      <c r="A368" s="39"/>
    </row>
    <row r="369" spans="1:1">
      <c r="A369" s="39"/>
    </row>
    <row r="370" spans="1:1">
      <c r="A370" s="39"/>
    </row>
    <row r="371" spans="1:1">
      <c r="A371" s="39"/>
    </row>
    <row r="372" spans="1:1">
      <c r="A372" s="39"/>
    </row>
    <row r="373" spans="1:1">
      <c r="A373" s="39"/>
    </row>
    <row r="374" spans="1:1">
      <c r="A374" s="39"/>
    </row>
    <row r="375" spans="1:1">
      <c r="A375" s="39"/>
    </row>
    <row r="376" spans="1:1">
      <c r="A376" s="39"/>
    </row>
    <row r="377" spans="1:1">
      <c r="A377" s="39"/>
    </row>
    <row r="378" spans="1:1">
      <c r="A378" s="39"/>
    </row>
    <row r="379" spans="1:1">
      <c r="A379" s="39"/>
    </row>
    <row r="380" spans="1:1">
      <c r="A380" s="39"/>
    </row>
    <row r="381" spans="1:1">
      <c r="A381" s="39"/>
    </row>
    <row r="382" spans="1:1">
      <c r="A382" s="39"/>
    </row>
    <row r="383" spans="1:1">
      <c r="A383" s="39"/>
    </row>
    <row r="384" spans="1:1">
      <c r="A384" s="39"/>
    </row>
    <row r="385" spans="1:1">
      <c r="A385" s="39"/>
    </row>
    <row r="386" spans="1:1">
      <c r="A386" s="39"/>
    </row>
    <row r="387" spans="1:1">
      <c r="A387" s="39"/>
    </row>
    <row r="388" spans="1:1">
      <c r="A388" s="39"/>
    </row>
    <row r="389" spans="1:1">
      <c r="A389" s="39"/>
    </row>
    <row r="390" spans="1:1">
      <c r="A390" s="39"/>
    </row>
    <row r="391" spans="1:1">
      <c r="A391" s="39"/>
    </row>
    <row r="392" spans="1:1">
      <c r="A392" s="39"/>
    </row>
    <row r="393" spans="1:1">
      <c r="A393" s="39"/>
    </row>
    <row r="394" spans="1:1">
      <c r="A394" s="39"/>
    </row>
    <row r="395" spans="1:1">
      <c r="A395" s="39"/>
    </row>
    <row r="396" spans="1:1">
      <c r="A396" s="39"/>
    </row>
    <row r="397" spans="1:1">
      <c r="A397" s="39"/>
    </row>
    <row r="398" spans="1:1">
      <c r="A398" s="39"/>
    </row>
    <row r="399" spans="1:1">
      <c r="A399" s="39"/>
    </row>
    <row r="400" spans="1:1">
      <c r="A400" s="39"/>
    </row>
    <row r="401" spans="1:1">
      <c r="A401" s="39"/>
    </row>
    <row r="402" spans="1:1">
      <c r="A402" s="39"/>
    </row>
    <row r="403" spans="1:1">
      <c r="A403" s="39"/>
    </row>
    <row r="404" spans="1:1">
      <c r="A404" s="39"/>
    </row>
    <row r="405" spans="1:1">
      <c r="A405" s="39"/>
    </row>
    <row r="406" spans="1:1">
      <c r="A406" s="39"/>
    </row>
    <row r="407" spans="1:1">
      <c r="A407" s="39"/>
    </row>
    <row r="408" spans="1:1">
      <c r="A408" s="39"/>
    </row>
    <row r="409" spans="1:1">
      <c r="A409" s="39"/>
    </row>
    <row r="410" spans="1:1">
      <c r="A410" s="39"/>
    </row>
    <row r="411" spans="1:1">
      <c r="A411" s="39"/>
    </row>
    <row r="412" spans="1:1">
      <c r="A412" s="39"/>
    </row>
    <row r="413" spans="1:1">
      <c r="A413" s="39"/>
    </row>
    <row r="414" spans="1:1">
      <c r="A414" s="39"/>
    </row>
    <row r="415" spans="1:1">
      <c r="A415" s="39"/>
    </row>
    <row r="416" spans="1:1">
      <c r="A416" s="39"/>
    </row>
    <row r="417" spans="1:1">
      <c r="A417" s="39"/>
    </row>
    <row r="418" spans="1:1">
      <c r="A418" s="39"/>
    </row>
    <row r="419" spans="1:1">
      <c r="A419" s="39"/>
    </row>
    <row r="420" spans="1:1">
      <c r="A420" s="39"/>
    </row>
    <row r="421" spans="1:1">
      <c r="A421" s="39"/>
    </row>
    <row r="422" spans="1:1">
      <c r="A422" s="39"/>
    </row>
    <row r="423" spans="1:1">
      <c r="A423" s="39"/>
    </row>
    <row r="424" spans="1:1">
      <c r="A424" s="39"/>
    </row>
    <row r="425" spans="1:1">
      <c r="A425" s="39"/>
    </row>
    <row r="426" spans="1:1">
      <c r="A426" s="39"/>
    </row>
    <row r="427" spans="1:1">
      <c r="A427" s="39"/>
    </row>
    <row r="428" spans="1:1">
      <c r="A428" s="39"/>
    </row>
    <row r="429" spans="1:1">
      <c r="A429" s="39"/>
    </row>
    <row r="430" spans="1:1">
      <c r="A430" s="39"/>
    </row>
    <row r="431" spans="1:1">
      <c r="A431" s="39"/>
    </row>
    <row r="432" spans="1:1">
      <c r="A432" s="39"/>
    </row>
    <row r="433" spans="1:1">
      <c r="A433" s="39"/>
    </row>
    <row r="434" spans="1:1">
      <c r="A434" s="39"/>
    </row>
    <row r="435" spans="1:1">
      <c r="A435" s="39"/>
    </row>
    <row r="436" spans="1:1">
      <c r="A436" s="39"/>
    </row>
    <row r="437" spans="1:1">
      <c r="A437" s="39"/>
    </row>
    <row r="438" spans="1:1">
      <c r="A438" s="39"/>
    </row>
    <row r="439" spans="1:1">
      <c r="A439" s="39"/>
    </row>
    <row r="440" spans="1:1">
      <c r="A440" s="39"/>
    </row>
    <row r="441" spans="1:1">
      <c r="A441" s="39"/>
    </row>
    <row r="442" spans="1:1">
      <c r="A442" s="39"/>
    </row>
    <row r="443" spans="1:1">
      <c r="A443" s="39"/>
    </row>
    <row r="444" spans="1:1">
      <c r="A444" s="39"/>
    </row>
    <row r="445" spans="1:1">
      <c r="A445" s="39"/>
    </row>
    <row r="446" spans="1:1">
      <c r="A446" s="39"/>
    </row>
    <row r="447" spans="1:1">
      <c r="A447" s="39"/>
    </row>
    <row r="448" spans="1:1">
      <c r="A448" s="39"/>
    </row>
    <row r="449" spans="1:1">
      <c r="A449" s="39"/>
    </row>
    <row r="450" spans="1:1">
      <c r="A450" s="39"/>
    </row>
    <row r="451" spans="1:1">
      <c r="A451" s="39"/>
    </row>
    <row r="452" spans="1:1">
      <c r="A452" s="39"/>
    </row>
    <row r="453" spans="1:1">
      <c r="A453" s="39"/>
    </row>
    <row r="454" spans="1:1">
      <c r="A454" s="39"/>
    </row>
    <row r="455" spans="1:1">
      <c r="A455" s="39"/>
    </row>
    <row r="456" spans="1:1">
      <c r="A456" s="39"/>
    </row>
    <row r="457" spans="1:1">
      <c r="A457" s="39"/>
    </row>
    <row r="458" spans="1:1">
      <c r="A458" s="39"/>
    </row>
    <row r="459" spans="1:1">
      <c r="A459" s="39"/>
    </row>
    <row r="460" spans="1:1">
      <c r="A460" s="39"/>
    </row>
    <row r="461" spans="1:1">
      <c r="A461" s="39"/>
    </row>
    <row r="462" spans="1:1">
      <c r="A462" s="39"/>
    </row>
    <row r="463" spans="1:1">
      <c r="A463" s="39"/>
    </row>
    <row r="464" spans="1:1">
      <c r="A464" s="39"/>
    </row>
    <row r="465" spans="1:1">
      <c r="A465" s="39"/>
    </row>
    <row r="466" spans="1:1">
      <c r="A466" s="39"/>
    </row>
    <row r="467" spans="1:1">
      <c r="A467" s="39"/>
    </row>
    <row r="468" spans="1:1">
      <c r="A468" s="39"/>
    </row>
    <row r="469" spans="1:1">
      <c r="A469" s="39"/>
    </row>
    <row r="470" spans="1:1">
      <c r="A470" s="39"/>
    </row>
    <row r="471" spans="1:1">
      <c r="A471" s="39"/>
    </row>
    <row r="472" spans="1:1">
      <c r="A472" s="39"/>
    </row>
    <row r="473" spans="1:1">
      <c r="A473" s="39"/>
    </row>
    <row r="474" spans="1:1">
      <c r="A474" s="39"/>
    </row>
    <row r="475" spans="1:1">
      <c r="A475" s="39"/>
    </row>
    <row r="476" spans="1:1">
      <c r="A476" s="39"/>
    </row>
    <row r="477" spans="1:1">
      <c r="A477" s="39"/>
    </row>
    <row r="478" spans="1:1">
      <c r="A478" s="39"/>
    </row>
    <row r="479" spans="1:1">
      <c r="A479" s="39"/>
    </row>
    <row r="480" spans="1:1">
      <c r="A480" s="39"/>
    </row>
    <row r="481" spans="1:1">
      <c r="A481" s="39"/>
    </row>
    <row r="482" spans="1:1">
      <c r="A482" s="39"/>
    </row>
    <row r="483" spans="1:1">
      <c r="A483" s="39"/>
    </row>
    <row r="484" spans="1:1">
      <c r="A484" s="39"/>
    </row>
    <row r="485" spans="1:1">
      <c r="A485" s="39"/>
    </row>
    <row r="486" spans="1:1">
      <c r="A486" s="39"/>
    </row>
    <row r="487" spans="1:1">
      <c r="A487" s="39"/>
    </row>
    <row r="488" spans="1:1">
      <c r="A488" s="39"/>
    </row>
    <row r="489" spans="1:1">
      <c r="A489" s="39"/>
    </row>
    <row r="490" spans="1:1">
      <c r="A490" s="39"/>
    </row>
    <row r="491" spans="1:1">
      <c r="A491" s="39"/>
    </row>
    <row r="492" spans="1:1">
      <c r="A492" s="39"/>
    </row>
    <row r="493" spans="1:1">
      <c r="A493" s="39"/>
    </row>
    <row r="494" spans="1:1">
      <c r="A494" s="39"/>
    </row>
    <row r="495" spans="1:1">
      <c r="A495" s="39"/>
    </row>
    <row r="496" spans="1:1">
      <c r="A496" s="39"/>
    </row>
    <row r="497" spans="1:1">
      <c r="A497" s="39"/>
    </row>
    <row r="498" spans="1:1">
      <c r="A498" s="39"/>
    </row>
    <row r="499" spans="1:1">
      <c r="A499" s="39"/>
    </row>
    <row r="500" spans="1:1">
      <c r="A500" s="39"/>
    </row>
    <row r="501" spans="1:1">
      <c r="A501" s="39"/>
    </row>
    <row r="502" spans="1:1">
      <c r="A502" s="39"/>
    </row>
    <row r="503" spans="1:1">
      <c r="A503" s="39"/>
    </row>
    <row r="504" spans="1:1">
      <c r="A504" s="39"/>
    </row>
    <row r="505" spans="1:1">
      <c r="A505" s="39"/>
    </row>
    <row r="506" spans="1:1">
      <c r="A506" s="39"/>
    </row>
    <row r="507" spans="1:1">
      <c r="A507" s="39"/>
    </row>
    <row r="508" spans="1:1">
      <c r="A508" s="39"/>
    </row>
    <row r="509" spans="1:1">
      <c r="A509" s="39"/>
    </row>
    <row r="510" spans="1:1">
      <c r="A510" s="39"/>
    </row>
    <row r="511" spans="1:1">
      <c r="A511" s="39"/>
    </row>
    <row r="512" spans="1:1">
      <c r="A512" s="39"/>
    </row>
    <row r="513" spans="1:1">
      <c r="A513" s="39"/>
    </row>
    <row r="514" spans="1:1">
      <c r="A514" s="39"/>
    </row>
    <row r="515" spans="1:1">
      <c r="A515" s="39"/>
    </row>
    <row r="516" spans="1:1">
      <c r="A516" s="39"/>
    </row>
    <row r="517" spans="1:1">
      <c r="A517" s="39"/>
    </row>
    <row r="518" spans="1:1">
      <c r="A518" s="39"/>
    </row>
    <row r="519" spans="1:1">
      <c r="A519" s="39"/>
    </row>
    <row r="520" spans="1:1">
      <c r="A520" s="39"/>
    </row>
    <row r="521" spans="1:1">
      <c r="A521" s="39"/>
    </row>
    <row r="522" spans="1:1">
      <c r="A522" s="39"/>
    </row>
    <row r="523" spans="1:1">
      <c r="A523" s="39"/>
    </row>
    <row r="524" spans="1:1">
      <c r="A524" s="39"/>
    </row>
    <row r="525" spans="1:1">
      <c r="A525" s="39"/>
    </row>
    <row r="526" spans="1:1">
      <c r="A526" s="39"/>
    </row>
    <row r="527" spans="1:1">
      <c r="A527" s="39"/>
    </row>
    <row r="528" spans="1:1">
      <c r="A528" s="39"/>
    </row>
    <row r="529" spans="1:1">
      <c r="A529" s="39"/>
    </row>
    <row r="530" spans="1:1">
      <c r="A530" s="39"/>
    </row>
    <row r="531" spans="1:1">
      <c r="A531" s="39"/>
    </row>
    <row r="532" spans="1:1">
      <c r="A532" s="39"/>
    </row>
    <row r="533" spans="1:1">
      <c r="A533" s="39"/>
    </row>
    <row r="534" spans="1:1">
      <c r="A534" s="39"/>
    </row>
    <row r="535" spans="1:1">
      <c r="A535" s="39"/>
    </row>
    <row r="536" spans="1:1">
      <c r="A536" s="39"/>
    </row>
    <row r="537" spans="1:1">
      <c r="A537" s="39"/>
    </row>
    <row r="538" spans="1:1">
      <c r="A538" s="39"/>
    </row>
    <row r="539" spans="1:1">
      <c r="A539" s="39"/>
    </row>
    <row r="540" spans="1:1">
      <c r="A540" s="39"/>
    </row>
    <row r="541" spans="1:1">
      <c r="A541" s="39"/>
    </row>
    <row r="542" spans="1:1">
      <c r="A542" s="39"/>
    </row>
    <row r="543" spans="1:1">
      <c r="A543" s="39"/>
    </row>
    <row r="544" spans="1:1">
      <c r="A544" s="39"/>
    </row>
    <row r="545" spans="1:1">
      <c r="A545" s="39"/>
    </row>
    <row r="546" spans="1:1">
      <c r="A546" s="39"/>
    </row>
    <row r="547" spans="1:1">
      <c r="A547" s="39"/>
    </row>
    <row r="548" spans="1:1">
      <c r="A548" s="39"/>
    </row>
    <row r="549" spans="1:1">
      <c r="A549" s="39"/>
    </row>
    <row r="550" spans="1:1">
      <c r="A550" s="39"/>
    </row>
    <row r="551" spans="1:1">
      <c r="A551" s="39"/>
    </row>
    <row r="552" spans="1:1">
      <c r="A552" s="39"/>
    </row>
    <row r="553" spans="1:1">
      <c r="A553" s="39"/>
    </row>
    <row r="554" spans="1:1">
      <c r="A554" s="39"/>
    </row>
    <row r="555" spans="1:1">
      <c r="A555" s="39"/>
    </row>
    <row r="556" spans="1:1">
      <c r="A556" s="39"/>
    </row>
    <row r="557" spans="1:1">
      <c r="A557" s="39"/>
    </row>
    <row r="558" spans="1:1">
      <c r="A558" s="39"/>
    </row>
    <row r="559" spans="1:1">
      <c r="A559" s="39"/>
    </row>
    <row r="560" spans="1:1">
      <c r="A560" s="39"/>
    </row>
    <row r="561" spans="1:1">
      <c r="A561" s="39"/>
    </row>
    <row r="562" spans="1:1">
      <c r="A562" s="39"/>
    </row>
    <row r="563" spans="1:1">
      <c r="A563" s="39"/>
    </row>
    <row r="564" spans="1:1">
      <c r="A564" s="39"/>
    </row>
    <row r="565" spans="1:1">
      <c r="A565" s="39"/>
    </row>
    <row r="566" spans="1:1">
      <c r="A566" s="39"/>
    </row>
    <row r="567" spans="1:1">
      <c r="A567" s="39"/>
    </row>
    <row r="568" spans="1:1">
      <c r="A568" s="39"/>
    </row>
    <row r="569" spans="1:1">
      <c r="A569" s="39"/>
    </row>
    <row r="570" spans="1:1">
      <c r="A570" s="39"/>
    </row>
    <row r="571" spans="1:1">
      <c r="A571" s="39"/>
    </row>
    <row r="572" spans="1:1">
      <c r="A572" s="39"/>
    </row>
    <row r="573" spans="1:1">
      <c r="A573" s="39"/>
    </row>
    <row r="574" spans="1:1">
      <c r="A574" s="39"/>
    </row>
    <row r="575" spans="1:1">
      <c r="A575" s="39"/>
    </row>
    <row r="576" spans="1:1">
      <c r="A576" s="39"/>
    </row>
    <row r="577" spans="1:1">
      <c r="A577" s="39"/>
    </row>
    <row r="578" spans="1:1">
      <c r="A578" s="39"/>
    </row>
    <row r="579" spans="1:1">
      <c r="A579" s="39"/>
    </row>
    <row r="580" spans="1:1">
      <c r="A580" s="39"/>
    </row>
    <row r="581" spans="1:1">
      <c r="A581" s="39"/>
    </row>
    <row r="582" spans="1:1">
      <c r="A582" s="39"/>
    </row>
    <row r="583" spans="1:1">
      <c r="A583" s="39"/>
    </row>
    <row r="584" spans="1:1">
      <c r="A584" s="39"/>
    </row>
    <row r="585" spans="1:1">
      <c r="A585" s="39"/>
    </row>
    <row r="586" spans="1:1">
      <c r="A586" s="39"/>
    </row>
    <row r="587" spans="1:1">
      <c r="A587" s="39"/>
    </row>
    <row r="588" spans="1:1">
      <c r="A588" s="39"/>
    </row>
    <row r="589" spans="1:1">
      <c r="A589" s="39"/>
    </row>
    <row r="590" spans="1:1">
      <c r="A590" s="39"/>
    </row>
    <row r="591" spans="1:1">
      <c r="A591" s="39"/>
    </row>
    <row r="592" spans="1:1">
      <c r="A592" s="39"/>
    </row>
    <row r="593" spans="1:1">
      <c r="A593" s="39"/>
    </row>
    <row r="594" spans="1:1">
      <c r="A594" s="39"/>
    </row>
    <row r="595" spans="1:1">
      <c r="A595" s="39"/>
    </row>
    <row r="596" spans="1:1">
      <c r="A596" s="39"/>
    </row>
    <row r="597" spans="1:1">
      <c r="A597" s="39"/>
    </row>
    <row r="598" spans="1:1">
      <c r="A598" s="39"/>
    </row>
    <row r="599" spans="1:1">
      <c r="A599" s="39"/>
    </row>
    <row r="600" spans="1:1">
      <c r="A600" s="39"/>
    </row>
    <row r="601" spans="1:1">
      <c r="A601" s="39"/>
    </row>
    <row r="602" spans="1:1">
      <c r="A602" s="39"/>
    </row>
    <row r="603" spans="1:1">
      <c r="A603" s="39"/>
    </row>
    <row r="604" spans="1:1">
      <c r="A604" s="39"/>
    </row>
    <row r="605" spans="1:1">
      <c r="A605" s="39"/>
    </row>
    <row r="606" spans="1:1">
      <c r="A606" s="39"/>
    </row>
    <row r="607" spans="1:1">
      <c r="A607" s="39"/>
    </row>
    <row r="608" spans="1:1">
      <c r="A608" s="39"/>
    </row>
    <row r="609" spans="1:1">
      <c r="A609" s="39"/>
    </row>
    <row r="610" spans="1:1">
      <c r="A610" s="39"/>
    </row>
    <row r="611" spans="1:1">
      <c r="A611" s="39"/>
    </row>
    <row r="612" spans="1:1">
      <c r="A612" s="39"/>
    </row>
    <row r="613" spans="1:1">
      <c r="A613" s="39"/>
    </row>
    <row r="614" spans="1:1">
      <c r="A614" s="39"/>
    </row>
    <row r="615" spans="1:1">
      <c r="A615" s="39"/>
    </row>
  </sheetData>
  <mergeCells count="20">
    <mergeCell ref="A32:A34"/>
    <mergeCell ref="B32:B34"/>
    <mergeCell ref="A36:A41"/>
    <mergeCell ref="B36:B41"/>
    <mergeCell ref="C7:C11"/>
    <mergeCell ref="A7:A11"/>
    <mergeCell ref="A26:A30"/>
    <mergeCell ref="B7:B11"/>
    <mergeCell ref="E7:E11"/>
    <mergeCell ref="D7:D11"/>
    <mergeCell ref="G7:G11"/>
    <mergeCell ref="B26:B30"/>
    <mergeCell ref="A2:H2"/>
    <mergeCell ref="A3:I3"/>
    <mergeCell ref="A4:H4"/>
    <mergeCell ref="A5:H5"/>
    <mergeCell ref="B13:B24"/>
    <mergeCell ref="A13:A24"/>
    <mergeCell ref="H7:H11"/>
    <mergeCell ref="F7:F11"/>
  </mergeCells>
  <phoneticPr fontId="0" type="noConversion"/>
  <printOptions horizontalCentered="1"/>
  <pageMargins left="0.82677165354330717" right="0.23622047244094491" top="0.31496062992125984" bottom="0.31496062992125984" header="0.27559055118110237" footer="0.31496062992125984"/>
  <pageSetup paperSize="9" scale="84" fitToHeight="3"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pageSetUpPr fitToPage="1"/>
  </sheetPr>
  <dimension ref="A1:L21"/>
  <sheetViews>
    <sheetView zoomScale="81" zoomScaleNormal="81" workbookViewId="0">
      <selection activeCell="J5" sqref="J5"/>
    </sheetView>
  </sheetViews>
  <sheetFormatPr defaultColWidth="9.109375" defaultRowHeight="13.8"/>
  <cols>
    <col min="1" max="1" width="4.109375" style="145" bestFit="1" customWidth="1"/>
    <col min="2" max="2" width="15.33203125" style="145" customWidth="1"/>
    <col min="3" max="3" width="24.88671875" style="145" customWidth="1"/>
    <col min="4" max="4" width="18.5546875" style="145" customWidth="1"/>
    <col min="5" max="5" width="14.109375" style="145" customWidth="1"/>
    <col min="6" max="6" width="10" style="326" bestFit="1" customWidth="1"/>
    <col min="7" max="7" width="24.33203125" style="326" customWidth="1"/>
    <col min="8" max="8" width="23.44140625" style="326" customWidth="1"/>
    <col min="9" max="9" width="22.5546875" style="145" customWidth="1"/>
    <col min="10" max="10" width="44.6640625" style="145" customWidth="1"/>
    <col min="11" max="11" width="27.6640625" style="325" customWidth="1"/>
    <col min="12" max="12" width="16.88671875" style="145" customWidth="1"/>
    <col min="13" max="13" width="30" style="145" customWidth="1"/>
    <col min="14" max="16384" width="9.109375" style="145"/>
  </cols>
  <sheetData>
    <row r="1" spans="1:12">
      <c r="J1" s="245" t="s">
        <v>146</v>
      </c>
    </row>
    <row r="2" spans="1:12">
      <c r="A2" s="1192" t="str">
        <f>"'"&amp;(Шаблон!B1)&amp;"нинг "&amp;(Шаблон!B2)&amp;" вилоят бошқармаси "&amp;(Шаблон!B3)&amp;" филиалида 29801 ва 29896 ҳисоб рақамлари орқали бажарилган нотўғри ўтказмалар тўғрисида"</f>
        <v>'АТ "Халқ банк"нинг Фаргона вилояти вилоят бошқармаси Бешариқ филиали филиалида 29801 ва 29896 ҳисоб рақамлари орқали бажарилган нотўғри ўтказмалар тўғрисида</v>
      </c>
      <c r="B2" s="1192"/>
      <c r="C2" s="1192"/>
      <c r="D2" s="1192"/>
      <c r="E2" s="1192"/>
      <c r="F2" s="1192"/>
      <c r="G2" s="1192"/>
      <c r="H2" s="1192"/>
      <c r="I2" s="1192"/>
      <c r="J2" s="1192"/>
      <c r="K2" s="1192"/>
      <c r="L2" s="323"/>
    </row>
    <row r="3" spans="1:12">
      <c r="A3" s="1192" t="s">
        <v>197</v>
      </c>
      <c r="B3" s="1192"/>
      <c r="C3" s="1192"/>
      <c r="D3" s="1192"/>
      <c r="E3" s="1192"/>
      <c r="F3" s="1192"/>
      <c r="G3" s="1192"/>
      <c r="H3" s="1192"/>
      <c r="I3" s="1192"/>
      <c r="J3" s="1192"/>
      <c r="K3" s="1192"/>
      <c r="L3" s="1192"/>
    </row>
    <row r="4" spans="1:12" ht="14.4" thickBot="1">
      <c r="D4" s="324"/>
      <c r="F4" s="145"/>
      <c r="G4" s="145"/>
      <c r="H4" s="145"/>
      <c r="J4" s="245" t="s">
        <v>248</v>
      </c>
      <c r="L4" s="82"/>
    </row>
    <row r="5" spans="1:12" ht="28.2" thickBot="1">
      <c r="A5" s="176" t="s">
        <v>213</v>
      </c>
      <c r="B5" s="177" t="s">
        <v>191</v>
      </c>
      <c r="C5" s="177" t="s">
        <v>374</v>
      </c>
      <c r="D5" s="177" t="s">
        <v>377</v>
      </c>
      <c r="E5" s="178" t="s">
        <v>201</v>
      </c>
      <c r="F5" s="177" t="s">
        <v>273</v>
      </c>
      <c r="G5" s="179" t="s">
        <v>376</v>
      </c>
      <c r="H5" s="177" t="s">
        <v>377</v>
      </c>
      <c r="I5" s="179" t="s">
        <v>306</v>
      </c>
      <c r="J5" s="177" t="s">
        <v>378</v>
      </c>
      <c r="K5" s="145"/>
    </row>
    <row r="6" spans="1:12" ht="10.5" customHeight="1">
      <c r="A6" s="172" t="s">
        <v>208</v>
      </c>
      <c r="B6" s="173" t="s">
        <v>209</v>
      </c>
      <c r="C6" s="173" t="s">
        <v>372</v>
      </c>
      <c r="D6" s="173" t="s">
        <v>286</v>
      </c>
      <c r="E6" s="174">
        <v>3</v>
      </c>
      <c r="F6" s="173" t="s">
        <v>287</v>
      </c>
      <c r="G6" s="173" t="s">
        <v>373</v>
      </c>
      <c r="H6" s="173" t="s">
        <v>288</v>
      </c>
      <c r="I6" s="173" t="s">
        <v>289</v>
      </c>
      <c r="J6" s="175" t="s">
        <v>290</v>
      </c>
      <c r="K6" s="145"/>
    </row>
    <row r="7" spans="1:12" ht="15.6">
      <c r="A7" s="123">
        <v>1</v>
      </c>
      <c r="B7" s="125"/>
      <c r="C7" s="126"/>
      <c r="D7" s="127"/>
      <c r="E7" s="128"/>
      <c r="F7" s="127"/>
      <c r="G7" s="127"/>
      <c r="H7" s="127"/>
      <c r="I7" s="129"/>
      <c r="J7" s="130"/>
      <c r="K7" s="145"/>
    </row>
    <row r="8" spans="1:12">
      <c r="A8" s="123">
        <v>2</v>
      </c>
      <c r="B8" s="327"/>
      <c r="C8" s="328"/>
      <c r="D8" s="328"/>
      <c r="E8" s="329"/>
      <c r="F8" s="328"/>
      <c r="G8" s="328"/>
      <c r="H8" s="328"/>
      <c r="I8" s="330"/>
      <c r="J8" s="331"/>
      <c r="K8" s="145"/>
    </row>
    <row r="9" spans="1:12">
      <c r="A9" s="123">
        <v>3</v>
      </c>
      <c r="B9" s="327"/>
      <c r="C9" s="328"/>
      <c r="D9" s="328"/>
      <c r="E9" s="329"/>
      <c r="F9" s="328"/>
      <c r="G9" s="328"/>
      <c r="H9" s="328"/>
      <c r="I9" s="330"/>
      <c r="J9" s="331"/>
      <c r="K9" s="145"/>
    </row>
    <row r="10" spans="1:12">
      <c r="A10" s="123">
        <v>4</v>
      </c>
      <c r="B10" s="327"/>
      <c r="C10" s="328"/>
      <c r="D10" s="328"/>
      <c r="E10" s="329"/>
      <c r="F10" s="328"/>
      <c r="G10" s="328"/>
      <c r="H10" s="328"/>
      <c r="I10" s="330"/>
      <c r="J10" s="331"/>
      <c r="K10" s="145"/>
    </row>
    <row r="11" spans="1:12">
      <c r="A11" s="123">
        <v>5</v>
      </c>
      <c r="B11" s="327"/>
      <c r="C11" s="328"/>
      <c r="D11" s="328"/>
      <c r="E11" s="329"/>
      <c r="F11" s="328"/>
      <c r="G11" s="328"/>
      <c r="H11" s="328"/>
      <c r="I11" s="330"/>
      <c r="J11" s="331"/>
      <c r="K11" s="145"/>
    </row>
    <row r="12" spans="1:12">
      <c r="A12" s="123">
        <v>6</v>
      </c>
      <c r="B12" s="327"/>
      <c r="C12" s="328"/>
      <c r="D12" s="328"/>
      <c r="E12" s="332"/>
      <c r="F12" s="328"/>
      <c r="G12" s="328"/>
      <c r="H12" s="328"/>
      <c r="I12" s="330"/>
      <c r="J12" s="331"/>
      <c r="K12" s="145"/>
    </row>
    <row r="13" spans="1:12" ht="14.4" thickBot="1">
      <c r="A13" s="333"/>
      <c r="B13" s="334"/>
      <c r="C13" s="334"/>
      <c r="D13" s="334"/>
      <c r="E13" s="334"/>
      <c r="F13" s="334"/>
      <c r="G13" s="334"/>
      <c r="H13" s="334"/>
      <c r="I13" s="334"/>
      <c r="J13" s="335"/>
      <c r="K13" s="145"/>
    </row>
    <row r="15" spans="1:12">
      <c r="B15" s="105" t="str">
        <f>""&amp;(Шаблон!B1)&amp;"нинг Ички Аудит"</f>
        <v>АТ "Халқ банк"нинг Ички Аудит</v>
      </c>
      <c r="F15" s="105"/>
      <c r="G15" s="145"/>
      <c r="H15" s="145"/>
    </row>
    <row r="16" spans="1:12">
      <c r="B16" s="6" t="s">
        <v>493</v>
      </c>
      <c r="F16" s="145"/>
      <c r="G16" s="105" t="str">
        <f>Шаблон!B13</f>
        <v>А.Ҳазратқулов</v>
      </c>
      <c r="H16" s="105"/>
    </row>
    <row r="17" spans="2:7">
      <c r="B17" s="105"/>
      <c r="F17" s="145"/>
      <c r="G17" s="105"/>
    </row>
    <row r="18" spans="2:7">
      <c r="B18" s="105" t="str">
        <f>""&amp;(Шаблон!B1)&amp;" "&amp;(Шаблон!B2)&amp;" вилоят бошқармаси"</f>
        <v>АТ "Халқ банк" Фаргона вилояти вилоят бошқармаси</v>
      </c>
      <c r="F18" s="145"/>
      <c r="G18" s="145"/>
    </row>
    <row r="19" spans="2:7">
      <c r="B19" s="105" t="str">
        <f>""&amp;(Шаблон!B3)&amp;" филиали бошқарувчиси:"</f>
        <v>Бешариқ филиали филиали бошқарувчиси:</v>
      </c>
      <c r="F19" s="145"/>
      <c r="G19" s="105" t="str">
        <f>Шаблон!B5</f>
        <v>_____________</v>
      </c>
    </row>
    <row r="20" spans="2:7">
      <c r="B20" s="105"/>
      <c r="F20" s="145"/>
      <c r="G20" s="145"/>
    </row>
    <row r="21" spans="2:7">
      <c r="B21" s="105" t="s">
        <v>4</v>
      </c>
      <c r="F21" s="145"/>
      <c r="G21" s="105" t="str">
        <f>Шаблон!B8</f>
        <v>_____________</v>
      </c>
    </row>
  </sheetData>
  <mergeCells count="2">
    <mergeCell ref="A2:K2"/>
    <mergeCell ref="A3:L3"/>
  </mergeCells>
  <phoneticPr fontId="41" type="noConversion"/>
  <pageMargins left="0.70866141732283472" right="0.70866141732283472" top="0.74803149606299213" bottom="0.74803149606299213" header="0.31496062992125984" footer="0.31496062992125984"/>
  <pageSetup paperSize="9" scale="66"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pageSetUpPr fitToPage="1"/>
  </sheetPr>
  <dimension ref="A1:K21"/>
  <sheetViews>
    <sheetView zoomScale="78" zoomScaleNormal="78" workbookViewId="0">
      <selection activeCell="B21" sqref="B21"/>
    </sheetView>
  </sheetViews>
  <sheetFormatPr defaultColWidth="9.109375" defaultRowHeight="13.2"/>
  <cols>
    <col min="1" max="1" width="4.88671875" style="196" customWidth="1"/>
    <col min="2" max="2" width="22.33203125" style="196" customWidth="1"/>
    <col min="3" max="3" width="12.44140625" style="196" customWidth="1"/>
    <col min="4" max="4" width="9.6640625" style="196" customWidth="1"/>
    <col min="5" max="5" width="20.6640625" style="196" customWidth="1"/>
    <col min="6" max="8" width="19" style="196" customWidth="1"/>
    <col min="9" max="9" width="17" style="196" bestFit="1" customWidth="1"/>
    <col min="10" max="16384" width="9.109375" style="196"/>
  </cols>
  <sheetData>
    <row r="1" spans="1:11">
      <c r="I1" s="245" t="s">
        <v>278</v>
      </c>
    </row>
    <row r="2" spans="1:11" ht="39" customHeight="1">
      <c r="A2" s="1193" t="str">
        <f>""&amp;(Шаблон!B1)&amp;"нинг "&amp;(Шаблон!B2)&amp;" вилоят бошқармаси "&amp;(Шаблон!B3)&amp;" филиали томонидан Банк акционерларига 2009 йил учун ҳисобланган дивидент суммаларининг тўланишида аниқланган камчиликлар тўғрисида"</f>
        <v>АТ "Халқ банк"нинг Фаргона вилояти вилоят бошқармаси Бешариқ филиали филиали томонидан Банк акционерларига 2009 йил учун ҳисобланган дивидент суммаларининг тўланишида аниқланган камчиликлар тўғрисида</v>
      </c>
      <c r="B2" s="1193"/>
      <c r="C2" s="1193"/>
      <c r="D2" s="1193"/>
      <c r="E2" s="1193"/>
      <c r="F2" s="1193"/>
      <c r="G2" s="1193"/>
      <c r="H2" s="1193"/>
      <c r="I2" s="1193"/>
    </row>
    <row r="3" spans="1:11" ht="15.6">
      <c r="A3" s="1194" t="s">
        <v>385</v>
      </c>
      <c r="B3" s="1194"/>
      <c r="C3" s="1194"/>
      <c r="D3" s="1194"/>
      <c r="E3" s="1194"/>
      <c r="F3" s="1194"/>
      <c r="G3" s="1194"/>
      <c r="H3" s="1194"/>
      <c r="I3" s="1194"/>
    </row>
    <row r="4" spans="1:11" ht="13.8" thickBot="1">
      <c r="I4" s="245" t="s">
        <v>248</v>
      </c>
    </row>
    <row r="5" spans="1:11" ht="32.25" customHeight="1">
      <c r="A5" s="1195" t="s">
        <v>176</v>
      </c>
      <c r="B5" s="1204" t="s">
        <v>305</v>
      </c>
      <c r="C5" s="1197" t="s">
        <v>391</v>
      </c>
      <c r="D5" s="1198"/>
      <c r="E5" s="1199"/>
      <c r="F5" s="1200" t="s">
        <v>392</v>
      </c>
      <c r="G5" s="1201"/>
      <c r="H5" s="1199"/>
      <c r="I5" s="1202" t="s">
        <v>295</v>
      </c>
    </row>
    <row r="6" spans="1:11" ht="30.75" customHeight="1" thickBot="1">
      <c r="A6" s="1196"/>
      <c r="B6" s="1205"/>
      <c r="C6" s="224" t="s">
        <v>395</v>
      </c>
      <c r="D6" s="229" t="s">
        <v>215</v>
      </c>
      <c r="E6" s="226" t="s">
        <v>185</v>
      </c>
      <c r="F6" s="227" t="s">
        <v>393</v>
      </c>
      <c r="G6" s="225" t="s">
        <v>396</v>
      </c>
      <c r="H6" s="226" t="s">
        <v>394</v>
      </c>
      <c r="I6" s="1203"/>
    </row>
    <row r="7" spans="1:11" s="92" customFormat="1" ht="10.199999999999999">
      <c r="A7" s="160" t="s">
        <v>208</v>
      </c>
      <c r="B7" s="161" t="s">
        <v>380</v>
      </c>
      <c r="C7" s="192">
        <v>1</v>
      </c>
      <c r="D7" s="192">
        <f>+C7+1</f>
        <v>2</v>
      </c>
      <c r="E7" s="192">
        <f>+D7+1</f>
        <v>3</v>
      </c>
      <c r="F7" s="192">
        <f>+E7+1</f>
        <v>4</v>
      </c>
      <c r="G7" s="192">
        <f>+F7+1</f>
        <v>5</v>
      </c>
      <c r="H7" s="192">
        <f>+G7+1</f>
        <v>6</v>
      </c>
      <c r="I7" s="162">
        <v>7</v>
      </c>
    </row>
    <row r="8" spans="1:11" ht="15.6">
      <c r="A8" s="212">
        <v>1</v>
      </c>
      <c r="B8" s="207"/>
      <c r="C8" s="207"/>
      <c r="D8" s="207"/>
      <c r="E8" s="207"/>
      <c r="F8" s="207"/>
      <c r="G8" s="223"/>
      <c r="H8" s="223">
        <f>+F8-G8</f>
        <v>0</v>
      </c>
      <c r="I8" s="230"/>
    </row>
    <row r="9" spans="1:11" ht="15.6">
      <c r="A9" s="212">
        <f>+A8+1</f>
        <v>2</v>
      </c>
      <c r="B9" s="207"/>
      <c r="C9" s="207"/>
      <c r="D9" s="207"/>
      <c r="E9" s="207"/>
      <c r="F9" s="207"/>
      <c r="G9" s="223"/>
      <c r="H9" s="223">
        <f>+F9-G9</f>
        <v>0</v>
      </c>
      <c r="I9" s="230"/>
    </row>
    <row r="10" spans="1:11" ht="15.6">
      <c r="A10" s="212">
        <f>+A9+1</f>
        <v>3</v>
      </c>
      <c r="B10" s="207"/>
      <c r="C10" s="207"/>
      <c r="D10" s="207"/>
      <c r="E10" s="207"/>
      <c r="F10" s="207"/>
      <c r="G10" s="223"/>
      <c r="H10" s="223">
        <f>+F10-G10</f>
        <v>0</v>
      </c>
      <c r="I10" s="230"/>
    </row>
    <row r="11" spans="1:11" ht="15.6">
      <c r="A11" s="212">
        <f>+A10+1</f>
        <v>4</v>
      </c>
      <c r="B11" s="207"/>
      <c r="C11" s="207"/>
      <c r="D11" s="207"/>
      <c r="E11" s="207"/>
      <c r="F11" s="207"/>
      <c r="G11" s="223"/>
      <c r="H11" s="223">
        <f>+F11-G11</f>
        <v>0</v>
      </c>
      <c r="I11" s="230"/>
    </row>
    <row r="12" spans="1:11" ht="16.2" thickBot="1">
      <c r="A12" s="213"/>
      <c r="B12" s="218" t="s">
        <v>216</v>
      </c>
      <c r="C12" s="218">
        <f t="shared" ref="C12:H12" si="0">SUM(C8:C11)</f>
        <v>0</v>
      </c>
      <c r="D12" s="218">
        <f t="shared" si="0"/>
        <v>0</v>
      </c>
      <c r="E12" s="218">
        <f t="shared" si="0"/>
        <v>0</v>
      </c>
      <c r="F12" s="218">
        <f t="shared" si="0"/>
        <v>0</v>
      </c>
      <c r="G12" s="218">
        <f t="shared" si="0"/>
        <v>0</v>
      </c>
      <c r="H12" s="218">
        <f t="shared" si="0"/>
        <v>0</v>
      </c>
      <c r="I12" s="228"/>
    </row>
    <row r="13" spans="1:11" ht="15.6">
      <c r="A13" s="206"/>
      <c r="B13" s="219"/>
      <c r="C13" s="220"/>
      <c r="D13" s="220"/>
      <c r="E13" s="220"/>
      <c r="F13" s="221"/>
      <c r="G13" s="221"/>
      <c r="H13" s="221"/>
      <c r="I13" s="222"/>
    </row>
    <row r="14" spans="1:11" ht="15.6">
      <c r="A14" s="206"/>
      <c r="B14" s="219"/>
      <c r="C14" s="220"/>
      <c r="D14" s="220"/>
      <c r="E14" s="220"/>
      <c r="F14" s="221"/>
      <c r="G14" s="221"/>
      <c r="H14" s="221"/>
      <c r="I14" s="222"/>
    </row>
    <row r="15" spans="1:11" ht="13.8">
      <c r="B15" s="105" t="str">
        <f>""&amp;(Шаблон!B1)&amp;"нинг Ички Аудит"</f>
        <v>АТ "Халқ банк"нинг Ички Аудит</v>
      </c>
      <c r="F15" s="145"/>
      <c r="G15" s="145"/>
      <c r="H15" s="145"/>
      <c r="I15" s="145"/>
      <c r="J15" s="145"/>
      <c r="K15" s="105"/>
    </row>
    <row r="16" spans="1:11" ht="13.8">
      <c r="B16" s="6" t="s">
        <v>493</v>
      </c>
      <c r="F16" s="145"/>
      <c r="G16" s="145"/>
      <c r="H16" s="105" t="str">
        <f>Шаблон!B13</f>
        <v>А.Ҳазратқулов</v>
      </c>
      <c r="J16" s="145"/>
    </row>
    <row r="17" spans="2:10" ht="13.8">
      <c r="B17" s="105"/>
      <c r="F17" s="145"/>
      <c r="G17" s="145"/>
      <c r="H17" s="105"/>
      <c r="J17" s="145"/>
    </row>
    <row r="18" spans="2:10" ht="13.8">
      <c r="B18" s="105" t="str">
        <f>""&amp;(Шаблон!B1)&amp;" "&amp;(Шаблон!B2)&amp;" вилоят бошқармаси"</f>
        <v>АТ "Халқ банк" Фаргона вилояти вилоят бошқармаси</v>
      </c>
      <c r="F18" s="145"/>
      <c r="G18" s="145"/>
      <c r="H18" s="145"/>
      <c r="J18" s="145"/>
    </row>
    <row r="19" spans="2:10" ht="13.8">
      <c r="B19" s="105" t="str">
        <f>""&amp;(Шаблон!B3)&amp;" филиали бошқарувчиси:"</f>
        <v>Бешариқ филиали филиали бошқарувчиси:</v>
      </c>
      <c r="F19" s="145"/>
      <c r="G19" s="145"/>
      <c r="H19" s="105" t="str">
        <f>Шаблон!B5</f>
        <v>_____________</v>
      </c>
      <c r="J19" s="145"/>
    </row>
    <row r="20" spans="2:10" ht="13.8">
      <c r="B20" s="105"/>
      <c r="F20" s="145"/>
      <c r="G20" s="145"/>
      <c r="H20" s="145"/>
      <c r="J20" s="145"/>
    </row>
    <row r="21" spans="2:10" ht="13.8">
      <c r="B21" s="105" t="s">
        <v>4</v>
      </c>
      <c r="C21" s="145"/>
      <c r="D21" s="145"/>
      <c r="E21" s="145"/>
      <c r="F21" s="145"/>
      <c r="G21" s="145"/>
      <c r="H21" s="105" t="str">
        <f>Шаблон!B8</f>
        <v>_____________</v>
      </c>
      <c r="J21" s="145"/>
    </row>
  </sheetData>
  <mergeCells count="7">
    <mergeCell ref="A2:I2"/>
    <mergeCell ref="A3:I3"/>
    <mergeCell ref="A5:A6"/>
    <mergeCell ref="C5:E5"/>
    <mergeCell ref="F5:H5"/>
    <mergeCell ref="I5:I6"/>
    <mergeCell ref="B5:B6"/>
  </mergeCells>
  <phoneticPr fontId="41" type="noConversion"/>
  <pageMargins left="0.70866141732283472" right="0.70866141732283472" top="0.74803149606299213" bottom="0.74803149606299213" header="0.31496062992125984" footer="0.31496062992125984"/>
  <pageSetup paperSize="9" scale="92"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filterMode="1">
    <tabColor rgb="FFFFFF00"/>
  </sheetPr>
  <dimension ref="A1:J318"/>
  <sheetViews>
    <sheetView topLeftCell="A5" workbookViewId="0">
      <pane xSplit="4" ySplit="2" topLeftCell="E279" activePane="bottomRight" state="frozen"/>
      <selection activeCell="A5" sqref="A5"/>
      <selection pane="topRight" activeCell="D5" sqref="D5"/>
      <selection pane="bottomLeft" activeCell="A7" sqref="A7"/>
      <selection pane="bottomRight" activeCell="B300" sqref="B300"/>
    </sheetView>
  </sheetViews>
  <sheetFormatPr defaultColWidth="9.109375" defaultRowHeight="13.8"/>
  <cols>
    <col min="1" max="1" width="7.109375" style="124" bestFit="1" customWidth="1"/>
    <col min="2" max="2" width="10.6640625" style="124" customWidth="1"/>
    <col min="3" max="3" width="6.5546875" style="124" bestFit="1" customWidth="1"/>
    <col min="4" max="4" width="11.109375" style="124" customWidth="1"/>
    <col min="5" max="5" width="16.109375" style="243" customWidth="1"/>
    <col min="6" max="6" width="12.6640625" style="124" customWidth="1"/>
    <col min="7" max="7" width="31.88671875" style="124" customWidth="1"/>
    <col min="8" max="8" width="46.109375" style="244" customWidth="1"/>
    <col min="9" max="9" width="36" style="244" customWidth="1"/>
    <col min="10" max="10" width="10.88671875" style="124" customWidth="1"/>
    <col min="11" max="16384" width="9.109375" style="124"/>
  </cols>
  <sheetData>
    <row r="1" spans="1:10">
      <c r="I1" s="416" t="s">
        <v>148</v>
      </c>
    </row>
    <row r="2" spans="1:10">
      <c r="A2" s="1065" t="str">
        <f>""&amp;(Шаблон!B1)&amp;"нинг "&amp;(Шаблон!B2)&amp;" шахар "&amp;(Шаблон!B3)&amp;" филиалида харажат ҳисоб рақамларидан амалга оширилган нотўғри амалиётлар тўғрисида"</f>
        <v>АТ "Халқ банк"нинг Фаргона вилояти шахар Бешариқ филиали филиалида харажат ҳисоб рақамларидан амалга оширилган нотўғри амалиётлар тўғрисида</v>
      </c>
      <c r="B2" s="1065"/>
      <c r="C2" s="1065"/>
      <c r="D2" s="1065"/>
      <c r="E2" s="1065"/>
      <c r="F2" s="1065"/>
      <c r="G2" s="1065"/>
      <c r="H2" s="1065"/>
      <c r="I2" s="1065"/>
    </row>
    <row r="3" spans="1:10">
      <c r="A3" s="1065" t="s">
        <v>197</v>
      </c>
      <c r="B3" s="1065"/>
      <c r="C3" s="1065"/>
      <c r="D3" s="1065"/>
      <c r="E3" s="1065"/>
      <c r="F3" s="1065"/>
      <c r="G3" s="1065"/>
      <c r="H3" s="1065"/>
      <c r="I3" s="1065"/>
    </row>
    <row r="4" spans="1:10" ht="14.4" thickBot="1">
      <c r="I4" s="416" t="s">
        <v>248</v>
      </c>
    </row>
    <row r="5" spans="1:10" ht="56.25" customHeight="1" thickBot="1">
      <c r="A5" s="336" t="s">
        <v>213</v>
      </c>
      <c r="B5" s="337" t="s">
        <v>191</v>
      </c>
      <c r="C5" s="337"/>
      <c r="D5" s="337" t="s">
        <v>149</v>
      </c>
      <c r="E5" s="338" t="s">
        <v>501</v>
      </c>
      <c r="F5" s="337" t="s">
        <v>150</v>
      </c>
      <c r="G5" s="337" t="s">
        <v>502</v>
      </c>
      <c r="H5" s="337" t="s">
        <v>306</v>
      </c>
      <c r="I5" s="339" t="s">
        <v>503</v>
      </c>
      <c r="J5" s="339" t="s">
        <v>1032</v>
      </c>
    </row>
    <row r="6" spans="1:10" ht="12.75" customHeight="1">
      <c r="A6" s="417" t="s">
        <v>208</v>
      </c>
      <c r="B6" s="418" t="s">
        <v>209</v>
      </c>
      <c r="C6" s="418"/>
      <c r="D6" s="733">
        <v>1</v>
      </c>
      <c r="E6" s="419">
        <v>2</v>
      </c>
      <c r="F6" s="419">
        <v>3</v>
      </c>
      <c r="G6" s="419">
        <v>4</v>
      </c>
      <c r="H6" s="419">
        <v>5</v>
      </c>
      <c r="I6" s="420">
        <v>6</v>
      </c>
      <c r="J6" s="420">
        <v>7</v>
      </c>
    </row>
    <row r="7" spans="1:10" s="835" customFormat="1" ht="26.4">
      <c r="A7" s="827" t="e">
        <f>+#REF!+1</f>
        <v>#REF!</v>
      </c>
      <c r="B7" s="836" t="s">
        <v>2751</v>
      </c>
      <c r="C7" s="833" t="str">
        <f>+MID(B7,4,8)</f>
        <v>03.2018</v>
      </c>
      <c r="D7" s="836" t="s">
        <v>2761</v>
      </c>
      <c r="E7" s="834">
        <v>558000</v>
      </c>
      <c r="F7" s="837" t="s">
        <v>2759</v>
      </c>
      <c r="G7" s="838" t="s">
        <v>2760</v>
      </c>
      <c r="H7" s="839" t="s">
        <v>2758</v>
      </c>
      <c r="I7" s="839"/>
      <c r="J7" s="829"/>
    </row>
    <row r="8" spans="1:10" s="835" customFormat="1" ht="39.6">
      <c r="A8" s="865"/>
      <c r="B8" s="806" t="s">
        <v>3368</v>
      </c>
      <c r="C8" s="833" t="str">
        <f t="shared" ref="C8:C70" si="0">+MID(B8,4,8)</f>
        <v>02.2016</v>
      </c>
      <c r="D8" s="806" t="s">
        <v>3629</v>
      </c>
      <c r="E8" s="647">
        <v>600000</v>
      </c>
      <c r="F8" s="837" t="s">
        <v>3625</v>
      </c>
      <c r="G8" s="838" t="s">
        <v>2861</v>
      </c>
      <c r="H8" s="839" t="s">
        <v>3630</v>
      </c>
      <c r="I8" s="866"/>
      <c r="J8" s="867"/>
    </row>
    <row r="9" spans="1:10" s="835" customFormat="1" ht="39.6" hidden="1">
      <c r="A9" s="865"/>
      <c r="B9" s="806" t="s">
        <v>2069</v>
      </c>
      <c r="C9" s="833" t="str">
        <f t="shared" si="0"/>
        <v>03.2016</v>
      </c>
      <c r="D9" s="806" t="s">
        <v>3629</v>
      </c>
      <c r="E9" s="647">
        <v>1200000</v>
      </c>
      <c r="F9" s="837" t="s">
        <v>3625</v>
      </c>
      <c r="G9" s="838" t="s">
        <v>2861</v>
      </c>
      <c r="H9" s="839" t="s">
        <v>3631</v>
      </c>
      <c r="I9" s="866"/>
      <c r="J9" s="867"/>
    </row>
    <row r="10" spans="1:10" s="835" customFormat="1" ht="26.4" hidden="1">
      <c r="A10" s="865"/>
      <c r="B10" s="806" t="s">
        <v>3626</v>
      </c>
      <c r="C10" s="833" t="str">
        <f t="shared" si="0"/>
        <v>06.2016</v>
      </c>
      <c r="D10" s="806" t="s">
        <v>3629</v>
      </c>
      <c r="E10" s="647">
        <v>600000</v>
      </c>
      <c r="F10" s="837" t="s">
        <v>3625</v>
      </c>
      <c r="G10" s="838" t="s">
        <v>2861</v>
      </c>
      <c r="H10" s="839" t="s">
        <v>3632</v>
      </c>
      <c r="I10" s="866"/>
      <c r="J10" s="867"/>
    </row>
    <row r="11" spans="1:10" s="835" customFormat="1" ht="39.6">
      <c r="A11" s="865"/>
      <c r="B11" s="806" t="s">
        <v>3627</v>
      </c>
      <c r="C11" s="833" t="str">
        <f t="shared" si="0"/>
        <v>01.2017</v>
      </c>
      <c r="D11" s="806" t="s">
        <v>3629</v>
      </c>
      <c r="E11" s="647">
        <v>1540000</v>
      </c>
      <c r="F11" s="837" t="s">
        <v>3625</v>
      </c>
      <c r="G11" s="838" t="s">
        <v>2861</v>
      </c>
      <c r="H11" s="839" t="s">
        <v>3633</v>
      </c>
      <c r="I11" s="866"/>
      <c r="J11" s="867"/>
    </row>
    <row r="12" spans="1:10" s="880" customFormat="1" ht="39.6" hidden="1">
      <c r="A12" s="873"/>
      <c r="B12" s="869" t="s">
        <v>3639</v>
      </c>
      <c r="C12" s="874" t="str">
        <f t="shared" si="0"/>
        <v>03.2017</v>
      </c>
      <c r="D12" s="869" t="s">
        <v>3638</v>
      </c>
      <c r="E12" s="742">
        <v>1155000</v>
      </c>
      <c r="F12" s="875" t="s">
        <v>3636</v>
      </c>
      <c r="G12" s="876" t="s">
        <v>3634</v>
      </c>
      <c r="H12" s="877" t="s">
        <v>3650</v>
      </c>
      <c r="I12" s="878"/>
      <c r="J12" s="879"/>
    </row>
    <row r="13" spans="1:10" s="835" customFormat="1" ht="39.6">
      <c r="A13" s="865"/>
      <c r="B13" s="806" t="s">
        <v>3640</v>
      </c>
      <c r="C13" s="833" t="str">
        <f t="shared" si="0"/>
        <v>04.2017</v>
      </c>
      <c r="D13" s="806" t="s">
        <v>3638</v>
      </c>
      <c r="E13" s="647">
        <v>385000</v>
      </c>
      <c r="F13" s="837" t="s">
        <v>3636</v>
      </c>
      <c r="G13" s="838" t="s">
        <v>3634</v>
      </c>
      <c r="H13" s="839" t="s">
        <v>3651</v>
      </c>
      <c r="I13" s="866"/>
      <c r="J13" s="867"/>
    </row>
    <row r="14" spans="1:10" s="880" customFormat="1" ht="39.6" hidden="1">
      <c r="A14" s="873"/>
      <c r="B14" s="869" t="s">
        <v>2781</v>
      </c>
      <c r="C14" s="874" t="str">
        <f t="shared" si="0"/>
        <v>07.2017</v>
      </c>
      <c r="D14" s="869" t="s">
        <v>3638</v>
      </c>
      <c r="E14" s="742">
        <v>385000</v>
      </c>
      <c r="F14" s="875" t="s">
        <v>3636</v>
      </c>
      <c r="G14" s="876" t="s">
        <v>3634</v>
      </c>
      <c r="H14" s="877" t="s">
        <v>3652</v>
      </c>
      <c r="I14" s="878"/>
      <c r="J14" s="879"/>
    </row>
    <row r="15" spans="1:10" s="835" customFormat="1" ht="39.6">
      <c r="A15" s="865"/>
      <c r="B15" s="806" t="s">
        <v>2781</v>
      </c>
      <c r="C15" s="833" t="str">
        <f t="shared" si="0"/>
        <v>07.2017</v>
      </c>
      <c r="D15" s="806" t="s">
        <v>3638</v>
      </c>
      <c r="E15" s="647">
        <v>770000</v>
      </c>
      <c r="F15" s="837" t="s">
        <v>3636</v>
      </c>
      <c r="G15" s="838" t="s">
        <v>3634</v>
      </c>
      <c r="H15" s="839" t="s">
        <v>3652</v>
      </c>
      <c r="I15" s="866"/>
      <c r="J15" s="867"/>
    </row>
    <row r="16" spans="1:10" s="880" customFormat="1" ht="26.4" hidden="1">
      <c r="A16" s="873"/>
      <c r="B16" s="869" t="s">
        <v>3642</v>
      </c>
      <c r="C16" s="874" t="str">
        <f t="shared" si="0"/>
        <v>10.2017</v>
      </c>
      <c r="D16" s="869" t="s">
        <v>3638</v>
      </c>
      <c r="E16" s="742">
        <v>1155000</v>
      </c>
      <c r="F16" s="875" t="s">
        <v>3636</v>
      </c>
      <c r="G16" s="876" t="s">
        <v>3634</v>
      </c>
      <c r="H16" s="877" t="s">
        <v>3653</v>
      </c>
      <c r="I16" s="878"/>
      <c r="J16" s="879"/>
    </row>
    <row r="17" spans="1:10" s="880" customFormat="1" ht="39.6" hidden="1">
      <c r="A17" s="873"/>
      <c r="B17" s="869" t="s">
        <v>2707</v>
      </c>
      <c r="C17" s="874" t="str">
        <f t="shared" si="0"/>
        <v>12.2017</v>
      </c>
      <c r="D17" s="869" t="s">
        <v>3638</v>
      </c>
      <c r="E17" s="742">
        <v>770000</v>
      </c>
      <c r="F17" s="875" t="s">
        <v>3637</v>
      </c>
      <c r="G17" s="876" t="s">
        <v>3635</v>
      </c>
      <c r="H17" s="877" t="s">
        <v>3654</v>
      </c>
      <c r="I17" s="878"/>
      <c r="J17" s="879"/>
    </row>
    <row r="18" spans="1:10" s="880" customFormat="1" ht="52.8" hidden="1">
      <c r="A18" s="873"/>
      <c r="B18" s="869" t="s">
        <v>3643</v>
      </c>
      <c r="C18" s="874" t="str">
        <f t="shared" si="0"/>
        <v>01.2018</v>
      </c>
      <c r="D18" s="869" t="s">
        <v>3638</v>
      </c>
      <c r="E18" s="742">
        <v>385000</v>
      </c>
      <c r="F18" s="875" t="s">
        <v>3637</v>
      </c>
      <c r="G18" s="876" t="s">
        <v>3635</v>
      </c>
      <c r="H18" s="877" t="s">
        <v>3655</v>
      </c>
      <c r="I18" s="878"/>
      <c r="J18" s="879"/>
    </row>
    <row r="19" spans="1:10" s="880" customFormat="1" ht="39.6" hidden="1">
      <c r="A19" s="873"/>
      <c r="B19" s="869" t="s">
        <v>3644</v>
      </c>
      <c r="C19" s="874" t="str">
        <f t="shared" si="0"/>
        <v>02.2018</v>
      </c>
      <c r="D19" s="869" t="s">
        <v>3638</v>
      </c>
      <c r="E19" s="742">
        <v>385000</v>
      </c>
      <c r="F19" s="875" t="s">
        <v>3637</v>
      </c>
      <c r="G19" s="876" t="s">
        <v>3635</v>
      </c>
      <c r="H19" s="877" t="s">
        <v>3656</v>
      </c>
      <c r="I19" s="878"/>
      <c r="J19" s="879"/>
    </row>
    <row r="20" spans="1:10" s="880" customFormat="1" ht="39.6" hidden="1">
      <c r="A20" s="873"/>
      <c r="B20" s="869" t="s">
        <v>3646</v>
      </c>
      <c r="C20" s="874" t="str">
        <f t="shared" si="0"/>
        <v>04.2018</v>
      </c>
      <c r="D20" s="869" t="s">
        <v>3638</v>
      </c>
      <c r="E20" s="742">
        <v>385000</v>
      </c>
      <c r="F20" s="875" t="s">
        <v>3637</v>
      </c>
      <c r="G20" s="876" t="s">
        <v>3635</v>
      </c>
      <c r="H20" s="877" t="s">
        <v>3659</v>
      </c>
      <c r="I20" s="878"/>
      <c r="J20" s="879"/>
    </row>
    <row r="21" spans="1:10" s="880" customFormat="1" ht="39.6" hidden="1">
      <c r="A21" s="873"/>
      <c r="B21" s="869" t="s">
        <v>3190</v>
      </c>
      <c r="C21" s="874" t="str">
        <f t="shared" si="0"/>
        <v>05.2018</v>
      </c>
      <c r="D21" s="869" t="s">
        <v>3638</v>
      </c>
      <c r="E21" s="742">
        <v>385000</v>
      </c>
      <c r="F21" s="875" t="s">
        <v>3637</v>
      </c>
      <c r="G21" s="876" t="s">
        <v>3635</v>
      </c>
      <c r="H21" s="877" t="s">
        <v>3660</v>
      </c>
      <c r="I21" s="878"/>
      <c r="J21" s="879"/>
    </row>
    <row r="22" spans="1:10" s="880" customFormat="1" ht="39.6" hidden="1">
      <c r="A22" s="873"/>
      <c r="B22" s="869" t="s">
        <v>3190</v>
      </c>
      <c r="C22" s="874" t="str">
        <f t="shared" si="0"/>
        <v>05.2018</v>
      </c>
      <c r="D22" s="869" t="s">
        <v>3638</v>
      </c>
      <c r="E22" s="742">
        <v>385000</v>
      </c>
      <c r="F22" s="875" t="s">
        <v>3637</v>
      </c>
      <c r="G22" s="876" t="s">
        <v>3635</v>
      </c>
      <c r="H22" s="877" t="s">
        <v>3661</v>
      </c>
      <c r="I22" s="878"/>
      <c r="J22" s="879"/>
    </row>
    <row r="23" spans="1:10" s="880" customFormat="1" ht="39.6" hidden="1">
      <c r="A23" s="873"/>
      <c r="B23" s="869" t="s">
        <v>3648</v>
      </c>
      <c r="C23" s="874" t="str">
        <f t="shared" si="0"/>
        <v>07.2018</v>
      </c>
      <c r="D23" s="869" t="s">
        <v>3638</v>
      </c>
      <c r="E23" s="742">
        <v>385000</v>
      </c>
      <c r="F23" s="875" t="s">
        <v>3637</v>
      </c>
      <c r="G23" s="876" t="s">
        <v>3635</v>
      </c>
      <c r="H23" s="877" t="s">
        <v>3664</v>
      </c>
      <c r="I23" s="878"/>
      <c r="J23" s="879"/>
    </row>
    <row r="24" spans="1:10" s="880" customFormat="1" ht="39.6" hidden="1">
      <c r="A24" s="873"/>
      <c r="B24" s="869" t="s">
        <v>3649</v>
      </c>
      <c r="C24" s="874" t="str">
        <f t="shared" si="0"/>
        <v>08.2018</v>
      </c>
      <c r="D24" s="869" t="s">
        <v>3638</v>
      </c>
      <c r="E24" s="742">
        <v>1155000</v>
      </c>
      <c r="F24" s="875" t="s">
        <v>3637</v>
      </c>
      <c r="G24" s="876" t="s">
        <v>3635</v>
      </c>
      <c r="H24" s="877" t="s">
        <v>3665</v>
      </c>
      <c r="I24" s="878"/>
      <c r="J24" s="879"/>
    </row>
    <row r="25" spans="1:10" s="835" customFormat="1" ht="26.4" hidden="1">
      <c r="A25" s="865"/>
      <c r="B25" s="806" t="s">
        <v>3042</v>
      </c>
      <c r="C25" s="833" t="str">
        <f t="shared" si="0"/>
        <v>11.2016</v>
      </c>
      <c r="D25" s="806" t="s">
        <v>3668</v>
      </c>
      <c r="E25" s="647">
        <v>28539</v>
      </c>
      <c r="F25" s="837" t="s">
        <v>3666</v>
      </c>
      <c r="G25" s="838" t="s">
        <v>3667</v>
      </c>
      <c r="H25" s="839" t="s">
        <v>3669</v>
      </c>
      <c r="I25" s="866"/>
      <c r="J25" s="867"/>
    </row>
    <row r="26" spans="1:10" s="880" customFormat="1" ht="39.6" hidden="1">
      <c r="A26" s="873"/>
      <c r="B26" s="869" t="s">
        <v>3639</v>
      </c>
      <c r="C26" s="874" t="str">
        <f t="shared" si="0"/>
        <v>03.2017</v>
      </c>
      <c r="D26" s="869" t="s">
        <v>3679</v>
      </c>
      <c r="E26" s="742">
        <v>43560</v>
      </c>
      <c r="F26" s="875" t="s">
        <v>3670</v>
      </c>
      <c r="G26" s="876" t="s">
        <v>3671</v>
      </c>
      <c r="H26" s="877" t="s">
        <v>3680</v>
      </c>
      <c r="I26" s="878"/>
      <c r="J26" s="879"/>
    </row>
    <row r="27" spans="1:10" s="880" customFormat="1" ht="39.6" hidden="1">
      <c r="A27" s="873"/>
      <c r="B27" s="869" t="s">
        <v>3017</v>
      </c>
      <c r="C27" s="874" t="str">
        <f t="shared" si="0"/>
        <v>07.2017</v>
      </c>
      <c r="D27" s="869" t="s">
        <v>3679</v>
      </c>
      <c r="E27" s="742">
        <v>14940</v>
      </c>
      <c r="F27" s="875" t="s">
        <v>3670</v>
      </c>
      <c r="G27" s="876" t="s">
        <v>3671</v>
      </c>
      <c r="H27" s="877" t="s">
        <v>3681</v>
      </c>
      <c r="I27" s="878"/>
      <c r="J27" s="879"/>
    </row>
    <row r="28" spans="1:10" s="880" customFormat="1" ht="39.6" hidden="1">
      <c r="A28" s="873"/>
      <c r="B28" s="869" t="s">
        <v>3017</v>
      </c>
      <c r="C28" s="874" t="str">
        <f t="shared" si="0"/>
        <v>07.2017</v>
      </c>
      <c r="D28" s="869" t="s">
        <v>3679</v>
      </c>
      <c r="E28" s="742">
        <v>43560</v>
      </c>
      <c r="F28" s="875" t="s">
        <v>3670</v>
      </c>
      <c r="G28" s="876" t="s">
        <v>3671</v>
      </c>
      <c r="H28" s="877" t="s">
        <v>3682</v>
      </c>
      <c r="I28" s="878"/>
      <c r="J28" s="879"/>
    </row>
    <row r="29" spans="1:10" s="880" customFormat="1" ht="39.6" hidden="1">
      <c r="A29" s="873"/>
      <c r="B29" s="869" t="s">
        <v>3672</v>
      </c>
      <c r="C29" s="874" t="str">
        <f t="shared" si="0"/>
        <v>08.2017</v>
      </c>
      <c r="D29" s="869" t="s">
        <v>3679</v>
      </c>
      <c r="E29" s="742">
        <v>43560</v>
      </c>
      <c r="F29" s="875" t="s">
        <v>3670</v>
      </c>
      <c r="G29" s="876" t="s">
        <v>3671</v>
      </c>
      <c r="H29" s="877" t="s">
        <v>3683</v>
      </c>
      <c r="I29" s="878"/>
      <c r="J29" s="879"/>
    </row>
    <row r="30" spans="1:10" s="880" customFormat="1" ht="39.6" hidden="1">
      <c r="A30" s="873"/>
      <c r="B30" s="869" t="s">
        <v>3673</v>
      </c>
      <c r="C30" s="874" t="str">
        <f t="shared" si="0"/>
        <v>08.2017</v>
      </c>
      <c r="D30" s="869" t="s">
        <v>3679</v>
      </c>
      <c r="E30" s="742">
        <v>43560</v>
      </c>
      <c r="F30" s="875" t="s">
        <v>3670</v>
      </c>
      <c r="G30" s="876" t="s">
        <v>3671</v>
      </c>
      <c r="H30" s="877" t="s">
        <v>3684</v>
      </c>
      <c r="I30" s="878"/>
      <c r="J30" s="879"/>
    </row>
    <row r="31" spans="1:10" s="880" customFormat="1" ht="39.6" hidden="1">
      <c r="A31" s="873"/>
      <c r="B31" s="869" t="s">
        <v>3641</v>
      </c>
      <c r="C31" s="874" t="str">
        <f t="shared" si="0"/>
        <v>09.2017</v>
      </c>
      <c r="D31" s="869" t="s">
        <v>3679</v>
      </c>
      <c r="E31" s="742">
        <v>43560</v>
      </c>
      <c r="F31" s="875" t="s">
        <v>3670</v>
      </c>
      <c r="G31" s="876" t="s">
        <v>3671</v>
      </c>
      <c r="H31" s="877" t="s">
        <v>3685</v>
      </c>
      <c r="I31" s="878"/>
      <c r="J31" s="879"/>
    </row>
    <row r="32" spans="1:10" s="880" customFormat="1" ht="39.6" hidden="1">
      <c r="A32" s="873"/>
      <c r="B32" s="869" t="s">
        <v>3026</v>
      </c>
      <c r="C32" s="874" t="str">
        <f t="shared" si="0"/>
        <v>11.2017</v>
      </c>
      <c r="D32" s="869" t="s">
        <v>3679</v>
      </c>
      <c r="E32" s="742">
        <v>71070</v>
      </c>
      <c r="F32" s="875" t="s">
        <v>3670</v>
      </c>
      <c r="G32" s="876" t="s">
        <v>3671</v>
      </c>
      <c r="H32" s="877" t="s">
        <v>3686</v>
      </c>
      <c r="I32" s="878"/>
      <c r="J32" s="879"/>
    </row>
    <row r="33" spans="1:10" s="880" customFormat="1" ht="39.6" hidden="1">
      <c r="A33" s="873"/>
      <c r="B33" s="869" t="s">
        <v>2709</v>
      </c>
      <c r="C33" s="874" t="str">
        <f t="shared" si="0"/>
        <v>12.2017</v>
      </c>
      <c r="D33" s="869" t="s">
        <v>3679</v>
      </c>
      <c r="E33" s="742">
        <v>52530</v>
      </c>
      <c r="F33" s="875" t="s">
        <v>3637</v>
      </c>
      <c r="G33" s="876" t="s">
        <v>3635</v>
      </c>
      <c r="H33" s="877" t="s">
        <v>3687</v>
      </c>
      <c r="I33" s="878"/>
      <c r="J33" s="879"/>
    </row>
    <row r="34" spans="1:10" s="835" customFormat="1" ht="39.6">
      <c r="A34" s="865"/>
      <c r="B34" s="806" t="s">
        <v>2687</v>
      </c>
      <c r="C34" s="833" t="str">
        <f t="shared" si="0"/>
        <v>02.2018</v>
      </c>
      <c r="D34" s="806" t="s">
        <v>3679</v>
      </c>
      <c r="E34" s="647">
        <v>40170</v>
      </c>
      <c r="F34" s="837" t="s">
        <v>3637</v>
      </c>
      <c r="G34" s="838" t="s">
        <v>3635</v>
      </c>
      <c r="H34" s="839" t="s">
        <v>3688</v>
      </c>
      <c r="I34" s="866"/>
      <c r="J34" s="867"/>
    </row>
    <row r="35" spans="1:10" s="880" customFormat="1" ht="39.6" hidden="1">
      <c r="A35" s="873"/>
      <c r="B35" s="869" t="s">
        <v>3674</v>
      </c>
      <c r="C35" s="874" t="str">
        <f t="shared" si="0"/>
        <v>02.2018</v>
      </c>
      <c r="D35" s="869" t="s">
        <v>3679</v>
      </c>
      <c r="E35" s="742">
        <v>52530</v>
      </c>
      <c r="F35" s="875" t="s">
        <v>3637</v>
      </c>
      <c r="G35" s="876" t="s">
        <v>3635</v>
      </c>
      <c r="H35" s="877" t="s">
        <v>3689</v>
      </c>
      <c r="I35" s="878"/>
      <c r="J35" s="879"/>
    </row>
    <row r="36" spans="1:10" s="835" customFormat="1" ht="39.6">
      <c r="A36" s="865"/>
      <c r="B36" s="806" t="s">
        <v>2694</v>
      </c>
      <c r="C36" s="833" t="str">
        <f t="shared" si="0"/>
        <v>03.2018</v>
      </c>
      <c r="D36" s="806" t="s">
        <v>3679</v>
      </c>
      <c r="E36" s="647">
        <v>74160</v>
      </c>
      <c r="F36" s="837" t="s">
        <v>3637</v>
      </c>
      <c r="G36" s="838" t="s">
        <v>3635</v>
      </c>
      <c r="H36" s="839" t="s">
        <v>3690</v>
      </c>
      <c r="I36" s="866"/>
      <c r="J36" s="867"/>
    </row>
    <row r="37" spans="1:10" s="880" customFormat="1" ht="39.6" hidden="1">
      <c r="A37" s="873"/>
      <c r="B37" s="869" t="s">
        <v>3675</v>
      </c>
      <c r="C37" s="874" t="str">
        <f t="shared" si="0"/>
        <v>05.2018</v>
      </c>
      <c r="D37" s="869" t="s">
        <v>3679</v>
      </c>
      <c r="E37" s="742">
        <v>50304</v>
      </c>
      <c r="F37" s="875" t="s">
        <v>3637</v>
      </c>
      <c r="G37" s="876" t="s">
        <v>3635</v>
      </c>
      <c r="H37" s="877" t="s">
        <v>3691</v>
      </c>
      <c r="I37" s="878"/>
      <c r="J37" s="879"/>
    </row>
    <row r="38" spans="1:10" s="835" customFormat="1" ht="39.6">
      <c r="A38" s="865"/>
      <c r="B38" s="806" t="s">
        <v>3676</v>
      </c>
      <c r="C38" s="833" t="str">
        <f t="shared" si="0"/>
        <v>05.2018</v>
      </c>
      <c r="D38" s="806" t="s">
        <v>3679</v>
      </c>
      <c r="E38" s="647">
        <v>72312</v>
      </c>
      <c r="F38" s="837" t="s">
        <v>3637</v>
      </c>
      <c r="G38" s="838" t="s">
        <v>3635</v>
      </c>
      <c r="H38" s="839" t="s">
        <v>3692</v>
      </c>
      <c r="I38" s="866"/>
      <c r="J38" s="867"/>
    </row>
    <row r="39" spans="1:10" s="880" customFormat="1" ht="39.6" hidden="1">
      <c r="A39" s="873"/>
      <c r="B39" s="869" t="s">
        <v>3677</v>
      </c>
      <c r="C39" s="874" t="str">
        <f t="shared" si="0"/>
        <v>06.2018</v>
      </c>
      <c r="D39" s="869" t="s">
        <v>3679</v>
      </c>
      <c r="E39" s="742">
        <v>65484</v>
      </c>
      <c r="F39" s="875" t="s">
        <v>3637</v>
      </c>
      <c r="G39" s="876" t="s">
        <v>3635</v>
      </c>
      <c r="H39" s="877" t="s">
        <v>3693</v>
      </c>
      <c r="I39" s="878"/>
      <c r="J39" s="879"/>
    </row>
    <row r="40" spans="1:10" s="880" customFormat="1" ht="39.6" hidden="1">
      <c r="A40" s="873"/>
      <c r="B40" s="869" t="s">
        <v>3678</v>
      </c>
      <c r="C40" s="874" t="str">
        <f t="shared" si="0"/>
        <v>07.2018</v>
      </c>
      <c r="D40" s="869" t="s">
        <v>3679</v>
      </c>
      <c r="E40" s="742">
        <v>65484</v>
      </c>
      <c r="F40" s="875" t="s">
        <v>3670</v>
      </c>
      <c r="G40" s="876" t="s">
        <v>3671</v>
      </c>
      <c r="H40" s="877" t="s">
        <v>3694</v>
      </c>
      <c r="I40" s="878"/>
      <c r="J40" s="879"/>
    </row>
    <row r="41" spans="1:10" s="835" customFormat="1" ht="39.6">
      <c r="A41" s="865"/>
      <c r="B41" s="806" t="s">
        <v>3036</v>
      </c>
      <c r="C41" s="833" t="str">
        <f t="shared" si="0"/>
        <v>07.2018</v>
      </c>
      <c r="D41" s="806" t="s">
        <v>3679</v>
      </c>
      <c r="E41" s="647">
        <v>101964</v>
      </c>
      <c r="F41" s="837" t="s">
        <v>3637</v>
      </c>
      <c r="G41" s="838" t="s">
        <v>3635</v>
      </c>
      <c r="H41" s="839" t="s">
        <v>3695</v>
      </c>
      <c r="I41" s="866"/>
      <c r="J41" s="867"/>
    </row>
    <row r="42" spans="1:10" s="880" customFormat="1" ht="39.6" hidden="1">
      <c r="A42" s="873"/>
      <c r="B42" s="869" t="s">
        <v>3639</v>
      </c>
      <c r="C42" s="874" t="str">
        <f t="shared" si="0"/>
        <v>03.2017</v>
      </c>
      <c r="D42" s="869" t="s">
        <v>3696</v>
      </c>
      <c r="E42" s="742">
        <v>812739</v>
      </c>
      <c r="F42" s="875" t="s">
        <v>3701</v>
      </c>
      <c r="G42" s="876" t="s">
        <v>3702</v>
      </c>
      <c r="H42" s="877" t="s">
        <v>3707</v>
      </c>
      <c r="I42" s="878"/>
      <c r="J42" s="879"/>
    </row>
    <row r="43" spans="1:10" s="880" customFormat="1" ht="39.6" hidden="1">
      <c r="A43" s="873"/>
      <c r="B43" s="869" t="s">
        <v>3640</v>
      </c>
      <c r="C43" s="874" t="str">
        <f t="shared" si="0"/>
        <v>04.2017</v>
      </c>
      <c r="D43" s="869" t="s">
        <v>3696</v>
      </c>
      <c r="E43" s="742">
        <v>342936</v>
      </c>
      <c r="F43" s="875" t="s">
        <v>3701</v>
      </c>
      <c r="G43" s="876" t="s">
        <v>3702</v>
      </c>
      <c r="H43" s="877" t="s">
        <v>3708</v>
      </c>
      <c r="I43" s="878"/>
      <c r="J43" s="879"/>
    </row>
    <row r="44" spans="1:10" s="835" customFormat="1" ht="39.6" hidden="1">
      <c r="A44" s="865"/>
      <c r="B44" s="806" t="s">
        <v>2942</v>
      </c>
      <c r="C44" s="833" t="str">
        <f t="shared" si="0"/>
        <v>01.2016</v>
      </c>
      <c r="D44" s="806" t="s">
        <v>3697</v>
      </c>
      <c r="E44" s="647">
        <v>604482.19999999995</v>
      </c>
      <c r="F44" s="837" t="s">
        <v>3703</v>
      </c>
      <c r="G44" s="838" t="s">
        <v>3704</v>
      </c>
      <c r="H44" s="839" t="s">
        <v>3709</v>
      </c>
      <c r="I44" s="866"/>
      <c r="J44" s="867"/>
    </row>
    <row r="45" spans="1:10" s="835" customFormat="1" ht="39.6">
      <c r="A45" s="865"/>
      <c r="B45" s="806" t="s">
        <v>3854</v>
      </c>
      <c r="C45" s="833" t="str">
        <f t="shared" si="0"/>
        <v>02.2016</v>
      </c>
      <c r="D45" s="806" t="s">
        <v>3697</v>
      </c>
      <c r="E45" s="647">
        <v>603948.80000000005</v>
      </c>
      <c r="F45" s="837" t="s">
        <v>3703</v>
      </c>
      <c r="G45" s="838" t="s">
        <v>3704</v>
      </c>
      <c r="H45" s="839" t="s">
        <v>3710</v>
      </c>
      <c r="I45" s="866"/>
      <c r="J45" s="867"/>
    </row>
    <row r="46" spans="1:10" s="835" customFormat="1" ht="26.4" hidden="1">
      <c r="A46" s="865"/>
      <c r="B46" s="806" t="s">
        <v>2069</v>
      </c>
      <c r="C46" s="833" t="str">
        <f t="shared" si="0"/>
        <v>03.2016</v>
      </c>
      <c r="D46" s="806" t="s">
        <v>3697</v>
      </c>
      <c r="E46" s="647">
        <v>420168</v>
      </c>
      <c r="F46" s="837" t="s">
        <v>3703</v>
      </c>
      <c r="G46" s="838" t="s">
        <v>3704</v>
      </c>
      <c r="H46" s="839" t="s">
        <v>3711</v>
      </c>
      <c r="I46" s="866"/>
      <c r="J46" s="867"/>
    </row>
    <row r="47" spans="1:10" s="835" customFormat="1" ht="39.6" hidden="1">
      <c r="A47" s="865"/>
      <c r="B47" s="806" t="s">
        <v>2071</v>
      </c>
      <c r="C47" s="833" t="str">
        <f t="shared" si="0"/>
        <v>05.2016</v>
      </c>
      <c r="D47" s="806" t="s">
        <v>3697</v>
      </c>
      <c r="E47" s="647">
        <v>254321.2</v>
      </c>
      <c r="F47" s="837" t="s">
        <v>3703</v>
      </c>
      <c r="G47" s="838" t="s">
        <v>3704</v>
      </c>
      <c r="H47" s="839" t="s">
        <v>3712</v>
      </c>
      <c r="I47" s="866"/>
      <c r="J47" s="867"/>
    </row>
    <row r="48" spans="1:10" s="835" customFormat="1" ht="39.6" hidden="1">
      <c r="A48" s="865"/>
      <c r="B48" s="806" t="s">
        <v>2071</v>
      </c>
      <c r="C48" s="833" t="str">
        <f t="shared" si="0"/>
        <v>05.2016</v>
      </c>
      <c r="D48" s="806" t="s">
        <v>3697</v>
      </c>
      <c r="E48" s="647">
        <v>395914.4</v>
      </c>
      <c r="F48" s="837" t="s">
        <v>3703</v>
      </c>
      <c r="G48" s="838" t="s">
        <v>3704</v>
      </c>
      <c r="H48" s="839" t="s">
        <v>3713</v>
      </c>
      <c r="I48" s="866"/>
      <c r="J48" s="867"/>
    </row>
    <row r="49" spans="1:10" s="835" customFormat="1" ht="39.6" hidden="1">
      <c r="A49" s="865"/>
      <c r="B49" s="806" t="s">
        <v>3039</v>
      </c>
      <c r="C49" s="833" t="str">
        <f t="shared" si="0"/>
        <v>05.2016</v>
      </c>
      <c r="D49" s="806" t="s">
        <v>3697</v>
      </c>
      <c r="E49" s="647">
        <v>304267.59999999998</v>
      </c>
      <c r="F49" s="837" t="s">
        <v>3703</v>
      </c>
      <c r="G49" s="838" t="s">
        <v>3704</v>
      </c>
      <c r="H49" s="839" t="s">
        <v>3714</v>
      </c>
      <c r="I49" s="866"/>
      <c r="J49" s="867"/>
    </row>
    <row r="50" spans="1:10" s="835" customFormat="1" ht="26.4" hidden="1">
      <c r="A50" s="865"/>
      <c r="B50" s="806" t="s">
        <v>3838</v>
      </c>
      <c r="C50" s="833" t="str">
        <f t="shared" si="0"/>
        <v>06.2016</v>
      </c>
      <c r="D50" s="806" t="s">
        <v>3697</v>
      </c>
      <c r="E50" s="647">
        <v>339273.9</v>
      </c>
      <c r="F50" s="837" t="s">
        <v>3703</v>
      </c>
      <c r="G50" s="838" t="s">
        <v>3704</v>
      </c>
      <c r="H50" s="839" t="s">
        <v>3715</v>
      </c>
      <c r="I50" s="866"/>
      <c r="J50" s="867"/>
    </row>
    <row r="51" spans="1:10" s="835" customFormat="1" ht="26.4" hidden="1">
      <c r="A51" s="865"/>
      <c r="B51" s="806" t="s">
        <v>3855</v>
      </c>
      <c r="C51" s="833" t="str">
        <f t="shared" si="0"/>
        <v>07.2016</v>
      </c>
      <c r="D51" s="806" t="s">
        <v>3697</v>
      </c>
      <c r="E51" s="647">
        <v>592940.1</v>
      </c>
      <c r="F51" s="837" t="s">
        <v>3703</v>
      </c>
      <c r="G51" s="838" t="s">
        <v>3704</v>
      </c>
      <c r="H51" s="839" t="s">
        <v>3716</v>
      </c>
      <c r="I51" s="866"/>
      <c r="J51" s="867"/>
    </row>
    <row r="52" spans="1:10" s="835" customFormat="1" ht="26.4" hidden="1">
      <c r="A52" s="865"/>
      <c r="B52" s="806" t="s">
        <v>3856</v>
      </c>
      <c r="C52" s="833" t="str">
        <f t="shared" si="0"/>
        <v>08.2016</v>
      </c>
      <c r="D52" s="806" t="s">
        <v>3697</v>
      </c>
      <c r="E52" s="647">
        <v>747628.2</v>
      </c>
      <c r="F52" s="837" t="s">
        <v>3703</v>
      </c>
      <c r="G52" s="838" t="s">
        <v>3704</v>
      </c>
      <c r="H52" s="839" t="s">
        <v>3717</v>
      </c>
      <c r="I52" s="866"/>
      <c r="J52" s="867"/>
    </row>
    <row r="53" spans="1:10" s="835" customFormat="1" ht="39.6" hidden="1">
      <c r="A53" s="865"/>
      <c r="B53" s="806" t="s">
        <v>3857</v>
      </c>
      <c r="C53" s="833" t="str">
        <f t="shared" si="0"/>
        <v>09.2016</v>
      </c>
      <c r="D53" s="806" t="s">
        <v>3697</v>
      </c>
      <c r="E53" s="647">
        <v>443823</v>
      </c>
      <c r="F53" s="837" t="s">
        <v>3703</v>
      </c>
      <c r="G53" s="838" t="s">
        <v>3704</v>
      </c>
      <c r="H53" s="839" t="s">
        <v>3718</v>
      </c>
      <c r="I53" s="866"/>
      <c r="J53" s="867"/>
    </row>
    <row r="54" spans="1:10" s="835" customFormat="1" ht="39.6">
      <c r="A54" s="865"/>
      <c r="B54" s="806" t="s">
        <v>3053</v>
      </c>
      <c r="C54" s="833" t="str">
        <f t="shared" si="0"/>
        <v>10.2016</v>
      </c>
      <c r="D54" s="806" t="s">
        <v>3697</v>
      </c>
      <c r="E54" s="647">
        <v>425995.8</v>
      </c>
      <c r="F54" s="837" t="s">
        <v>3703</v>
      </c>
      <c r="G54" s="838" t="s">
        <v>3704</v>
      </c>
      <c r="H54" s="839" t="s">
        <v>3719</v>
      </c>
      <c r="I54" s="866"/>
      <c r="J54" s="867"/>
    </row>
    <row r="55" spans="1:10" s="835" customFormat="1" ht="26.4" hidden="1">
      <c r="A55" s="865"/>
      <c r="B55" s="806" t="s">
        <v>3054</v>
      </c>
      <c r="C55" s="833" t="str">
        <f t="shared" si="0"/>
        <v>11.2016</v>
      </c>
      <c r="D55" s="806" t="s">
        <v>3697</v>
      </c>
      <c r="E55" s="647">
        <v>440529.6</v>
      </c>
      <c r="F55" s="837" t="s">
        <v>3703</v>
      </c>
      <c r="G55" s="838" t="s">
        <v>3704</v>
      </c>
      <c r="H55" s="839" t="s">
        <v>3720</v>
      </c>
      <c r="I55" s="866"/>
      <c r="J55" s="867"/>
    </row>
    <row r="56" spans="1:10" s="835" customFormat="1" ht="52.8" hidden="1">
      <c r="A56" s="865"/>
      <c r="B56" s="806" t="s">
        <v>3858</v>
      </c>
      <c r="C56" s="833" t="str">
        <f t="shared" si="0"/>
        <v>12.2016</v>
      </c>
      <c r="D56" s="806" t="s">
        <v>3697</v>
      </c>
      <c r="E56" s="647">
        <v>913846.5</v>
      </c>
      <c r="F56" s="837" t="s">
        <v>3703</v>
      </c>
      <c r="G56" s="838" t="s">
        <v>3704</v>
      </c>
      <c r="H56" s="839" t="s">
        <v>3721</v>
      </c>
      <c r="I56" s="866"/>
      <c r="J56" s="867"/>
    </row>
    <row r="57" spans="1:10" s="880" customFormat="1" ht="26.4" hidden="1">
      <c r="A57" s="873"/>
      <c r="B57" s="869" t="s">
        <v>3859</v>
      </c>
      <c r="C57" s="874" t="str">
        <f t="shared" si="0"/>
        <v>01.2017</v>
      </c>
      <c r="D57" s="869" t="s">
        <v>3697</v>
      </c>
      <c r="E57" s="742">
        <v>1400386.95</v>
      </c>
      <c r="F57" s="875" t="s">
        <v>3703</v>
      </c>
      <c r="G57" s="876" t="s">
        <v>3704</v>
      </c>
      <c r="H57" s="877" t="s">
        <v>3722</v>
      </c>
      <c r="I57" s="878"/>
      <c r="J57" s="879"/>
    </row>
    <row r="58" spans="1:10" s="880" customFormat="1" ht="39.6" hidden="1">
      <c r="A58" s="873"/>
      <c r="B58" s="869" t="s">
        <v>2773</v>
      </c>
      <c r="C58" s="874" t="str">
        <f t="shared" si="0"/>
        <v>01.2017</v>
      </c>
      <c r="D58" s="869" t="s">
        <v>3697</v>
      </c>
      <c r="E58" s="742">
        <v>1018362.35</v>
      </c>
      <c r="F58" s="875" t="s">
        <v>3703</v>
      </c>
      <c r="G58" s="876" t="s">
        <v>3704</v>
      </c>
      <c r="H58" s="877" t="s">
        <v>3723</v>
      </c>
      <c r="I58" s="878"/>
      <c r="J58" s="879"/>
    </row>
    <row r="59" spans="1:10" s="880" customFormat="1" ht="39.6" hidden="1">
      <c r="A59" s="873"/>
      <c r="B59" s="869" t="s">
        <v>3860</v>
      </c>
      <c r="C59" s="874" t="str">
        <f t="shared" si="0"/>
        <v>03.2017</v>
      </c>
      <c r="D59" s="869" t="s">
        <v>3697</v>
      </c>
      <c r="E59" s="742">
        <v>1499955.3</v>
      </c>
      <c r="F59" s="875" t="s">
        <v>3703</v>
      </c>
      <c r="G59" s="876" t="s">
        <v>3704</v>
      </c>
      <c r="H59" s="877" t="s">
        <v>3724</v>
      </c>
      <c r="I59" s="878"/>
      <c r="J59" s="879"/>
    </row>
    <row r="60" spans="1:10" s="835" customFormat="1" ht="26.4">
      <c r="A60" s="865"/>
      <c r="B60" s="806" t="s">
        <v>3861</v>
      </c>
      <c r="C60" s="833" t="str">
        <f t="shared" si="0"/>
        <v>05.2017</v>
      </c>
      <c r="D60" s="806" t="s">
        <v>3697</v>
      </c>
      <c r="E60" s="647">
        <v>330270.75</v>
      </c>
      <c r="F60" s="837" t="s">
        <v>3703</v>
      </c>
      <c r="G60" s="838" t="s">
        <v>3704</v>
      </c>
      <c r="H60" s="839" t="s">
        <v>3725</v>
      </c>
      <c r="I60" s="866"/>
      <c r="J60" s="867"/>
    </row>
    <row r="61" spans="1:10" s="880" customFormat="1" ht="39.6" hidden="1">
      <c r="A61" s="873"/>
      <c r="B61" s="869" t="s">
        <v>3639</v>
      </c>
      <c r="C61" s="874" t="str">
        <f t="shared" si="0"/>
        <v>03.2017</v>
      </c>
      <c r="D61" s="869" t="s">
        <v>3698</v>
      </c>
      <c r="E61" s="742">
        <v>350009</v>
      </c>
      <c r="F61" s="875" t="s">
        <v>3701</v>
      </c>
      <c r="G61" s="876" t="s">
        <v>3702</v>
      </c>
      <c r="H61" s="877" t="s">
        <v>3726</v>
      </c>
      <c r="I61" s="878"/>
      <c r="J61" s="879"/>
    </row>
    <row r="62" spans="1:10" s="835" customFormat="1" ht="26.4">
      <c r="A62" s="865"/>
      <c r="B62" s="806" t="s">
        <v>3017</v>
      </c>
      <c r="C62" s="833" t="str">
        <f t="shared" si="0"/>
        <v>07.2017</v>
      </c>
      <c r="D62" s="806" t="s">
        <v>3698</v>
      </c>
      <c r="E62" s="647">
        <v>462047.75</v>
      </c>
      <c r="F62" s="837" t="s">
        <v>3705</v>
      </c>
      <c r="G62" s="838" t="s">
        <v>3706</v>
      </c>
      <c r="H62" s="839" t="s">
        <v>3727</v>
      </c>
      <c r="I62" s="866"/>
      <c r="J62" s="867"/>
    </row>
    <row r="63" spans="1:10" s="880" customFormat="1" ht="39.6" hidden="1">
      <c r="A63" s="873"/>
      <c r="B63" s="869" t="s">
        <v>3017</v>
      </c>
      <c r="C63" s="874" t="str">
        <f t="shared" si="0"/>
        <v>07.2017</v>
      </c>
      <c r="D63" s="869" t="s">
        <v>3698</v>
      </c>
      <c r="E63" s="742">
        <v>1007705.8</v>
      </c>
      <c r="F63" s="875" t="s">
        <v>3637</v>
      </c>
      <c r="G63" s="876" t="s">
        <v>3635</v>
      </c>
      <c r="H63" s="877" t="s">
        <v>3728</v>
      </c>
      <c r="I63" s="878"/>
      <c r="J63" s="879"/>
    </row>
    <row r="64" spans="1:10" s="880" customFormat="1" ht="26.4" hidden="1">
      <c r="A64" s="873"/>
      <c r="B64" s="869" t="s">
        <v>2784</v>
      </c>
      <c r="C64" s="874" t="str">
        <f t="shared" si="0"/>
        <v>08.2017</v>
      </c>
      <c r="D64" s="869" t="s">
        <v>3698</v>
      </c>
      <c r="E64" s="742">
        <v>920254.05</v>
      </c>
      <c r="F64" s="875" t="s">
        <v>3703</v>
      </c>
      <c r="G64" s="876" t="s">
        <v>3704</v>
      </c>
      <c r="H64" s="877" t="s">
        <v>3729</v>
      </c>
      <c r="I64" s="878"/>
      <c r="J64" s="879"/>
    </row>
    <row r="65" spans="1:10" s="880" customFormat="1" ht="26.4" hidden="1">
      <c r="A65" s="873"/>
      <c r="B65" s="869" t="s">
        <v>3641</v>
      </c>
      <c r="C65" s="874" t="str">
        <f t="shared" si="0"/>
        <v>09.2017</v>
      </c>
      <c r="D65" s="869" t="s">
        <v>3698</v>
      </c>
      <c r="E65" s="742">
        <v>891129</v>
      </c>
      <c r="F65" s="875" t="s">
        <v>3703</v>
      </c>
      <c r="G65" s="876" t="s">
        <v>3704</v>
      </c>
      <c r="H65" s="877" t="s">
        <v>3685</v>
      </c>
      <c r="I65" s="878"/>
      <c r="J65" s="879"/>
    </row>
    <row r="66" spans="1:10" s="880" customFormat="1" ht="26.4" hidden="1">
      <c r="A66" s="873"/>
      <c r="B66" s="869" t="s">
        <v>3025</v>
      </c>
      <c r="C66" s="874" t="str">
        <f t="shared" si="0"/>
        <v>11.2017</v>
      </c>
      <c r="D66" s="869" t="s">
        <v>3698</v>
      </c>
      <c r="E66" s="742">
        <v>593599.5</v>
      </c>
      <c r="F66" s="875" t="s">
        <v>3703</v>
      </c>
      <c r="G66" s="876" t="s">
        <v>3704</v>
      </c>
      <c r="H66" s="877" t="s">
        <v>3730</v>
      </c>
      <c r="I66" s="878"/>
      <c r="J66" s="879"/>
    </row>
    <row r="67" spans="1:10" s="880" customFormat="1" ht="26.4" hidden="1">
      <c r="A67" s="873"/>
      <c r="B67" s="869" t="s">
        <v>2711</v>
      </c>
      <c r="C67" s="874" t="str">
        <f t="shared" si="0"/>
        <v>12.2017</v>
      </c>
      <c r="D67" s="869" t="s">
        <v>3698</v>
      </c>
      <c r="E67" s="742">
        <v>267505.5</v>
      </c>
      <c r="F67" s="875" t="s">
        <v>3703</v>
      </c>
      <c r="G67" s="876" t="s">
        <v>3704</v>
      </c>
      <c r="H67" s="877" t="s">
        <v>3731</v>
      </c>
      <c r="I67" s="878"/>
      <c r="J67" s="879"/>
    </row>
    <row r="68" spans="1:10" s="880" customFormat="1" ht="26.4" hidden="1">
      <c r="A68" s="873"/>
      <c r="B68" s="869" t="s">
        <v>3628</v>
      </c>
      <c r="C68" s="874" t="str">
        <f t="shared" si="0"/>
        <v>12.2017</v>
      </c>
      <c r="D68" s="869" t="s">
        <v>3698</v>
      </c>
      <c r="E68" s="742">
        <v>892380</v>
      </c>
      <c r="F68" s="875" t="s">
        <v>3703</v>
      </c>
      <c r="G68" s="876" t="s">
        <v>3704</v>
      </c>
      <c r="H68" s="877" t="s">
        <v>3732</v>
      </c>
      <c r="I68" s="878"/>
      <c r="J68" s="879"/>
    </row>
    <row r="69" spans="1:10" s="880" customFormat="1" ht="26.4" hidden="1">
      <c r="A69" s="873"/>
      <c r="B69" s="869" t="s">
        <v>2739</v>
      </c>
      <c r="C69" s="874" t="str">
        <f t="shared" si="0"/>
        <v>02.2018</v>
      </c>
      <c r="D69" s="869" t="s">
        <v>3698</v>
      </c>
      <c r="E69" s="742">
        <v>825660</v>
      </c>
      <c r="F69" s="875" t="s">
        <v>3703</v>
      </c>
      <c r="G69" s="876" t="s">
        <v>3704</v>
      </c>
      <c r="H69" s="877" t="s">
        <v>3733</v>
      </c>
      <c r="I69" s="878"/>
      <c r="J69" s="879"/>
    </row>
    <row r="70" spans="1:10" s="880" customFormat="1" ht="26.4" hidden="1">
      <c r="A70" s="873"/>
      <c r="B70" s="869" t="s">
        <v>2751</v>
      </c>
      <c r="C70" s="874" t="str">
        <f t="shared" si="0"/>
        <v>03.2018</v>
      </c>
      <c r="D70" s="869" t="s">
        <v>3698</v>
      </c>
      <c r="E70" s="742">
        <v>825660</v>
      </c>
      <c r="F70" s="875" t="s">
        <v>3703</v>
      </c>
      <c r="G70" s="876" t="s">
        <v>3704</v>
      </c>
      <c r="H70" s="877" t="s">
        <v>3734</v>
      </c>
      <c r="I70" s="878"/>
      <c r="J70" s="879"/>
    </row>
    <row r="71" spans="1:10" s="880" customFormat="1" ht="26.4" hidden="1">
      <c r="A71" s="873"/>
      <c r="B71" s="869" t="s">
        <v>3862</v>
      </c>
      <c r="C71" s="874" t="str">
        <f t="shared" ref="C71:C132" si="1">+MID(B71,4,8)</f>
        <v>04.2018</v>
      </c>
      <c r="D71" s="869" t="s">
        <v>3698</v>
      </c>
      <c r="E71" s="742">
        <v>521041.5</v>
      </c>
      <c r="F71" s="875" t="s">
        <v>3703</v>
      </c>
      <c r="G71" s="876" t="s">
        <v>3704</v>
      </c>
      <c r="H71" s="877" t="s">
        <v>3735</v>
      </c>
      <c r="I71" s="878"/>
      <c r="J71" s="879"/>
    </row>
    <row r="72" spans="1:10" s="880" customFormat="1" ht="26.4" hidden="1">
      <c r="A72" s="873"/>
      <c r="B72" s="869" t="s">
        <v>3179</v>
      </c>
      <c r="C72" s="874" t="str">
        <f t="shared" si="1"/>
        <v>04.2018</v>
      </c>
      <c r="D72" s="869" t="s">
        <v>3698</v>
      </c>
      <c r="E72" s="742">
        <v>539982</v>
      </c>
      <c r="F72" s="875" t="s">
        <v>3703</v>
      </c>
      <c r="G72" s="876" t="s">
        <v>3704</v>
      </c>
      <c r="H72" s="877" t="s">
        <v>3736</v>
      </c>
      <c r="I72" s="878"/>
      <c r="J72" s="879"/>
    </row>
    <row r="73" spans="1:10" s="880" customFormat="1" ht="26.4" hidden="1">
      <c r="A73" s="873"/>
      <c r="B73" s="869" t="s">
        <v>3676</v>
      </c>
      <c r="C73" s="874" t="str">
        <f t="shared" si="1"/>
        <v>05.2018</v>
      </c>
      <c r="D73" s="869" t="s">
        <v>3698</v>
      </c>
      <c r="E73" s="742">
        <v>385933.5</v>
      </c>
      <c r="F73" s="875" t="s">
        <v>3703</v>
      </c>
      <c r="G73" s="876" t="s">
        <v>3704</v>
      </c>
      <c r="H73" s="877" t="s">
        <v>3737</v>
      </c>
      <c r="I73" s="878"/>
      <c r="J73" s="879"/>
    </row>
    <row r="74" spans="1:10" s="880" customFormat="1" ht="26.4" hidden="1">
      <c r="A74" s="873"/>
      <c r="B74" s="869" t="s">
        <v>2950</v>
      </c>
      <c r="C74" s="874" t="str">
        <f t="shared" si="1"/>
        <v>06.2018</v>
      </c>
      <c r="D74" s="869" t="s">
        <v>3698</v>
      </c>
      <c r="E74" s="742">
        <v>611739</v>
      </c>
      <c r="F74" s="875" t="s">
        <v>3703</v>
      </c>
      <c r="G74" s="876" t="s">
        <v>3704</v>
      </c>
      <c r="H74" s="877" t="s">
        <v>3738</v>
      </c>
      <c r="I74" s="878"/>
      <c r="J74" s="879"/>
    </row>
    <row r="75" spans="1:10" s="835" customFormat="1" ht="39.6">
      <c r="A75" s="865"/>
      <c r="B75" s="806" t="s">
        <v>3649</v>
      </c>
      <c r="C75" s="833" t="str">
        <f t="shared" si="1"/>
        <v>08.2018</v>
      </c>
      <c r="D75" s="806" t="s">
        <v>3698</v>
      </c>
      <c r="E75" s="647">
        <v>611739</v>
      </c>
      <c r="F75" s="837" t="s">
        <v>3703</v>
      </c>
      <c r="G75" s="838" t="s">
        <v>3704</v>
      </c>
      <c r="H75" s="839" t="s">
        <v>3739</v>
      </c>
      <c r="I75" s="866"/>
      <c r="J75" s="867"/>
    </row>
    <row r="76" spans="1:10" s="880" customFormat="1" ht="39.6" hidden="1">
      <c r="A76" s="873"/>
      <c r="B76" s="869" t="s">
        <v>3192</v>
      </c>
      <c r="C76" s="874" t="str">
        <f t="shared" si="1"/>
        <v>08.2018</v>
      </c>
      <c r="D76" s="869" t="s">
        <v>3698</v>
      </c>
      <c r="E76" s="742">
        <v>920115</v>
      </c>
      <c r="F76" s="875" t="s">
        <v>3703</v>
      </c>
      <c r="G76" s="876" t="s">
        <v>3704</v>
      </c>
      <c r="H76" s="877" t="s">
        <v>3740</v>
      </c>
      <c r="I76" s="878"/>
      <c r="J76" s="879"/>
    </row>
    <row r="77" spans="1:10" s="880" customFormat="1" ht="39.6" hidden="1">
      <c r="A77" s="873"/>
      <c r="B77" s="869" t="s">
        <v>3192</v>
      </c>
      <c r="C77" s="874" t="str">
        <f t="shared" si="1"/>
        <v>08.2018</v>
      </c>
      <c r="D77" s="869" t="s">
        <v>3698</v>
      </c>
      <c r="E77" s="742">
        <v>946952.4</v>
      </c>
      <c r="F77" s="875" t="s">
        <v>3703</v>
      </c>
      <c r="G77" s="876" t="s">
        <v>3704</v>
      </c>
      <c r="H77" s="877" t="s">
        <v>3741</v>
      </c>
      <c r="I77" s="878"/>
      <c r="J77" s="879"/>
    </row>
    <row r="78" spans="1:10" s="880" customFormat="1" ht="39.6" hidden="1">
      <c r="A78" s="873"/>
      <c r="B78" s="869" t="s">
        <v>3863</v>
      </c>
      <c r="C78" s="874" t="str">
        <f t="shared" si="1"/>
        <v>06.2017</v>
      </c>
      <c r="D78" s="869" t="s">
        <v>3699</v>
      </c>
      <c r="E78" s="742">
        <v>74160</v>
      </c>
      <c r="F78" s="875" t="s">
        <v>3637</v>
      </c>
      <c r="G78" s="876" t="s">
        <v>3635</v>
      </c>
      <c r="H78" s="877" t="s">
        <v>3742</v>
      </c>
      <c r="I78" s="878"/>
      <c r="J78" s="879"/>
    </row>
    <row r="79" spans="1:10" s="880" customFormat="1" ht="39.6" hidden="1">
      <c r="A79" s="873"/>
      <c r="B79" s="869" t="s">
        <v>2687</v>
      </c>
      <c r="C79" s="874" t="str">
        <f t="shared" si="1"/>
        <v>02.2018</v>
      </c>
      <c r="D79" s="869" t="s">
        <v>3700</v>
      </c>
      <c r="E79" s="742">
        <v>965203.2</v>
      </c>
      <c r="F79" s="875" t="s">
        <v>3637</v>
      </c>
      <c r="G79" s="876" t="s">
        <v>3635</v>
      </c>
      <c r="H79" s="877" t="s">
        <v>3743</v>
      </c>
      <c r="I79" s="878"/>
      <c r="J79" s="879"/>
    </row>
    <row r="80" spans="1:10" s="835" customFormat="1" ht="66" hidden="1">
      <c r="A80" s="865"/>
      <c r="B80" s="806" t="s">
        <v>3833</v>
      </c>
      <c r="C80" s="833" t="str">
        <f t="shared" si="1"/>
        <v>11.2016</v>
      </c>
      <c r="D80" s="806" t="s">
        <v>3822</v>
      </c>
      <c r="E80" s="647">
        <v>123700</v>
      </c>
      <c r="F80" s="837" t="s">
        <v>2796</v>
      </c>
      <c r="G80" s="838" t="s">
        <v>2801</v>
      </c>
      <c r="H80" s="839" t="s">
        <v>3759</v>
      </c>
      <c r="I80" s="866"/>
      <c r="J80" s="867"/>
    </row>
    <row r="81" spans="1:10" s="835" customFormat="1" ht="66" hidden="1">
      <c r="A81" s="865"/>
      <c r="B81" s="806" t="s">
        <v>2936</v>
      </c>
      <c r="C81" s="833" t="str">
        <f t="shared" si="1"/>
        <v>12.2016</v>
      </c>
      <c r="D81" s="806" t="s">
        <v>3822</v>
      </c>
      <c r="E81" s="647">
        <v>142200</v>
      </c>
      <c r="F81" s="837" t="s">
        <v>2796</v>
      </c>
      <c r="G81" s="838" t="s">
        <v>2801</v>
      </c>
      <c r="H81" s="839" t="s">
        <v>3760</v>
      </c>
      <c r="I81" s="866"/>
      <c r="J81" s="867"/>
    </row>
    <row r="82" spans="1:10" s="835" customFormat="1" ht="66" hidden="1">
      <c r="A82" s="865"/>
      <c r="B82" s="806" t="s">
        <v>3834</v>
      </c>
      <c r="C82" s="833" t="str">
        <f t="shared" si="1"/>
        <v>12.2016</v>
      </c>
      <c r="D82" s="806" t="s">
        <v>3822</v>
      </c>
      <c r="E82" s="647">
        <v>142200</v>
      </c>
      <c r="F82" s="837" t="s">
        <v>2796</v>
      </c>
      <c r="G82" s="838" t="s">
        <v>2801</v>
      </c>
      <c r="H82" s="839" t="s">
        <v>3761</v>
      </c>
      <c r="I82" s="866"/>
      <c r="J82" s="867"/>
    </row>
    <row r="83" spans="1:10" s="835" customFormat="1" ht="66">
      <c r="A83" s="865"/>
      <c r="B83" s="806" t="s">
        <v>2773</v>
      </c>
      <c r="C83" s="833" t="str">
        <f t="shared" si="1"/>
        <v>01.2017</v>
      </c>
      <c r="D83" s="806" t="s">
        <v>3822</v>
      </c>
      <c r="E83" s="647">
        <v>156420</v>
      </c>
      <c r="F83" s="837" t="s">
        <v>2796</v>
      </c>
      <c r="G83" s="838" t="s">
        <v>2801</v>
      </c>
      <c r="H83" s="839" t="s">
        <v>3762</v>
      </c>
      <c r="I83" s="866"/>
      <c r="J83" s="867"/>
    </row>
    <row r="84" spans="1:10" s="835" customFormat="1" ht="52.8" hidden="1">
      <c r="A84" s="865"/>
      <c r="B84" s="806" t="s">
        <v>3835</v>
      </c>
      <c r="C84" s="833" t="str">
        <f t="shared" si="1"/>
        <v>02.2017</v>
      </c>
      <c r="D84" s="806" t="s">
        <v>3822</v>
      </c>
      <c r="E84" s="647">
        <v>161257</v>
      </c>
      <c r="F84" s="837" t="s">
        <v>2796</v>
      </c>
      <c r="G84" s="838" t="s">
        <v>2801</v>
      </c>
      <c r="H84" s="839" t="s">
        <v>3763</v>
      </c>
      <c r="I84" s="866"/>
      <c r="J84" s="867"/>
    </row>
    <row r="85" spans="1:10" s="835" customFormat="1" ht="39.6">
      <c r="A85" s="865"/>
      <c r="B85" s="806" t="s">
        <v>3836</v>
      </c>
      <c r="C85" s="833" t="str">
        <f t="shared" si="1"/>
        <v>03.2017</v>
      </c>
      <c r="D85" s="806" t="s">
        <v>3822</v>
      </c>
      <c r="E85" s="647">
        <v>163066</v>
      </c>
      <c r="F85" s="837" t="s">
        <v>2796</v>
      </c>
      <c r="G85" s="838" t="s">
        <v>2801</v>
      </c>
      <c r="H85" s="839" t="s">
        <v>3764</v>
      </c>
      <c r="I85" s="866"/>
      <c r="J85" s="867"/>
    </row>
    <row r="86" spans="1:10" s="835" customFormat="1" ht="39.6" hidden="1">
      <c r="A86" s="865"/>
      <c r="B86" s="806" t="s">
        <v>2008</v>
      </c>
      <c r="C86" s="833" t="str">
        <f t="shared" si="1"/>
        <v>08.2016</v>
      </c>
      <c r="D86" s="806" t="s">
        <v>3823</v>
      </c>
      <c r="E86" s="647">
        <v>362413</v>
      </c>
      <c r="F86" s="837" t="s">
        <v>3744</v>
      </c>
      <c r="G86" s="838" t="s">
        <v>3745</v>
      </c>
      <c r="H86" s="839" t="s">
        <v>3765</v>
      </c>
      <c r="I86" s="866"/>
      <c r="J86" s="867"/>
    </row>
    <row r="87" spans="1:10" s="835" customFormat="1" ht="26.4" hidden="1">
      <c r="A87" s="865"/>
      <c r="B87" s="806" t="s">
        <v>2079</v>
      </c>
      <c r="C87" s="833" t="str">
        <f t="shared" si="1"/>
        <v>12.2016</v>
      </c>
      <c r="D87" s="806" t="s">
        <v>3823</v>
      </c>
      <c r="E87" s="647">
        <v>390000</v>
      </c>
      <c r="F87" s="837" t="s">
        <v>3744</v>
      </c>
      <c r="G87" s="838" t="s">
        <v>3745</v>
      </c>
      <c r="H87" s="839" t="s">
        <v>3766</v>
      </c>
      <c r="I87" s="866"/>
      <c r="J87" s="867"/>
    </row>
    <row r="88" spans="1:10" s="835" customFormat="1" ht="26.4">
      <c r="A88" s="865"/>
      <c r="B88" s="806" t="s">
        <v>2784</v>
      </c>
      <c r="C88" s="833" t="str">
        <f t="shared" si="1"/>
        <v>08.2017</v>
      </c>
      <c r="D88" s="806" t="s">
        <v>3823</v>
      </c>
      <c r="E88" s="647">
        <v>160000</v>
      </c>
      <c r="F88" s="837" t="s">
        <v>3744</v>
      </c>
      <c r="G88" s="838" t="s">
        <v>3745</v>
      </c>
      <c r="H88" s="839" t="s">
        <v>3767</v>
      </c>
      <c r="I88" s="866"/>
      <c r="J88" s="867"/>
    </row>
    <row r="89" spans="1:10" s="835" customFormat="1" ht="39.6" hidden="1">
      <c r="A89" s="865"/>
      <c r="B89" s="806" t="s">
        <v>3171</v>
      </c>
      <c r="C89" s="833" t="str">
        <f t="shared" si="1"/>
        <v>01.2016</v>
      </c>
      <c r="D89" s="806" t="s">
        <v>3824</v>
      </c>
      <c r="E89" s="647">
        <v>116000</v>
      </c>
      <c r="F89" s="837" t="s">
        <v>2796</v>
      </c>
      <c r="G89" s="838" t="s">
        <v>2801</v>
      </c>
      <c r="H89" s="839" t="s">
        <v>3768</v>
      </c>
      <c r="I89" s="866"/>
      <c r="J89" s="867"/>
    </row>
    <row r="90" spans="1:10" s="835" customFormat="1" ht="39.6">
      <c r="A90" s="865"/>
      <c r="B90" s="806" t="s">
        <v>3045</v>
      </c>
      <c r="C90" s="833" t="str">
        <f t="shared" si="1"/>
        <v>02.2016</v>
      </c>
      <c r="D90" s="806" t="s">
        <v>3824</v>
      </c>
      <c r="E90" s="647">
        <v>381700</v>
      </c>
      <c r="F90" s="837" t="s">
        <v>3746</v>
      </c>
      <c r="G90" s="838" t="s">
        <v>3168</v>
      </c>
      <c r="H90" s="839" t="s">
        <v>3769</v>
      </c>
      <c r="I90" s="866"/>
      <c r="J90" s="867"/>
    </row>
    <row r="91" spans="1:10" s="835" customFormat="1" ht="39.6" hidden="1">
      <c r="A91" s="865"/>
      <c r="B91" s="806" t="s">
        <v>3837</v>
      </c>
      <c r="C91" s="833" t="str">
        <f t="shared" si="1"/>
        <v>04.2016</v>
      </c>
      <c r="D91" s="806" t="s">
        <v>3824</v>
      </c>
      <c r="E91" s="647">
        <v>719700</v>
      </c>
      <c r="F91" s="837" t="s">
        <v>3746</v>
      </c>
      <c r="G91" s="838" t="s">
        <v>3168</v>
      </c>
      <c r="H91" s="839" t="s">
        <v>3770</v>
      </c>
      <c r="I91" s="866"/>
      <c r="J91" s="867"/>
    </row>
    <row r="92" spans="1:10" s="835" customFormat="1" ht="39.6" hidden="1">
      <c r="A92" s="865"/>
      <c r="B92" s="806" t="s">
        <v>3838</v>
      </c>
      <c r="C92" s="833" t="str">
        <f t="shared" si="1"/>
        <v>06.2016</v>
      </c>
      <c r="D92" s="806" t="s">
        <v>3824</v>
      </c>
      <c r="E92" s="647">
        <v>504400</v>
      </c>
      <c r="F92" s="837" t="s">
        <v>3746</v>
      </c>
      <c r="G92" s="838" t="s">
        <v>3168</v>
      </c>
      <c r="H92" s="839" t="s">
        <v>3771</v>
      </c>
      <c r="I92" s="866"/>
      <c r="J92" s="867"/>
    </row>
    <row r="93" spans="1:10" s="835" customFormat="1" ht="39.6" hidden="1">
      <c r="A93" s="865"/>
      <c r="B93" s="806" t="s">
        <v>3839</v>
      </c>
      <c r="C93" s="833" t="str">
        <f t="shared" si="1"/>
        <v>08.2016</v>
      </c>
      <c r="D93" s="806" t="s">
        <v>3824</v>
      </c>
      <c r="E93" s="647">
        <v>545500</v>
      </c>
      <c r="F93" s="837" t="s">
        <v>3746</v>
      </c>
      <c r="G93" s="838" t="s">
        <v>3168</v>
      </c>
      <c r="H93" s="839" t="s">
        <v>3772</v>
      </c>
      <c r="I93" s="866"/>
      <c r="J93" s="867"/>
    </row>
    <row r="94" spans="1:10" s="835" customFormat="1" ht="52.8">
      <c r="A94" s="865"/>
      <c r="B94" s="806" t="s">
        <v>3053</v>
      </c>
      <c r="C94" s="833" t="str">
        <f t="shared" si="1"/>
        <v>10.2016</v>
      </c>
      <c r="D94" s="806" t="s">
        <v>3824</v>
      </c>
      <c r="E94" s="647">
        <v>332100</v>
      </c>
      <c r="F94" s="837" t="s">
        <v>3746</v>
      </c>
      <c r="G94" s="838" t="s">
        <v>3168</v>
      </c>
      <c r="H94" s="839" t="s">
        <v>3773</v>
      </c>
      <c r="I94" s="866"/>
      <c r="J94" s="867"/>
    </row>
    <row r="95" spans="1:10" s="835" customFormat="1" ht="26.4" hidden="1">
      <c r="A95" s="865"/>
      <c r="B95" s="806" t="s">
        <v>3840</v>
      </c>
      <c r="C95" s="833" t="str">
        <f t="shared" si="1"/>
        <v>12.2016</v>
      </c>
      <c r="D95" s="806" t="s">
        <v>3824</v>
      </c>
      <c r="E95" s="647">
        <v>531000</v>
      </c>
      <c r="F95" s="837" t="s">
        <v>3746</v>
      </c>
      <c r="G95" s="838" t="s">
        <v>3168</v>
      </c>
      <c r="H95" s="839" t="s">
        <v>3774</v>
      </c>
      <c r="I95" s="866"/>
      <c r="J95" s="867"/>
    </row>
    <row r="96" spans="1:10" s="835" customFormat="1" ht="39.6">
      <c r="A96" s="865"/>
      <c r="B96" s="806" t="s">
        <v>3841</v>
      </c>
      <c r="C96" s="833" t="str">
        <f t="shared" si="1"/>
        <v>03.2017</v>
      </c>
      <c r="D96" s="806" t="s">
        <v>3824</v>
      </c>
      <c r="E96" s="647">
        <v>161257</v>
      </c>
      <c r="F96" s="837" t="s">
        <v>2796</v>
      </c>
      <c r="G96" s="838" t="s">
        <v>2801</v>
      </c>
      <c r="H96" s="839" t="s">
        <v>3775</v>
      </c>
      <c r="I96" s="866"/>
      <c r="J96" s="867"/>
    </row>
    <row r="97" spans="1:10" s="880" customFormat="1" ht="26.4" hidden="1">
      <c r="A97" s="873"/>
      <c r="B97" s="869" t="s">
        <v>3672</v>
      </c>
      <c r="C97" s="874" t="str">
        <f t="shared" si="1"/>
        <v>08.2017</v>
      </c>
      <c r="D97" s="869" t="s">
        <v>3824</v>
      </c>
      <c r="E97" s="742">
        <v>1000000</v>
      </c>
      <c r="F97" s="875" t="s">
        <v>3747</v>
      </c>
      <c r="G97" s="876" t="s">
        <v>3748</v>
      </c>
      <c r="H97" s="877" t="s">
        <v>3776</v>
      </c>
      <c r="I97" s="878"/>
      <c r="J97" s="879"/>
    </row>
    <row r="98" spans="1:10" s="880" customFormat="1" ht="26.4" hidden="1">
      <c r="A98" s="873"/>
      <c r="B98" s="869" t="s">
        <v>2938</v>
      </c>
      <c r="C98" s="874" t="str">
        <f t="shared" si="1"/>
        <v>11.2017</v>
      </c>
      <c r="D98" s="869" t="s">
        <v>3825</v>
      </c>
      <c r="E98" s="742">
        <v>1056250</v>
      </c>
      <c r="F98" s="875" t="s">
        <v>3749</v>
      </c>
      <c r="G98" s="876" t="s">
        <v>3164</v>
      </c>
      <c r="H98" s="877" t="s">
        <v>3777</v>
      </c>
      <c r="I98" s="878"/>
      <c r="J98" s="879"/>
    </row>
    <row r="99" spans="1:10" s="880" customFormat="1" ht="26.4" hidden="1">
      <c r="A99" s="873"/>
      <c r="B99" s="869" t="s">
        <v>2709</v>
      </c>
      <c r="C99" s="874" t="str">
        <f t="shared" si="1"/>
        <v>12.2017</v>
      </c>
      <c r="D99" s="869" t="s">
        <v>3825</v>
      </c>
      <c r="E99" s="742">
        <v>1098500</v>
      </c>
      <c r="F99" s="875" t="s">
        <v>3749</v>
      </c>
      <c r="G99" s="876" t="s">
        <v>3164</v>
      </c>
      <c r="H99" s="877" t="s">
        <v>3687</v>
      </c>
      <c r="I99" s="878"/>
      <c r="J99" s="879"/>
    </row>
    <row r="100" spans="1:10" s="880" customFormat="1" ht="39.6" hidden="1">
      <c r="A100" s="873"/>
      <c r="B100" s="869" t="s">
        <v>2939</v>
      </c>
      <c r="C100" s="874" t="str">
        <f t="shared" si="1"/>
        <v>02.2018</v>
      </c>
      <c r="D100" s="869" t="s">
        <v>3825</v>
      </c>
      <c r="E100" s="742">
        <v>184723.76</v>
      </c>
      <c r="F100" s="875" t="s">
        <v>3637</v>
      </c>
      <c r="G100" s="876" t="s">
        <v>3635</v>
      </c>
      <c r="H100" s="877" t="s">
        <v>3778</v>
      </c>
      <c r="I100" s="878"/>
      <c r="J100" s="879"/>
    </row>
    <row r="101" spans="1:10" s="835" customFormat="1" ht="66">
      <c r="A101" s="865"/>
      <c r="B101" s="806" t="s">
        <v>3842</v>
      </c>
      <c r="C101" s="833" t="str">
        <f t="shared" si="1"/>
        <v>04.2018</v>
      </c>
      <c r="D101" s="806" t="s">
        <v>3825</v>
      </c>
      <c r="E101" s="647">
        <v>268500</v>
      </c>
      <c r="F101" s="837" t="s">
        <v>3749</v>
      </c>
      <c r="G101" s="838" t="s">
        <v>3164</v>
      </c>
      <c r="H101" s="839" t="s">
        <v>3779</v>
      </c>
      <c r="I101" s="866"/>
      <c r="J101" s="867"/>
    </row>
    <row r="102" spans="1:10" s="835" customFormat="1" ht="26.4">
      <c r="A102" s="865"/>
      <c r="B102" s="806" t="s">
        <v>2940</v>
      </c>
      <c r="C102" s="833" t="str">
        <f t="shared" si="1"/>
        <v>05.2018</v>
      </c>
      <c r="D102" s="806" t="s">
        <v>3825</v>
      </c>
      <c r="E102" s="647">
        <v>745078.8</v>
      </c>
      <c r="F102" s="837" t="s">
        <v>3749</v>
      </c>
      <c r="G102" s="838" t="s">
        <v>3164</v>
      </c>
      <c r="H102" s="839" t="s">
        <v>3780</v>
      </c>
      <c r="I102" s="866"/>
      <c r="J102" s="867"/>
    </row>
    <row r="103" spans="1:10" s="835" customFormat="1" ht="39.6" hidden="1">
      <c r="A103" s="865"/>
      <c r="B103" s="806" t="s">
        <v>3843</v>
      </c>
      <c r="C103" s="833" t="str">
        <f t="shared" si="1"/>
        <v>06.2016</v>
      </c>
      <c r="D103" s="806" t="s">
        <v>3826</v>
      </c>
      <c r="E103" s="647">
        <v>489800</v>
      </c>
      <c r="F103" s="837" t="s">
        <v>3750</v>
      </c>
      <c r="G103" s="838" t="s">
        <v>3751</v>
      </c>
      <c r="H103" s="839" t="s">
        <v>3781</v>
      </c>
      <c r="I103" s="866"/>
      <c r="J103" s="867"/>
    </row>
    <row r="104" spans="1:10" s="835" customFormat="1" ht="39.6">
      <c r="A104" s="865"/>
      <c r="B104" s="806" t="s">
        <v>2765</v>
      </c>
      <c r="C104" s="833" t="str">
        <f t="shared" si="1"/>
        <v>02.2016</v>
      </c>
      <c r="D104" s="806" t="s">
        <v>3827</v>
      </c>
      <c r="E104" s="647">
        <v>145768.91</v>
      </c>
      <c r="F104" s="837" t="s">
        <v>3752</v>
      </c>
      <c r="G104" s="838" t="s">
        <v>3667</v>
      </c>
      <c r="H104" s="839" t="s">
        <v>2920</v>
      </c>
      <c r="I104" s="866"/>
      <c r="J104" s="867"/>
    </row>
    <row r="105" spans="1:10" s="835" customFormat="1" ht="26.4" hidden="1">
      <c r="A105" s="865"/>
      <c r="B105" s="806" t="s">
        <v>2055</v>
      </c>
      <c r="C105" s="833" t="str">
        <f t="shared" si="1"/>
        <v>04.2016</v>
      </c>
      <c r="D105" s="806" t="s">
        <v>3827</v>
      </c>
      <c r="E105" s="647">
        <v>55440</v>
      </c>
      <c r="F105" s="837" t="s">
        <v>3666</v>
      </c>
      <c r="G105" s="838" t="s">
        <v>3667</v>
      </c>
      <c r="H105" s="839" t="s">
        <v>3782</v>
      </c>
      <c r="I105" s="866"/>
      <c r="J105" s="867"/>
    </row>
    <row r="106" spans="1:10" s="835" customFormat="1" ht="39.6" hidden="1">
      <c r="A106" s="865"/>
      <c r="B106" s="806" t="s">
        <v>3040</v>
      </c>
      <c r="C106" s="833" t="str">
        <f t="shared" si="1"/>
        <v>05.2016</v>
      </c>
      <c r="D106" s="806" t="s">
        <v>3827</v>
      </c>
      <c r="E106" s="647">
        <v>10560</v>
      </c>
      <c r="F106" s="837" t="s">
        <v>3666</v>
      </c>
      <c r="G106" s="838" t="s">
        <v>3667</v>
      </c>
      <c r="H106" s="839" t="s">
        <v>3783</v>
      </c>
      <c r="I106" s="866"/>
      <c r="J106" s="867"/>
    </row>
    <row r="107" spans="1:10" s="835" customFormat="1" ht="26.4" hidden="1">
      <c r="A107" s="865"/>
      <c r="B107" s="806" t="s">
        <v>3055</v>
      </c>
      <c r="C107" s="833" t="str">
        <f t="shared" si="1"/>
        <v>12.2016</v>
      </c>
      <c r="D107" s="806" t="s">
        <v>3827</v>
      </c>
      <c r="E107" s="647">
        <v>27738</v>
      </c>
      <c r="F107" s="837" t="s">
        <v>3666</v>
      </c>
      <c r="G107" s="838" t="s">
        <v>3667</v>
      </c>
      <c r="H107" s="839" t="s">
        <v>3784</v>
      </c>
      <c r="I107" s="866"/>
      <c r="J107" s="867"/>
    </row>
    <row r="108" spans="1:10" s="835" customFormat="1" ht="26.4" hidden="1">
      <c r="A108" s="865"/>
      <c r="B108" s="806" t="s">
        <v>3055</v>
      </c>
      <c r="C108" s="833" t="str">
        <f t="shared" si="1"/>
        <v>12.2016</v>
      </c>
      <c r="D108" s="806" t="s">
        <v>3827</v>
      </c>
      <c r="E108" s="647">
        <v>16308</v>
      </c>
      <c r="F108" s="837" t="s">
        <v>3666</v>
      </c>
      <c r="G108" s="838" t="s">
        <v>3667</v>
      </c>
      <c r="H108" s="839" t="s">
        <v>3785</v>
      </c>
      <c r="I108" s="866"/>
      <c r="J108" s="867"/>
    </row>
    <row r="109" spans="1:10" s="880" customFormat="1" ht="39.6" hidden="1">
      <c r="A109" s="873"/>
      <c r="B109" s="869" t="s">
        <v>3173</v>
      </c>
      <c r="C109" s="874" t="str">
        <f t="shared" si="1"/>
        <v>01.2017</v>
      </c>
      <c r="D109" s="869" t="s">
        <v>3827</v>
      </c>
      <c r="E109" s="742">
        <v>31944</v>
      </c>
      <c r="F109" s="875" t="s">
        <v>3666</v>
      </c>
      <c r="G109" s="876" t="s">
        <v>3667</v>
      </c>
      <c r="H109" s="877" t="s">
        <v>3786</v>
      </c>
      <c r="I109" s="878"/>
      <c r="J109" s="879"/>
    </row>
    <row r="110" spans="1:10" s="880" customFormat="1" ht="26.4" hidden="1">
      <c r="A110" s="873"/>
      <c r="B110" s="869" t="s">
        <v>3841</v>
      </c>
      <c r="C110" s="874" t="str">
        <f t="shared" si="1"/>
        <v>03.2017</v>
      </c>
      <c r="D110" s="869" t="s">
        <v>3827</v>
      </c>
      <c r="E110" s="742">
        <v>20328</v>
      </c>
      <c r="F110" s="875" t="s">
        <v>3666</v>
      </c>
      <c r="G110" s="876" t="s">
        <v>3667</v>
      </c>
      <c r="H110" s="877" t="s">
        <v>3787</v>
      </c>
      <c r="I110" s="878"/>
      <c r="J110" s="879"/>
    </row>
    <row r="111" spans="1:10" s="880" customFormat="1" ht="39.6" hidden="1">
      <c r="A111" s="873"/>
      <c r="B111" s="869" t="s">
        <v>3844</v>
      </c>
      <c r="C111" s="874" t="str">
        <f t="shared" si="1"/>
        <v>04.2017</v>
      </c>
      <c r="D111" s="869" t="s">
        <v>3827</v>
      </c>
      <c r="E111" s="742">
        <v>1158480</v>
      </c>
      <c r="F111" s="875" t="s">
        <v>3670</v>
      </c>
      <c r="G111" s="876" t="s">
        <v>3671</v>
      </c>
      <c r="H111" s="877" t="s">
        <v>3788</v>
      </c>
      <c r="I111" s="878"/>
      <c r="J111" s="879"/>
    </row>
    <row r="112" spans="1:10" s="880" customFormat="1" ht="26.4" hidden="1">
      <c r="A112" s="873"/>
      <c r="B112" s="869" t="s">
        <v>3191</v>
      </c>
      <c r="C112" s="874" t="str">
        <f t="shared" si="1"/>
        <v>07.2018</v>
      </c>
      <c r="D112" s="869" t="s">
        <v>3828</v>
      </c>
      <c r="E112" s="742">
        <v>360000</v>
      </c>
      <c r="F112" s="875" t="s">
        <v>3753</v>
      </c>
      <c r="G112" s="876" t="s">
        <v>3754</v>
      </c>
      <c r="H112" s="877" t="s">
        <v>3789</v>
      </c>
      <c r="I112" s="878"/>
      <c r="J112" s="879"/>
    </row>
    <row r="113" spans="1:10" s="880" customFormat="1" ht="26.4" hidden="1">
      <c r="A113" s="873"/>
      <c r="B113" s="869" t="s">
        <v>3191</v>
      </c>
      <c r="C113" s="874" t="str">
        <f t="shared" si="1"/>
        <v>07.2018</v>
      </c>
      <c r="D113" s="869" t="s">
        <v>3828</v>
      </c>
      <c r="E113" s="742">
        <v>400000</v>
      </c>
      <c r="F113" s="875" t="s">
        <v>3753</v>
      </c>
      <c r="G113" s="876" t="s">
        <v>3754</v>
      </c>
      <c r="H113" s="877" t="s">
        <v>3790</v>
      </c>
      <c r="I113" s="878"/>
      <c r="J113" s="879"/>
    </row>
    <row r="114" spans="1:10" s="880" customFormat="1" ht="26.4" hidden="1">
      <c r="A114" s="873"/>
      <c r="B114" s="869" t="s">
        <v>3191</v>
      </c>
      <c r="C114" s="874" t="str">
        <f t="shared" si="1"/>
        <v>07.2018</v>
      </c>
      <c r="D114" s="869" t="s">
        <v>3828</v>
      </c>
      <c r="E114" s="742">
        <v>499980</v>
      </c>
      <c r="F114" s="875" t="s">
        <v>3753</v>
      </c>
      <c r="G114" s="876" t="s">
        <v>3754</v>
      </c>
      <c r="H114" s="877" t="s">
        <v>3789</v>
      </c>
      <c r="I114" s="878"/>
      <c r="J114" s="879"/>
    </row>
    <row r="115" spans="1:10" s="880" customFormat="1" ht="26.4" hidden="1">
      <c r="A115" s="873"/>
      <c r="B115" s="869" t="s">
        <v>3191</v>
      </c>
      <c r="C115" s="874" t="str">
        <f t="shared" si="1"/>
        <v>07.2018</v>
      </c>
      <c r="D115" s="869" t="s">
        <v>3828</v>
      </c>
      <c r="E115" s="742">
        <v>500000</v>
      </c>
      <c r="F115" s="875" t="s">
        <v>3753</v>
      </c>
      <c r="G115" s="876" t="s">
        <v>3754</v>
      </c>
      <c r="H115" s="877" t="s">
        <v>3791</v>
      </c>
      <c r="I115" s="878"/>
      <c r="J115" s="879"/>
    </row>
    <row r="116" spans="1:10" s="880" customFormat="1" ht="26.4" hidden="1">
      <c r="A116" s="873"/>
      <c r="B116" s="869" t="s">
        <v>3169</v>
      </c>
      <c r="C116" s="874" t="str">
        <f t="shared" si="1"/>
        <v>09.2017</v>
      </c>
      <c r="D116" s="869" t="s">
        <v>3829</v>
      </c>
      <c r="E116" s="742">
        <v>321000</v>
      </c>
      <c r="F116" s="875" t="s">
        <v>3203</v>
      </c>
      <c r="G116" s="876" t="s">
        <v>3164</v>
      </c>
      <c r="H116" s="877" t="s">
        <v>3792</v>
      </c>
      <c r="I116" s="878"/>
      <c r="J116" s="879"/>
    </row>
    <row r="117" spans="1:10" s="880" customFormat="1" ht="39.6" hidden="1">
      <c r="A117" s="873"/>
      <c r="B117" s="869" t="s">
        <v>2709</v>
      </c>
      <c r="C117" s="874" t="str">
        <f t="shared" si="1"/>
        <v>12.2017</v>
      </c>
      <c r="D117" s="869" t="s">
        <v>3829</v>
      </c>
      <c r="E117" s="742">
        <v>1000000</v>
      </c>
      <c r="F117" s="875" t="s">
        <v>3637</v>
      </c>
      <c r="G117" s="876" t="s">
        <v>3635</v>
      </c>
      <c r="H117" s="877" t="s">
        <v>3687</v>
      </c>
      <c r="I117" s="878"/>
      <c r="J117" s="879"/>
    </row>
    <row r="118" spans="1:10" s="835" customFormat="1" ht="52.8">
      <c r="A118" s="865"/>
      <c r="B118" s="806" t="s">
        <v>2949</v>
      </c>
      <c r="C118" s="833" t="str">
        <f t="shared" si="1"/>
        <v>12.2017</v>
      </c>
      <c r="D118" s="806" t="s">
        <v>3829</v>
      </c>
      <c r="E118" s="647">
        <v>156000</v>
      </c>
      <c r="F118" s="837" t="s">
        <v>3753</v>
      </c>
      <c r="G118" s="838" t="s">
        <v>3754</v>
      </c>
      <c r="H118" s="839" t="s">
        <v>3793</v>
      </c>
      <c r="I118" s="866"/>
      <c r="J118" s="867"/>
    </row>
    <row r="119" spans="1:10" s="880" customFormat="1" ht="39.6" hidden="1">
      <c r="A119" s="873"/>
      <c r="B119" s="869" t="s">
        <v>2739</v>
      </c>
      <c r="C119" s="874" t="str">
        <f t="shared" si="1"/>
        <v>02.2018</v>
      </c>
      <c r="D119" s="869" t="s">
        <v>3829</v>
      </c>
      <c r="E119" s="742">
        <v>300000</v>
      </c>
      <c r="F119" s="875" t="s">
        <v>3637</v>
      </c>
      <c r="G119" s="876" t="s">
        <v>3635</v>
      </c>
      <c r="H119" s="877" t="s">
        <v>3794</v>
      </c>
      <c r="I119" s="878"/>
      <c r="J119" s="879"/>
    </row>
    <row r="120" spans="1:10" s="880" customFormat="1" ht="26.4" hidden="1">
      <c r="A120" s="873"/>
      <c r="B120" s="869" t="s">
        <v>2741</v>
      </c>
      <c r="C120" s="874" t="str">
        <f t="shared" si="1"/>
        <v>03.2018</v>
      </c>
      <c r="D120" s="869" t="s">
        <v>3829</v>
      </c>
      <c r="E120" s="742">
        <v>114000</v>
      </c>
      <c r="F120" s="875" t="s">
        <v>3755</v>
      </c>
      <c r="G120" s="876" t="s">
        <v>3756</v>
      </c>
      <c r="H120" s="877" t="s">
        <v>3795</v>
      </c>
      <c r="I120" s="878"/>
      <c r="J120" s="879"/>
    </row>
    <row r="121" spans="1:10" s="880" customFormat="1" ht="39.6" hidden="1">
      <c r="A121" s="873"/>
      <c r="B121" s="869" t="s">
        <v>3179</v>
      </c>
      <c r="C121" s="874" t="str">
        <f t="shared" si="1"/>
        <v>04.2018</v>
      </c>
      <c r="D121" s="869" t="s">
        <v>3829</v>
      </c>
      <c r="E121" s="742">
        <v>2625000</v>
      </c>
      <c r="F121" s="875" t="s">
        <v>3637</v>
      </c>
      <c r="G121" s="876" t="s">
        <v>3635</v>
      </c>
      <c r="H121" s="877" t="s">
        <v>3796</v>
      </c>
      <c r="I121" s="878"/>
      <c r="J121" s="879"/>
    </row>
    <row r="122" spans="1:10" s="880" customFormat="1" ht="26.4" hidden="1">
      <c r="A122" s="873"/>
      <c r="B122" s="869" t="s">
        <v>3842</v>
      </c>
      <c r="C122" s="874" t="str">
        <f t="shared" si="1"/>
        <v>04.2018</v>
      </c>
      <c r="D122" s="869" t="s">
        <v>3829</v>
      </c>
      <c r="E122" s="742">
        <v>1000000</v>
      </c>
      <c r="F122" s="875" t="s">
        <v>3753</v>
      </c>
      <c r="G122" s="876" t="s">
        <v>3754</v>
      </c>
      <c r="H122" s="877" t="s">
        <v>3797</v>
      </c>
      <c r="I122" s="878"/>
      <c r="J122" s="879"/>
    </row>
    <row r="123" spans="1:10" s="835" customFormat="1" ht="26.4">
      <c r="A123" s="865"/>
      <c r="B123" s="806" t="s">
        <v>3169</v>
      </c>
      <c r="C123" s="833" t="str">
        <f t="shared" si="1"/>
        <v>09.2017</v>
      </c>
      <c r="D123" s="806" t="s">
        <v>3830</v>
      </c>
      <c r="E123" s="647">
        <v>213800</v>
      </c>
      <c r="F123" s="837" t="s">
        <v>3757</v>
      </c>
      <c r="G123" s="838" t="s">
        <v>3758</v>
      </c>
      <c r="H123" s="839" t="s">
        <v>3798</v>
      </c>
      <c r="I123" s="866"/>
      <c r="J123" s="867"/>
    </row>
    <row r="124" spans="1:10" s="835" customFormat="1" ht="26.4">
      <c r="A124" s="865"/>
      <c r="B124" s="806" t="s">
        <v>3170</v>
      </c>
      <c r="C124" s="833" t="str">
        <f t="shared" si="1"/>
        <v>11.2017</v>
      </c>
      <c r="D124" s="806" t="s">
        <v>3830</v>
      </c>
      <c r="E124" s="647">
        <v>143500</v>
      </c>
      <c r="F124" s="837" t="s">
        <v>3757</v>
      </c>
      <c r="G124" s="838" t="s">
        <v>3758</v>
      </c>
      <c r="H124" s="839" t="s">
        <v>3799</v>
      </c>
      <c r="I124" s="866"/>
      <c r="J124" s="867"/>
    </row>
    <row r="125" spans="1:10" s="835" customFormat="1" ht="66">
      <c r="A125" s="865"/>
      <c r="B125" s="806" t="s">
        <v>3845</v>
      </c>
      <c r="C125" s="833" t="str">
        <f t="shared" si="1"/>
        <v>07.2017</v>
      </c>
      <c r="D125" s="806" t="s">
        <v>3831</v>
      </c>
      <c r="E125" s="647">
        <v>177648</v>
      </c>
      <c r="F125" s="837" t="s">
        <v>2796</v>
      </c>
      <c r="G125" s="838" t="s">
        <v>2801</v>
      </c>
      <c r="H125" s="839" t="s">
        <v>3800</v>
      </c>
      <c r="I125" s="866"/>
      <c r="J125" s="867"/>
    </row>
    <row r="126" spans="1:10" s="835" customFormat="1" ht="66">
      <c r="A126" s="865"/>
      <c r="B126" s="806" t="s">
        <v>2784</v>
      </c>
      <c r="C126" s="833" t="str">
        <f t="shared" si="1"/>
        <v>08.2017</v>
      </c>
      <c r="D126" s="806" t="s">
        <v>3831</v>
      </c>
      <c r="E126" s="647">
        <v>181710</v>
      </c>
      <c r="F126" s="837" t="s">
        <v>2796</v>
      </c>
      <c r="G126" s="838" t="s">
        <v>2801</v>
      </c>
      <c r="H126" s="839" t="s">
        <v>3801</v>
      </c>
      <c r="I126" s="866"/>
      <c r="J126" s="867"/>
    </row>
    <row r="127" spans="1:10" s="835" customFormat="1" ht="52.8">
      <c r="A127" s="865"/>
      <c r="B127" s="806" t="s">
        <v>3641</v>
      </c>
      <c r="C127" s="833" t="str">
        <f t="shared" si="1"/>
        <v>09.2017</v>
      </c>
      <c r="D127" s="806" t="s">
        <v>3831</v>
      </c>
      <c r="E127" s="647">
        <v>188732</v>
      </c>
      <c r="F127" s="837" t="s">
        <v>2796</v>
      </c>
      <c r="G127" s="838" t="s">
        <v>2801</v>
      </c>
      <c r="H127" s="839" t="s">
        <v>3802</v>
      </c>
      <c r="I127" s="866"/>
      <c r="J127" s="867"/>
    </row>
    <row r="128" spans="1:10" s="835" customFormat="1" ht="52.8">
      <c r="A128" s="865"/>
      <c r="B128" s="806" t="s">
        <v>2787</v>
      </c>
      <c r="C128" s="833" t="str">
        <f t="shared" si="1"/>
        <v>10.2017</v>
      </c>
      <c r="D128" s="806" t="s">
        <v>3831</v>
      </c>
      <c r="E128" s="647">
        <v>186519</v>
      </c>
      <c r="F128" s="837" t="s">
        <v>2796</v>
      </c>
      <c r="G128" s="838" t="s">
        <v>2801</v>
      </c>
      <c r="H128" s="839" t="s">
        <v>3803</v>
      </c>
      <c r="I128" s="866"/>
      <c r="J128" s="867"/>
    </row>
    <row r="129" spans="1:10" s="835" customFormat="1" ht="52.8">
      <c r="A129" s="865"/>
      <c r="B129" s="806" t="s">
        <v>3170</v>
      </c>
      <c r="C129" s="833" t="str">
        <f t="shared" si="1"/>
        <v>11.2017</v>
      </c>
      <c r="D129" s="806" t="s">
        <v>3831</v>
      </c>
      <c r="E129" s="647">
        <v>186519</v>
      </c>
      <c r="F129" s="837" t="s">
        <v>3206</v>
      </c>
      <c r="G129" s="838" t="s">
        <v>3167</v>
      </c>
      <c r="H129" s="839" t="s">
        <v>3804</v>
      </c>
      <c r="I129" s="866"/>
      <c r="J129" s="867"/>
    </row>
    <row r="130" spans="1:10" s="835" customFormat="1" ht="39.6">
      <c r="A130" s="865"/>
      <c r="B130" s="806" t="s">
        <v>3846</v>
      </c>
      <c r="C130" s="833" t="str">
        <f t="shared" si="1"/>
        <v>11.2017</v>
      </c>
      <c r="D130" s="806" t="s">
        <v>3831</v>
      </c>
      <c r="E130" s="647">
        <v>6600</v>
      </c>
      <c r="F130" s="837" t="s">
        <v>3206</v>
      </c>
      <c r="G130" s="838" t="s">
        <v>3167</v>
      </c>
      <c r="H130" s="839" t="s">
        <v>3805</v>
      </c>
      <c r="I130" s="866"/>
      <c r="J130" s="867"/>
    </row>
    <row r="131" spans="1:10" s="835" customFormat="1" ht="52.8">
      <c r="A131" s="865"/>
      <c r="B131" s="806" t="s">
        <v>2715</v>
      </c>
      <c r="C131" s="833" t="str">
        <f t="shared" si="1"/>
        <v>12.2017</v>
      </c>
      <c r="D131" s="806" t="s">
        <v>3831</v>
      </c>
      <c r="E131" s="647">
        <v>186519</v>
      </c>
      <c r="F131" s="837" t="s">
        <v>3206</v>
      </c>
      <c r="G131" s="838" t="s">
        <v>3167</v>
      </c>
      <c r="H131" s="839" t="s">
        <v>3806</v>
      </c>
      <c r="I131" s="866"/>
      <c r="J131" s="867"/>
    </row>
    <row r="132" spans="1:10" s="835" customFormat="1" ht="52.8">
      <c r="A132" s="865"/>
      <c r="B132" s="806" t="s">
        <v>2685</v>
      </c>
      <c r="C132" s="833" t="str">
        <f t="shared" si="1"/>
        <v>01.2018</v>
      </c>
      <c r="D132" s="806" t="s">
        <v>3831</v>
      </c>
      <c r="E132" s="647">
        <v>212680</v>
      </c>
      <c r="F132" s="837" t="s">
        <v>3206</v>
      </c>
      <c r="G132" s="838" t="s">
        <v>3167</v>
      </c>
      <c r="H132" s="839" t="s">
        <v>3807</v>
      </c>
      <c r="I132" s="866"/>
      <c r="J132" s="867"/>
    </row>
    <row r="133" spans="1:10" s="835" customFormat="1" ht="39.6">
      <c r="A133" s="865"/>
      <c r="B133" s="806" t="s">
        <v>2695</v>
      </c>
      <c r="C133" s="833" t="str">
        <f t="shared" ref="C133:C196" si="2">+MID(B133,4,8)</f>
        <v>02.2018</v>
      </c>
      <c r="D133" s="806" t="s">
        <v>3831</v>
      </c>
      <c r="E133" s="647">
        <v>212680</v>
      </c>
      <c r="F133" s="837" t="s">
        <v>3206</v>
      </c>
      <c r="G133" s="838" t="s">
        <v>3167</v>
      </c>
      <c r="H133" s="839" t="s">
        <v>3657</v>
      </c>
      <c r="I133" s="866"/>
      <c r="J133" s="867"/>
    </row>
    <row r="134" spans="1:10" s="835" customFormat="1" ht="39.6">
      <c r="A134" s="865"/>
      <c r="B134" s="806" t="s">
        <v>2739</v>
      </c>
      <c r="C134" s="833" t="str">
        <f t="shared" si="2"/>
        <v>02.2018</v>
      </c>
      <c r="D134" s="806" t="s">
        <v>3831</v>
      </c>
      <c r="E134" s="647">
        <v>177648</v>
      </c>
      <c r="F134" s="837" t="s">
        <v>3206</v>
      </c>
      <c r="G134" s="838" t="s">
        <v>3167</v>
      </c>
      <c r="H134" s="839" t="s">
        <v>3808</v>
      </c>
      <c r="I134" s="866"/>
      <c r="J134" s="867"/>
    </row>
    <row r="135" spans="1:10" s="835" customFormat="1" ht="39.6">
      <c r="A135" s="865"/>
      <c r="B135" s="806" t="s">
        <v>3645</v>
      </c>
      <c r="C135" s="833" t="str">
        <f t="shared" si="2"/>
        <v>03.2018</v>
      </c>
      <c r="D135" s="806" t="s">
        <v>3831</v>
      </c>
      <c r="E135" s="647">
        <v>212680</v>
      </c>
      <c r="F135" s="837" t="s">
        <v>3206</v>
      </c>
      <c r="G135" s="838" t="s">
        <v>3167</v>
      </c>
      <c r="H135" s="839" t="s">
        <v>3658</v>
      </c>
      <c r="I135" s="866"/>
      <c r="J135" s="867"/>
    </row>
    <row r="136" spans="1:10" s="835" customFormat="1" ht="39.6">
      <c r="A136" s="865"/>
      <c r="B136" s="806" t="s">
        <v>3647</v>
      </c>
      <c r="C136" s="833" t="str">
        <f t="shared" si="2"/>
        <v>05.2018</v>
      </c>
      <c r="D136" s="806" t="s">
        <v>3831</v>
      </c>
      <c r="E136" s="647">
        <v>171780</v>
      </c>
      <c r="F136" s="837" t="s">
        <v>3206</v>
      </c>
      <c r="G136" s="838" t="s">
        <v>3167</v>
      </c>
      <c r="H136" s="839" t="s">
        <v>3662</v>
      </c>
      <c r="I136" s="866"/>
      <c r="J136" s="867"/>
    </row>
    <row r="137" spans="1:10" s="835" customFormat="1" ht="39.6">
      <c r="A137" s="865"/>
      <c r="B137" s="806" t="s">
        <v>3196</v>
      </c>
      <c r="C137" s="833" t="str">
        <f t="shared" si="2"/>
        <v>06.2018</v>
      </c>
      <c r="D137" s="806" t="s">
        <v>3831</v>
      </c>
      <c r="E137" s="647">
        <v>266584.40000000002</v>
      </c>
      <c r="F137" s="837" t="s">
        <v>3206</v>
      </c>
      <c r="G137" s="838" t="s">
        <v>3167</v>
      </c>
      <c r="H137" s="839" t="s">
        <v>3663</v>
      </c>
      <c r="I137" s="866"/>
      <c r="J137" s="867"/>
    </row>
    <row r="138" spans="1:10" s="835" customFormat="1" ht="66" hidden="1">
      <c r="A138" s="865"/>
      <c r="B138" s="806" t="s">
        <v>3847</v>
      </c>
      <c r="C138" s="833" t="str">
        <f t="shared" si="2"/>
        <v>03.2016</v>
      </c>
      <c r="D138" s="806" t="s">
        <v>3832</v>
      </c>
      <c r="E138" s="647">
        <v>123700</v>
      </c>
      <c r="F138" s="837" t="s">
        <v>2796</v>
      </c>
      <c r="G138" s="838" t="s">
        <v>2801</v>
      </c>
      <c r="H138" s="839" t="s">
        <v>3809</v>
      </c>
      <c r="I138" s="866"/>
      <c r="J138" s="867"/>
    </row>
    <row r="139" spans="1:10" s="835" customFormat="1" ht="66" hidden="1">
      <c r="A139" s="865"/>
      <c r="B139" s="806" t="s">
        <v>2055</v>
      </c>
      <c r="C139" s="833" t="str">
        <f t="shared" si="2"/>
        <v>04.2016</v>
      </c>
      <c r="D139" s="806" t="s">
        <v>3832</v>
      </c>
      <c r="E139" s="647">
        <v>123700</v>
      </c>
      <c r="F139" s="837" t="s">
        <v>2796</v>
      </c>
      <c r="G139" s="838" t="s">
        <v>2801</v>
      </c>
      <c r="H139" s="839" t="s">
        <v>3810</v>
      </c>
      <c r="I139" s="866"/>
      <c r="J139" s="867"/>
    </row>
    <row r="140" spans="1:10" s="835" customFormat="1" ht="66" hidden="1">
      <c r="A140" s="865"/>
      <c r="B140" s="806" t="s">
        <v>3848</v>
      </c>
      <c r="C140" s="833" t="str">
        <f t="shared" si="2"/>
        <v>04.2016</v>
      </c>
      <c r="D140" s="806" t="s">
        <v>3832</v>
      </c>
      <c r="E140" s="647">
        <v>123700</v>
      </c>
      <c r="F140" s="837" t="s">
        <v>2796</v>
      </c>
      <c r="G140" s="838" t="s">
        <v>2801</v>
      </c>
      <c r="H140" s="839" t="s">
        <v>3811</v>
      </c>
      <c r="I140" s="866"/>
      <c r="J140" s="867"/>
    </row>
    <row r="141" spans="1:10" s="835" customFormat="1" ht="66" hidden="1">
      <c r="A141" s="865"/>
      <c r="B141" s="806" t="s">
        <v>2011</v>
      </c>
      <c r="C141" s="833" t="str">
        <f t="shared" si="2"/>
        <v>05.2016</v>
      </c>
      <c r="D141" s="806" t="s">
        <v>3832</v>
      </c>
      <c r="E141" s="647">
        <v>123700</v>
      </c>
      <c r="F141" s="837" t="s">
        <v>2796</v>
      </c>
      <c r="G141" s="838" t="s">
        <v>2801</v>
      </c>
      <c r="H141" s="839" t="s">
        <v>3812</v>
      </c>
      <c r="I141" s="866"/>
      <c r="J141" s="867"/>
    </row>
    <row r="142" spans="1:10" s="835" customFormat="1" ht="66" hidden="1">
      <c r="A142" s="865"/>
      <c r="B142" s="806" t="s">
        <v>2011</v>
      </c>
      <c r="C142" s="833" t="str">
        <f t="shared" si="2"/>
        <v>05.2016</v>
      </c>
      <c r="D142" s="806" t="s">
        <v>3832</v>
      </c>
      <c r="E142" s="647">
        <v>123700</v>
      </c>
      <c r="F142" s="837" t="s">
        <v>2796</v>
      </c>
      <c r="G142" s="838" t="s">
        <v>2801</v>
      </c>
      <c r="H142" s="839" t="s">
        <v>3813</v>
      </c>
      <c r="I142" s="866"/>
      <c r="J142" s="867"/>
    </row>
    <row r="143" spans="1:10" s="835" customFormat="1" ht="66" hidden="1">
      <c r="A143" s="865"/>
      <c r="B143" s="806" t="s">
        <v>3849</v>
      </c>
      <c r="C143" s="833" t="str">
        <f t="shared" si="2"/>
        <v>06.2016</v>
      </c>
      <c r="D143" s="806" t="s">
        <v>3832</v>
      </c>
      <c r="E143" s="647">
        <v>123700</v>
      </c>
      <c r="F143" s="837" t="s">
        <v>2796</v>
      </c>
      <c r="G143" s="838" t="s">
        <v>2801</v>
      </c>
      <c r="H143" s="839" t="s">
        <v>3814</v>
      </c>
      <c r="I143" s="866"/>
      <c r="J143" s="867"/>
    </row>
    <row r="144" spans="1:10" s="835" customFormat="1" ht="66" hidden="1">
      <c r="A144" s="865"/>
      <c r="B144" s="806" t="s">
        <v>3850</v>
      </c>
      <c r="C144" s="833" t="str">
        <f t="shared" si="2"/>
        <v>08.2016</v>
      </c>
      <c r="D144" s="806" t="s">
        <v>3832</v>
      </c>
      <c r="E144" s="647">
        <v>123700</v>
      </c>
      <c r="F144" s="837" t="s">
        <v>2796</v>
      </c>
      <c r="G144" s="838" t="s">
        <v>2801</v>
      </c>
      <c r="H144" s="839" t="s">
        <v>3815</v>
      </c>
      <c r="I144" s="866"/>
      <c r="J144" s="867"/>
    </row>
    <row r="145" spans="1:10" s="835" customFormat="1" ht="66" hidden="1">
      <c r="A145" s="865"/>
      <c r="B145" s="806" t="s">
        <v>3850</v>
      </c>
      <c r="C145" s="833" t="str">
        <f t="shared" si="2"/>
        <v>08.2016</v>
      </c>
      <c r="D145" s="806" t="s">
        <v>3832</v>
      </c>
      <c r="E145" s="647">
        <v>123700</v>
      </c>
      <c r="F145" s="837" t="s">
        <v>2796</v>
      </c>
      <c r="G145" s="838" t="s">
        <v>2801</v>
      </c>
      <c r="H145" s="839" t="s">
        <v>3816</v>
      </c>
      <c r="I145" s="866"/>
      <c r="J145" s="867"/>
    </row>
    <row r="146" spans="1:10" s="835" customFormat="1" ht="66" hidden="1">
      <c r="A146" s="865"/>
      <c r="B146" s="806" t="s">
        <v>2052</v>
      </c>
      <c r="C146" s="833" t="str">
        <f t="shared" si="2"/>
        <v>09.2016</v>
      </c>
      <c r="D146" s="806" t="s">
        <v>3832</v>
      </c>
      <c r="E146" s="647">
        <v>123700</v>
      </c>
      <c r="F146" s="837" t="s">
        <v>2796</v>
      </c>
      <c r="G146" s="838" t="s">
        <v>2801</v>
      </c>
      <c r="H146" s="839" t="s">
        <v>3817</v>
      </c>
      <c r="I146" s="866"/>
      <c r="J146" s="867"/>
    </row>
    <row r="147" spans="1:10" s="835" customFormat="1" ht="66" hidden="1">
      <c r="A147" s="865"/>
      <c r="B147" s="806" t="s">
        <v>3851</v>
      </c>
      <c r="C147" s="833" t="str">
        <f t="shared" si="2"/>
        <v>11.2016</v>
      </c>
      <c r="D147" s="806" t="s">
        <v>3832</v>
      </c>
      <c r="E147" s="647">
        <v>15695</v>
      </c>
      <c r="F147" s="837" t="s">
        <v>2796</v>
      </c>
      <c r="G147" s="838" t="s">
        <v>2801</v>
      </c>
      <c r="H147" s="839" t="s">
        <v>3818</v>
      </c>
      <c r="I147" s="866"/>
      <c r="J147" s="867"/>
    </row>
    <row r="148" spans="1:10" s="835" customFormat="1" ht="39.6">
      <c r="A148" s="865"/>
      <c r="B148" s="806" t="s">
        <v>3836</v>
      </c>
      <c r="C148" s="833" t="str">
        <f t="shared" si="2"/>
        <v>03.2017</v>
      </c>
      <c r="D148" s="806" t="s">
        <v>3832</v>
      </c>
      <c r="E148" s="647">
        <v>546160</v>
      </c>
      <c r="F148" s="837" t="s">
        <v>2796</v>
      </c>
      <c r="G148" s="838" t="s">
        <v>2801</v>
      </c>
      <c r="H148" s="839" t="s">
        <v>3819</v>
      </c>
      <c r="I148" s="866"/>
      <c r="J148" s="867"/>
    </row>
    <row r="149" spans="1:10" s="835" customFormat="1" ht="52.8">
      <c r="A149" s="865"/>
      <c r="B149" s="806" t="s">
        <v>3852</v>
      </c>
      <c r="C149" s="833" t="str">
        <f t="shared" si="2"/>
        <v>05.2017</v>
      </c>
      <c r="D149" s="806" t="s">
        <v>3832</v>
      </c>
      <c r="E149" s="647">
        <v>177039</v>
      </c>
      <c r="F149" s="837" t="s">
        <v>2796</v>
      </c>
      <c r="G149" s="838" t="s">
        <v>2801</v>
      </c>
      <c r="H149" s="839" t="s">
        <v>3820</v>
      </c>
      <c r="I149" s="866"/>
      <c r="J149" s="867"/>
    </row>
    <row r="150" spans="1:10" s="835" customFormat="1" ht="52.8">
      <c r="A150" s="865"/>
      <c r="B150" s="806" t="s">
        <v>3853</v>
      </c>
      <c r="C150" s="833" t="str">
        <f t="shared" si="2"/>
        <v>05.2017</v>
      </c>
      <c r="D150" s="806" t="s">
        <v>3832</v>
      </c>
      <c r="E150" s="647">
        <v>170640</v>
      </c>
      <c r="F150" s="837" t="s">
        <v>2796</v>
      </c>
      <c r="G150" s="838" t="s">
        <v>2801</v>
      </c>
      <c r="H150" s="839" t="s">
        <v>3821</v>
      </c>
      <c r="I150" s="866"/>
      <c r="J150" s="867"/>
    </row>
    <row r="151" spans="1:10" s="835" customFormat="1" ht="26.4" hidden="1">
      <c r="A151" s="865"/>
      <c r="B151" s="806" t="s">
        <v>2066</v>
      </c>
      <c r="C151" s="833" t="str">
        <f t="shared" si="2"/>
        <v>03.2016</v>
      </c>
      <c r="D151" s="806" t="s">
        <v>3940</v>
      </c>
      <c r="E151" s="647">
        <v>112512</v>
      </c>
      <c r="F151" s="837" t="s">
        <v>3864</v>
      </c>
      <c r="G151" s="838" t="s">
        <v>3865</v>
      </c>
      <c r="H151" s="839" t="s">
        <v>3904</v>
      </c>
      <c r="I151" s="866"/>
      <c r="J151" s="867"/>
    </row>
    <row r="152" spans="1:10" s="835" customFormat="1" ht="26.4" hidden="1">
      <c r="A152" s="865"/>
      <c r="B152" s="806" t="s">
        <v>2066</v>
      </c>
      <c r="C152" s="833" t="str">
        <f t="shared" si="2"/>
        <v>03.2016</v>
      </c>
      <c r="D152" s="806" t="s">
        <v>3940</v>
      </c>
      <c r="E152" s="647">
        <v>60760</v>
      </c>
      <c r="F152" s="837" t="s">
        <v>3866</v>
      </c>
      <c r="G152" s="838" t="s">
        <v>3867</v>
      </c>
      <c r="H152" s="839" t="s">
        <v>3905</v>
      </c>
      <c r="I152" s="866"/>
      <c r="J152" s="867"/>
    </row>
    <row r="153" spans="1:10" s="835" customFormat="1" ht="52.8" hidden="1">
      <c r="A153" s="865"/>
      <c r="B153" s="806" t="s">
        <v>2074</v>
      </c>
      <c r="C153" s="833" t="str">
        <f t="shared" si="2"/>
        <v>05.2016</v>
      </c>
      <c r="D153" s="806" t="s">
        <v>3940</v>
      </c>
      <c r="E153" s="647">
        <v>142416</v>
      </c>
      <c r="F153" s="837" t="s">
        <v>3868</v>
      </c>
      <c r="G153" s="838" t="s">
        <v>3869</v>
      </c>
      <c r="H153" s="839" t="s">
        <v>3906</v>
      </c>
      <c r="I153" s="866"/>
      <c r="J153" s="867"/>
    </row>
    <row r="154" spans="1:10" s="835" customFormat="1" ht="52.8" hidden="1">
      <c r="A154" s="865"/>
      <c r="B154" s="806" t="s">
        <v>2074</v>
      </c>
      <c r="C154" s="833" t="str">
        <f t="shared" si="2"/>
        <v>05.2016</v>
      </c>
      <c r="D154" s="806" t="s">
        <v>3940</v>
      </c>
      <c r="E154" s="647">
        <v>142071</v>
      </c>
      <c r="F154" s="837" t="s">
        <v>3870</v>
      </c>
      <c r="G154" s="838" t="s">
        <v>3871</v>
      </c>
      <c r="H154" s="839" t="s">
        <v>3907</v>
      </c>
      <c r="I154" s="866"/>
      <c r="J154" s="867"/>
    </row>
    <row r="155" spans="1:10" s="835" customFormat="1" ht="39.6" hidden="1">
      <c r="A155" s="865"/>
      <c r="B155" s="806" t="s">
        <v>3933</v>
      </c>
      <c r="C155" s="833" t="str">
        <f t="shared" si="2"/>
        <v>11.2016</v>
      </c>
      <c r="D155" s="806" t="s">
        <v>3940</v>
      </c>
      <c r="E155" s="647">
        <v>145216</v>
      </c>
      <c r="F155" s="837" t="s">
        <v>3872</v>
      </c>
      <c r="G155" s="838" t="s">
        <v>3873</v>
      </c>
      <c r="H155" s="839" t="s">
        <v>3908</v>
      </c>
      <c r="I155" s="866"/>
      <c r="J155" s="867"/>
    </row>
    <row r="156" spans="1:10" s="835" customFormat="1" ht="39.6" hidden="1">
      <c r="A156" s="865"/>
      <c r="B156" s="806" t="s">
        <v>3934</v>
      </c>
      <c r="C156" s="833" t="str">
        <f t="shared" si="2"/>
        <v>12.2016</v>
      </c>
      <c r="D156" s="806" t="s">
        <v>3940</v>
      </c>
      <c r="E156" s="647">
        <v>60760</v>
      </c>
      <c r="F156" s="837" t="s">
        <v>3874</v>
      </c>
      <c r="G156" s="838" t="s">
        <v>3875</v>
      </c>
      <c r="H156" s="839" t="s">
        <v>3909</v>
      </c>
      <c r="I156" s="866"/>
      <c r="J156" s="867"/>
    </row>
    <row r="157" spans="1:10" s="880" customFormat="1" ht="52.8" hidden="1">
      <c r="A157" s="873"/>
      <c r="B157" s="869" t="s">
        <v>3935</v>
      </c>
      <c r="C157" s="874" t="str">
        <f t="shared" si="2"/>
        <v>02.2017</v>
      </c>
      <c r="D157" s="869" t="s">
        <v>3940</v>
      </c>
      <c r="E157" s="742">
        <v>37426</v>
      </c>
      <c r="F157" s="875" t="s">
        <v>3868</v>
      </c>
      <c r="G157" s="876" t="s">
        <v>3869</v>
      </c>
      <c r="H157" s="877" t="s">
        <v>3910</v>
      </c>
      <c r="I157" s="878"/>
      <c r="J157" s="879"/>
    </row>
    <row r="158" spans="1:10" s="880" customFormat="1" ht="39.6" hidden="1">
      <c r="A158" s="873"/>
      <c r="B158" s="869" t="s">
        <v>3935</v>
      </c>
      <c r="C158" s="874" t="str">
        <f t="shared" si="2"/>
        <v>02.2017</v>
      </c>
      <c r="D158" s="869" t="s">
        <v>3940</v>
      </c>
      <c r="E158" s="742">
        <v>107412</v>
      </c>
      <c r="F158" s="875" t="s">
        <v>3876</v>
      </c>
      <c r="G158" s="876" t="s">
        <v>3877</v>
      </c>
      <c r="H158" s="877" t="s">
        <v>3911</v>
      </c>
      <c r="I158" s="878"/>
      <c r="J158" s="879"/>
    </row>
    <row r="159" spans="1:10" s="835" customFormat="1" ht="52.8">
      <c r="A159" s="865"/>
      <c r="B159" s="806" t="s">
        <v>3936</v>
      </c>
      <c r="C159" s="833" t="str">
        <f t="shared" si="2"/>
        <v>03.2017</v>
      </c>
      <c r="D159" s="806" t="s">
        <v>3940</v>
      </c>
      <c r="E159" s="647">
        <v>208980</v>
      </c>
      <c r="F159" s="837" t="s">
        <v>3878</v>
      </c>
      <c r="G159" s="838" t="s">
        <v>3879</v>
      </c>
      <c r="H159" s="839" t="s">
        <v>3912</v>
      </c>
      <c r="I159" s="866"/>
      <c r="J159" s="867"/>
    </row>
    <row r="160" spans="1:10" s="835" customFormat="1" ht="52.8">
      <c r="A160" s="865"/>
      <c r="B160" s="806" t="s">
        <v>3936</v>
      </c>
      <c r="C160" s="833" t="str">
        <f t="shared" si="2"/>
        <v>03.2017</v>
      </c>
      <c r="D160" s="806" t="s">
        <v>3940</v>
      </c>
      <c r="E160" s="647">
        <v>41280</v>
      </c>
      <c r="F160" s="837" t="s">
        <v>3880</v>
      </c>
      <c r="G160" s="838" t="s">
        <v>3881</v>
      </c>
      <c r="H160" s="839" t="s">
        <v>3913</v>
      </c>
      <c r="I160" s="866"/>
      <c r="J160" s="867"/>
    </row>
    <row r="161" spans="1:10" s="835" customFormat="1" ht="39.6">
      <c r="A161" s="865"/>
      <c r="B161" s="806" t="s">
        <v>3937</v>
      </c>
      <c r="C161" s="833" t="str">
        <f t="shared" si="2"/>
        <v>03.2017</v>
      </c>
      <c r="D161" s="806" t="s">
        <v>3940</v>
      </c>
      <c r="E161" s="647">
        <v>20374</v>
      </c>
      <c r="F161" s="837" t="s">
        <v>3864</v>
      </c>
      <c r="G161" s="838" t="s">
        <v>3865</v>
      </c>
      <c r="H161" s="839" t="s">
        <v>3914</v>
      </c>
      <c r="I161" s="866"/>
      <c r="J161" s="867"/>
    </row>
    <row r="162" spans="1:10" s="880" customFormat="1" ht="39.6" hidden="1">
      <c r="A162" s="873"/>
      <c r="B162" s="869" t="s">
        <v>3937</v>
      </c>
      <c r="C162" s="874" t="str">
        <f t="shared" si="2"/>
        <v>03.2017</v>
      </c>
      <c r="D162" s="869" t="s">
        <v>3940</v>
      </c>
      <c r="E162" s="742">
        <v>126483</v>
      </c>
      <c r="F162" s="875" t="s">
        <v>3870</v>
      </c>
      <c r="G162" s="876" t="s">
        <v>3871</v>
      </c>
      <c r="H162" s="877" t="s">
        <v>3915</v>
      </c>
      <c r="I162" s="878"/>
      <c r="J162" s="879"/>
    </row>
    <row r="163" spans="1:10" s="835" customFormat="1" ht="39.6">
      <c r="A163" s="865"/>
      <c r="B163" s="806" t="s">
        <v>3938</v>
      </c>
      <c r="C163" s="833" t="str">
        <f t="shared" si="2"/>
        <v>04.2017</v>
      </c>
      <c r="D163" s="806" t="s">
        <v>3940</v>
      </c>
      <c r="E163" s="647">
        <v>61920</v>
      </c>
      <c r="F163" s="837" t="s">
        <v>3882</v>
      </c>
      <c r="G163" s="838" t="s">
        <v>3883</v>
      </c>
      <c r="H163" s="839" t="s">
        <v>3916</v>
      </c>
      <c r="I163" s="866"/>
      <c r="J163" s="867"/>
    </row>
    <row r="164" spans="1:10" s="835" customFormat="1" ht="39.6">
      <c r="A164" s="865"/>
      <c r="B164" s="806" t="s">
        <v>3938</v>
      </c>
      <c r="C164" s="833" t="str">
        <f t="shared" si="2"/>
        <v>04.2017</v>
      </c>
      <c r="D164" s="806" t="s">
        <v>3940</v>
      </c>
      <c r="E164" s="647">
        <v>61920</v>
      </c>
      <c r="F164" s="837" t="s">
        <v>3884</v>
      </c>
      <c r="G164" s="838" t="s">
        <v>3885</v>
      </c>
      <c r="H164" s="839" t="s">
        <v>3917</v>
      </c>
      <c r="I164" s="866"/>
      <c r="J164" s="867"/>
    </row>
    <row r="165" spans="1:10" s="835" customFormat="1" ht="39.6">
      <c r="A165" s="865"/>
      <c r="B165" s="806" t="s">
        <v>3938</v>
      </c>
      <c r="C165" s="833" t="str">
        <f t="shared" si="2"/>
        <v>04.2017</v>
      </c>
      <c r="D165" s="806" t="s">
        <v>3940</v>
      </c>
      <c r="E165" s="647">
        <v>61920</v>
      </c>
      <c r="F165" s="837" t="s">
        <v>3886</v>
      </c>
      <c r="G165" s="838" t="s">
        <v>3887</v>
      </c>
      <c r="H165" s="839" t="s">
        <v>3918</v>
      </c>
      <c r="I165" s="866"/>
      <c r="J165" s="867"/>
    </row>
    <row r="166" spans="1:10" s="835" customFormat="1" ht="39.6">
      <c r="A166" s="865"/>
      <c r="B166" s="806" t="s">
        <v>3938</v>
      </c>
      <c r="C166" s="833" t="str">
        <f t="shared" si="2"/>
        <v>04.2017</v>
      </c>
      <c r="D166" s="806" t="s">
        <v>3940</v>
      </c>
      <c r="E166" s="647">
        <v>61920</v>
      </c>
      <c r="F166" s="837" t="s">
        <v>3888</v>
      </c>
      <c r="G166" s="838" t="s">
        <v>3889</v>
      </c>
      <c r="H166" s="839" t="s">
        <v>3919</v>
      </c>
      <c r="I166" s="866"/>
      <c r="J166" s="867"/>
    </row>
    <row r="167" spans="1:10" s="835" customFormat="1" ht="52.8">
      <c r="A167" s="865"/>
      <c r="B167" s="806" t="s">
        <v>3169</v>
      </c>
      <c r="C167" s="833" t="str">
        <f t="shared" si="2"/>
        <v>09.2017</v>
      </c>
      <c r="D167" s="806" t="s">
        <v>3940</v>
      </c>
      <c r="E167" s="647">
        <v>15000</v>
      </c>
      <c r="F167" s="837" t="s">
        <v>3886</v>
      </c>
      <c r="G167" s="838" t="s">
        <v>3887</v>
      </c>
      <c r="H167" s="839" t="s">
        <v>3920</v>
      </c>
      <c r="I167" s="866"/>
      <c r="J167" s="867"/>
    </row>
    <row r="168" spans="1:10" s="880" customFormat="1" ht="66" hidden="1">
      <c r="A168" s="873"/>
      <c r="B168" s="869" t="s">
        <v>3169</v>
      </c>
      <c r="C168" s="874" t="str">
        <f t="shared" si="2"/>
        <v>09.2017</v>
      </c>
      <c r="D168" s="869" t="s">
        <v>3940</v>
      </c>
      <c r="E168" s="742">
        <v>86000</v>
      </c>
      <c r="F168" s="875" t="s">
        <v>3890</v>
      </c>
      <c r="G168" s="876" t="s">
        <v>3891</v>
      </c>
      <c r="H168" s="877" t="s">
        <v>3921</v>
      </c>
      <c r="I168" s="878"/>
      <c r="J168" s="879"/>
    </row>
    <row r="169" spans="1:10" s="880" customFormat="1" ht="52.8" hidden="1">
      <c r="A169" s="873"/>
      <c r="B169" s="869" t="s">
        <v>3169</v>
      </c>
      <c r="C169" s="874" t="str">
        <f t="shared" si="2"/>
        <v>09.2017</v>
      </c>
      <c r="D169" s="869" t="s">
        <v>3940</v>
      </c>
      <c r="E169" s="742">
        <v>61962</v>
      </c>
      <c r="F169" s="875" t="s">
        <v>3892</v>
      </c>
      <c r="G169" s="876" t="s">
        <v>3893</v>
      </c>
      <c r="H169" s="877" t="s">
        <v>3922</v>
      </c>
      <c r="I169" s="878"/>
      <c r="J169" s="879"/>
    </row>
    <row r="170" spans="1:10" s="835" customFormat="1" ht="39.6">
      <c r="A170" s="865"/>
      <c r="B170" s="806" t="s">
        <v>2938</v>
      </c>
      <c r="C170" s="833" t="str">
        <f t="shared" si="2"/>
        <v>11.2017</v>
      </c>
      <c r="D170" s="806" t="s">
        <v>3940</v>
      </c>
      <c r="E170" s="647">
        <v>61400</v>
      </c>
      <c r="F170" s="837" t="s">
        <v>3894</v>
      </c>
      <c r="G170" s="838" t="s">
        <v>3895</v>
      </c>
      <c r="H170" s="839" t="s">
        <v>3923</v>
      </c>
      <c r="I170" s="866"/>
      <c r="J170" s="867"/>
    </row>
    <row r="171" spans="1:10" s="835" customFormat="1" ht="39.6">
      <c r="A171" s="865"/>
      <c r="B171" s="806" t="s">
        <v>2938</v>
      </c>
      <c r="C171" s="833" t="str">
        <f t="shared" si="2"/>
        <v>11.2017</v>
      </c>
      <c r="D171" s="806" t="s">
        <v>3940</v>
      </c>
      <c r="E171" s="647">
        <v>94273</v>
      </c>
      <c r="F171" s="837" t="s">
        <v>3896</v>
      </c>
      <c r="G171" s="838" t="s">
        <v>3897</v>
      </c>
      <c r="H171" s="839" t="s">
        <v>3924</v>
      </c>
      <c r="I171" s="866"/>
      <c r="J171" s="867"/>
    </row>
    <row r="172" spans="1:10" s="835" customFormat="1" ht="39.6">
      <c r="A172" s="865"/>
      <c r="B172" s="806" t="s">
        <v>2938</v>
      </c>
      <c r="C172" s="833" t="str">
        <f t="shared" si="2"/>
        <v>11.2017</v>
      </c>
      <c r="D172" s="806" t="s">
        <v>3940</v>
      </c>
      <c r="E172" s="647">
        <v>30700</v>
      </c>
      <c r="F172" s="837" t="s">
        <v>3896</v>
      </c>
      <c r="G172" s="838" t="s">
        <v>3897</v>
      </c>
      <c r="H172" s="839" t="s">
        <v>3925</v>
      </c>
      <c r="I172" s="866"/>
      <c r="J172" s="867"/>
    </row>
    <row r="173" spans="1:10" s="835" customFormat="1" ht="26.4">
      <c r="A173" s="865"/>
      <c r="B173" s="806" t="s">
        <v>2938</v>
      </c>
      <c r="C173" s="833" t="str">
        <f t="shared" si="2"/>
        <v>11.2017</v>
      </c>
      <c r="D173" s="806" t="s">
        <v>3940</v>
      </c>
      <c r="E173" s="647">
        <v>61400</v>
      </c>
      <c r="F173" s="837" t="s">
        <v>3898</v>
      </c>
      <c r="G173" s="838" t="s">
        <v>3899</v>
      </c>
      <c r="H173" s="839" t="s">
        <v>3926</v>
      </c>
      <c r="I173" s="866"/>
      <c r="J173" s="867"/>
    </row>
    <row r="174" spans="1:10" s="835" customFormat="1" ht="39.6">
      <c r="A174" s="865"/>
      <c r="B174" s="806" t="s">
        <v>2691</v>
      </c>
      <c r="C174" s="833" t="str">
        <f t="shared" si="2"/>
        <v>12.2017</v>
      </c>
      <c r="D174" s="806" t="s">
        <v>3940</v>
      </c>
      <c r="E174" s="647">
        <v>97158</v>
      </c>
      <c r="F174" s="837" t="s">
        <v>3900</v>
      </c>
      <c r="G174" s="838" t="s">
        <v>3901</v>
      </c>
      <c r="H174" s="839" t="s">
        <v>3927</v>
      </c>
      <c r="I174" s="866"/>
      <c r="J174" s="867"/>
    </row>
    <row r="175" spans="1:10" s="835" customFormat="1" ht="39.6">
      <c r="A175" s="865"/>
      <c r="B175" s="806" t="s">
        <v>2691</v>
      </c>
      <c r="C175" s="833" t="str">
        <f t="shared" si="2"/>
        <v>12.2017</v>
      </c>
      <c r="D175" s="806" t="s">
        <v>3940</v>
      </c>
      <c r="E175" s="647">
        <v>128786</v>
      </c>
      <c r="F175" s="837" t="s">
        <v>3900</v>
      </c>
      <c r="G175" s="838" t="s">
        <v>3901</v>
      </c>
      <c r="H175" s="839" t="s">
        <v>3928</v>
      </c>
      <c r="I175" s="866"/>
      <c r="J175" s="867"/>
    </row>
    <row r="176" spans="1:10" s="835" customFormat="1" ht="39.6">
      <c r="A176" s="865"/>
      <c r="B176" s="806" t="s">
        <v>2710</v>
      </c>
      <c r="C176" s="833" t="str">
        <f t="shared" si="2"/>
        <v>12.2017</v>
      </c>
      <c r="D176" s="806" t="s">
        <v>3940</v>
      </c>
      <c r="E176" s="647">
        <v>143611</v>
      </c>
      <c r="F176" s="837" t="s">
        <v>3868</v>
      </c>
      <c r="G176" s="838" t="s">
        <v>3869</v>
      </c>
      <c r="H176" s="839" t="s">
        <v>3929</v>
      </c>
      <c r="I176" s="866"/>
      <c r="J176" s="867"/>
    </row>
    <row r="177" spans="1:10" s="835" customFormat="1" ht="39.6">
      <c r="A177" s="865"/>
      <c r="B177" s="806" t="s">
        <v>2711</v>
      </c>
      <c r="C177" s="833" t="str">
        <f t="shared" si="2"/>
        <v>12.2017</v>
      </c>
      <c r="D177" s="806" t="s">
        <v>3940</v>
      </c>
      <c r="E177" s="647">
        <v>140000</v>
      </c>
      <c r="F177" s="837" t="s">
        <v>3900</v>
      </c>
      <c r="G177" s="838" t="s">
        <v>3901</v>
      </c>
      <c r="H177" s="839" t="s">
        <v>3930</v>
      </c>
      <c r="I177" s="866"/>
      <c r="J177" s="867"/>
    </row>
    <row r="178" spans="1:10" s="835" customFormat="1" ht="39.6">
      <c r="A178" s="865"/>
      <c r="B178" s="806" t="s">
        <v>3842</v>
      </c>
      <c r="C178" s="833" t="str">
        <f t="shared" si="2"/>
        <v>04.2018</v>
      </c>
      <c r="D178" s="806" t="s">
        <v>3940</v>
      </c>
      <c r="E178" s="647">
        <v>125516</v>
      </c>
      <c r="F178" s="837" t="s">
        <v>3868</v>
      </c>
      <c r="G178" s="838" t="s">
        <v>3869</v>
      </c>
      <c r="H178" s="839" t="s">
        <v>3931</v>
      </c>
      <c r="I178" s="866"/>
      <c r="J178" s="867"/>
    </row>
    <row r="179" spans="1:10" s="835" customFormat="1" ht="66">
      <c r="A179" s="865"/>
      <c r="B179" s="806" t="s">
        <v>3939</v>
      </c>
      <c r="C179" s="833" t="str">
        <f t="shared" si="2"/>
        <v>05.2018</v>
      </c>
      <c r="D179" s="806" t="s">
        <v>3940</v>
      </c>
      <c r="E179" s="647">
        <v>245115</v>
      </c>
      <c r="F179" s="837" t="s">
        <v>3902</v>
      </c>
      <c r="G179" s="838" t="s">
        <v>3903</v>
      </c>
      <c r="H179" s="839" t="s">
        <v>3932</v>
      </c>
      <c r="I179" s="866"/>
      <c r="J179" s="867"/>
    </row>
    <row r="180" spans="1:10" s="880" customFormat="1" ht="26.4" hidden="1">
      <c r="A180" s="873"/>
      <c r="B180" s="882" t="s">
        <v>2066</v>
      </c>
      <c r="C180" s="883" t="str">
        <f t="shared" si="2"/>
        <v>03.2016</v>
      </c>
      <c r="D180" s="882" t="s">
        <v>3941</v>
      </c>
      <c r="E180" s="884">
        <v>91168</v>
      </c>
      <c r="F180" s="885" t="s">
        <v>3864</v>
      </c>
      <c r="G180" s="886" t="s">
        <v>3865</v>
      </c>
      <c r="H180" s="887" t="s">
        <v>3942</v>
      </c>
      <c r="I180" s="888"/>
      <c r="J180" s="879"/>
    </row>
    <row r="181" spans="1:10" s="835" customFormat="1" ht="26.4" hidden="1">
      <c r="A181" s="865"/>
      <c r="B181" s="806" t="s">
        <v>2066</v>
      </c>
      <c r="C181" s="833" t="str">
        <f t="shared" si="2"/>
        <v>03.2016</v>
      </c>
      <c r="D181" s="806" t="s">
        <v>3941</v>
      </c>
      <c r="E181" s="647">
        <v>26048</v>
      </c>
      <c r="F181" s="837" t="s">
        <v>3866</v>
      </c>
      <c r="G181" s="838" t="s">
        <v>3867</v>
      </c>
      <c r="H181" s="839" t="s">
        <v>3943</v>
      </c>
      <c r="I181" s="866"/>
      <c r="J181" s="867"/>
    </row>
    <row r="182" spans="1:10" s="835" customFormat="1" ht="52.8" hidden="1">
      <c r="A182" s="865"/>
      <c r="B182" s="806" t="s">
        <v>2074</v>
      </c>
      <c r="C182" s="833" t="str">
        <f t="shared" si="2"/>
        <v>05.2016</v>
      </c>
      <c r="D182" s="806" t="s">
        <v>3941</v>
      </c>
      <c r="E182" s="647">
        <v>26048</v>
      </c>
      <c r="F182" s="837" t="s">
        <v>3868</v>
      </c>
      <c r="G182" s="838" t="s">
        <v>3869</v>
      </c>
      <c r="H182" s="839" t="s">
        <v>3944</v>
      </c>
      <c r="I182" s="866"/>
      <c r="J182" s="867"/>
    </row>
    <row r="183" spans="1:10" s="835" customFormat="1" ht="52.8" hidden="1">
      <c r="A183" s="865"/>
      <c r="B183" s="806" t="s">
        <v>2074</v>
      </c>
      <c r="C183" s="833" t="str">
        <f t="shared" si="2"/>
        <v>05.2016</v>
      </c>
      <c r="D183" s="806" t="s">
        <v>3941</v>
      </c>
      <c r="E183" s="647">
        <v>65120</v>
      </c>
      <c r="F183" s="837" t="s">
        <v>3870</v>
      </c>
      <c r="G183" s="838" t="s">
        <v>3871</v>
      </c>
      <c r="H183" s="839" t="s">
        <v>3945</v>
      </c>
      <c r="I183" s="866"/>
      <c r="J183" s="867"/>
    </row>
    <row r="184" spans="1:10" s="835" customFormat="1" ht="39.6" hidden="1">
      <c r="A184" s="865"/>
      <c r="B184" s="806" t="s">
        <v>3933</v>
      </c>
      <c r="C184" s="833" t="str">
        <f t="shared" si="2"/>
        <v>11.2016</v>
      </c>
      <c r="D184" s="806" t="s">
        <v>3941</v>
      </c>
      <c r="E184" s="647">
        <v>44931</v>
      </c>
      <c r="F184" s="837" t="s">
        <v>3872</v>
      </c>
      <c r="G184" s="838" t="s">
        <v>3873</v>
      </c>
      <c r="H184" s="839" t="s">
        <v>3908</v>
      </c>
      <c r="I184" s="866"/>
      <c r="J184" s="867"/>
    </row>
    <row r="185" spans="1:10" s="835" customFormat="1" ht="39.6" hidden="1">
      <c r="A185" s="865"/>
      <c r="B185" s="806" t="s">
        <v>3934</v>
      </c>
      <c r="C185" s="833" t="str">
        <f t="shared" si="2"/>
        <v>12.2016</v>
      </c>
      <c r="D185" s="806" t="s">
        <v>3941</v>
      </c>
      <c r="E185" s="647">
        <v>74885</v>
      </c>
      <c r="F185" s="837" t="s">
        <v>3874</v>
      </c>
      <c r="G185" s="838" t="s">
        <v>3875</v>
      </c>
      <c r="H185" s="839" t="s">
        <v>3909</v>
      </c>
      <c r="I185" s="866"/>
      <c r="J185" s="867"/>
    </row>
    <row r="186" spans="1:10" s="880" customFormat="1" ht="52.8" hidden="1">
      <c r="A186" s="873"/>
      <c r="B186" s="869" t="s">
        <v>3935</v>
      </c>
      <c r="C186" s="874" t="str">
        <f t="shared" si="2"/>
        <v>02.2017</v>
      </c>
      <c r="D186" s="869" t="s">
        <v>3941</v>
      </c>
      <c r="E186" s="742">
        <v>263604</v>
      </c>
      <c r="F186" s="875" t="s">
        <v>3868</v>
      </c>
      <c r="G186" s="876" t="s">
        <v>3869</v>
      </c>
      <c r="H186" s="877" t="s">
        <v>3910</v>
      </c>
      <c r="I186" s="878"/>
      <c r="J186" s="879"/>
    </row>
    <row r="187" spans="1:10" s="880" customFormat="1" ht="39.6" hidden="1">
      <c r="A187" s="873"/>
      <c r="B187" s="869" t="s">
        <v>3935</v>
      </c>
      <c r="C187" s="874" t="str">
        <f t="shared" si="2"/>
        <v>02.2017</v>
      </c>
      <c r="D187" s="869" t="s">
        <v>3941</v>
      </c>
      <c r="E187" s="742">
        <v>29955</v>
      </c>
      <c r="F187" s="875" t="s">
        <v>3876</v>
      </c>
      <c r="G187" s="876" t="s">
        <v>3877</v>
      </c>
      <c r="H187" s="877" t="s">
        <v>3946</v>
      </c>
      <c r="I187" s="878"/>
      <c r="J187" s="879"/>
    </row>
    <row r="188" spans="1:10" s="880" customFormat="1" ht="39.6" hidden="1">
      <c r="A188" s="873"/>
      <c r="B188" s="882" t="s">
        <v>3937</v>
      </c>
      <c r="C188" s="883" t="str">
        <f t="shared" si="2"/>
        <v>03.2017</v>
      </c>
      <c r="D188" s="882" t="s">
        <v>3941</v>
      </c>
      <c r="E188" s="884">
        <v>14977</v>
      </c>
      <c r="F188" s="885" t="s">
        <v>3864</v>
      </c>
      <c r="G188" s="886" t="s">
        <v>3865</v>
      </c>
      <c r="H188" s="887" t="s">
        <v>3947</v>
      </c>
      <c r="I188" s="888"/>
      <c r="J188" s="879"/>
    </row>
    <row r="189" spans="1:10" s="880" customFormat="1" ht="39.6" hidden="1">
      <c r="A189" s="873"/>
      <c r="B189" s="869" t="s">
        <v>3937</v>
      </c>
      <c r="C189" s="874" t="str">
        <f t="shared" si="2"/>
        <v>03.2017</v>
      </c>
      <c r="D189" s="869" t="s">
        <v>3941</v>
      </c>
      <c r="E189" s="742">
        <v>104842</v>
      </c>
      <c r="F189" s="875" t="s">
        <v>3870</v>
      </c>
      <c r="G189" s="876" t="s">
        <v>3871</v>
      </c>
      <c r="H189" s="877" t="s">
        <v>3948</v>
      </c>
      <c r="I189" s="878"/>
      <c r="J189" s="879"/>
    </row>
    <row r="190" spans="1:10" s="880" customFormat="1" ht="66" hidden="1">
      <c r="A190" s="873"/>
      <c r="B190" s="869" t="s">
        <v>3169</v>
      </c>
      <c r="C190" s="874" t="str">
        <f t="shared" si="2"/>
        <v>09.2017</v>
      </c>
      <c r="D190" s="869" t="s">
        <v>3941</v>
      </c>
      <c r="E190" s="742">
        <v>449325</v>
      </c>
      <c r="F190" s="875" t="s">
        <v>3886</v>
      </c>
      <c r="G190" s="876" t="s">
        <v>3887</v>
      </c>
      <c r="H190" s="877" t="s">
        <v>3949</v>
      </c>
      <c r="I190" s="878"/>
      <c r="J190" s="879"/>
    </row>
    <row r="191" spans="1:10" s="880" customFormat="1" ht="66" hidden="1">
      <c r="A191" s="873"/>
      <c r="B191" s="869" t="s">
        <v>3169</v>
      </c>
      <c r="C191" s="874" t="str">
        <f t="shared" si="2"/>
        <v>09.2017</v>
      </c>
      <c r="D191" s="869" t="s">
        <v>3941</v>
      </c>
      <c r="E191" s="742">
        <v>239640</v>
      </c>
      <c r="F191" s="875" t="s">
        <v>3890</v>
      </c>
      <c r="G191" s="876" t="s">
        <v>3891</v>
      </c>
      <c r="H191" s="877" t="s">
        <v>3950</v>
      </c>
      <c r="I191" s="878"/>
      <c r="J191" s="879"/>
    </row>
    <row r="192" spans="1:10" s="880" customFormat="1" ht="52.8" hidden="1">
      <c r="A192" s="873"/>
      <c r="B192" s="869" t="s">
        <v>3169</v>
      </c>
      <c r="C192" s="874" t="str">
        <f t="shared" si="2"/>
        <v>09.2017</v>
      </c>
      <c r="D192" s="869" t="s">
        <v>3941</v>
      </c>
      <c r="E192" s="742">
        <v>29955</v>
      </c>
      <c r="F192" s="875" t="s">
        <v>3892</v>
      </c>
      <c r="G192" s="876" t="s">
        <v>3893</v>
      </c>
      <c r="H192" s="877" t="s">
        <v>3951</v>
      </c>
      <c r="I192" s="878"/>
      <c r="J192" s="879"/>
    </row>
    <row r="193" spans="1:10" s="835" customFormat="1" ht="26.4">
      <c r="A193" s="865"/>
      <c r="B193" s="806" t="s">
        <v>2938</v>
      </c>
      <c r="C193" s="833" t="str">
        <f t="shared" si="2"/>
        <v>11.2017</v>
      </c>
      <c r="D193" s="806" t="s">
        <v>3941</v>
      </c>
      <c r="E193" s="647">
        <v>14977</v>
      </c>
      <c r="F193" s="837" t="s">
        <v>3894</v>
      </c>
      <c r="G193" s="838" t="s">
        <v>3895</v>
      </c>
      <c r="H193" s="839" t="s">
        <v>3952</v>
      </c>
      <c r="I193" s="866"/>
      <c r="J193" s="867"/>
    </row>
    <row r="194" spans="1:10" s="835" customFormat="1" ht="26.4">
      <c r="A194" s="865"/>
      <c r="B194" s="806" t="s">
        <v>2938</v>
      </c>
      <c r="C194" s="833" t="str">
        <f t="shared" si="2"/>
        <v>11.2017</v>
      </c>
      <c r="D194" s="806" t="s">
        <v>3941</v>
      </c>
      <c r="E194" s="647">
        <v>29955</v>
      </c>
      <c r="F194" s="837" t="s">
        <v>3898</v>
      </c>
      <c r="G194" s="838" t="s">
        <v>3899</v>
      </c>
      <c r="H194" s="839" t="s">
        <v>3953</v>
      </c>
      <c r="I194" s="866"/>
      <c r="J194" s="867"/>
    </row>
    <row r="195" spans="1:10" s="835" customFormat="1" ht="26.4">
      <c r="A195" s="865"/>
      <c r="B195" s="806" t="s">
        <v>2938</v>
      </c>
      <c r="C195" s="833" t="str">
        <f t="shared" si="2"/>
        <v>11.2017</v>
      </c>
      <c r="D195" s="806" t="s">
        <v>3941</v>
      </c>
      <c r="E195" s="647">
        <v>149775</v>
      </c>
      <c r="F195" s="837" t="s">
        <v>3896</v>
      </c>
      <c r="G195" s="838" t="s">
        <v>3897</v>
      </c>
      <c r="H195" s="839" t="s">
        <v>3954</v>
      </c>
      <c r="I195" s="866"/>
      <c r="J195" s="867"/>
    </row>
    <row r="196" spans="1:10" s="835" customFormat="1" ht="26.4">
      <c r="A196" s="865"/>
      <c r="B196" s="806" t="s">
        <v>2691</v>
      </c>
      <c r="C196" s="833" t="str">
        <f t="shared" si="2"/>
        <v>12.2017</v>
      </c>
      <c r="D196" s="806" t="s">
        <v>3941</v>
      </c>
      <c r="E196" s="647">
        <v>34448</v>
      </c>
      <c r="F196" s="837" t="s">
        <v>3900</v>
      </c>
      <c r="G196" s="838" t="s">
        <v>3901</v>
      </c>
      <c r="H196" s="839" t="s">
        <v>3955</v>
      </c>
      <c r="I196" s="866"/>
      <c r="J196" s="867"/>
    </row>
    <row r="197" spans="1:10" s="835" customFormat="1" ht="52.8">
      <c r="A197" s="865"/>
      <c r="B197" s="806" t="s">
        <v>2710</v>
      </c>
      <c r="C197" s="833" t="str">
        <f t="shared" ref="C197:C260" si="3">+MID(B197,4,8)</f>
        <v>12.2017</v>
      </c>
      <c r="D197" s="806" t="s">
        <v>3941</v>
      </c>
      <c r="E197" s="647">
        <v>552669</v>
      </c>
      <c r="F197" s="837" t="s">
        <v>3868</v>
      </c>
      <c r="G197" s="838" t="s">
        <v>3869</v>
      </c>
      <c r="H197" s="839" t="s">
        <v>3956</v>
      </c>
      <c r="I197" s="866"/>
      <c r="J197" s="867"/>
    </row>
    <row r="198" spans="1:10" s="835" customFormat="1" ht="26.4">
      <c r="A198" s="865"/>
      <c r="B198" s="806" t="s">
        <v>3842</v>
      </c>
      <c r="C198" s="833" t="str">
        <f t="shared" si="3"/>
        <v>04.2018</v>
      </c>
      <c r="D198" s="806" t="s">
        <v>3941</v>
      </c>
      <c r="E198" s="647">
        <v>34448</v>
      </c>
      <c r="F198" s="837" t="s">
        <v>3868</v>
      </c>
      <c r="G198" s="838" t="s">
        <v>3869</v>
      </c>
      <c r="H198" s="839" t="s">
        <v>3957</v>
      </c>
      <c r="I198" s="866"/>
      <c r="J198" s="867"/>
    </row>
    <row r="199" spans="1:10" s="835" customFormat="1" ht="66">
      <c r="A199" s="865"/>
      <c r="B199" s="806" t="s">
        <v>3939</v>
      </c>
      <c r="C199" s="833" t="str">
        <f t="shared" si="3"/>
        <v>05.2018</v>
      </c>
      <c r="D199" s="806" t="s">
        <v>3941</v>
      </c>
      <c r="E199" s="647">
        <v>34448</v>
      </c>
      <c r="F199" s="837" t="s">
        <v>3902</v>
      </c>
      <c r="G199" s="838" t="s">
        <v>3903</v>
      </c>
      <c r="H199" s="839" t="s">
        <v>3958</v>
      </c>
      <c r="I199" s="866"/>
      <c r="J199" s="867"/>
    </row>
    <row r="200" spans="1:10" s="835" customFormat="1" ht="39.6">
      <c r="A200" s="865"/>
      <c r="B200" s="806" t="s">
        <v>3939</v>
      </c>
      <c r="C200" s="833" t="str">
        <f t="shared" si="3"/>
        <v>05.2018</v>
      </c>
      <c r="D200" s="806" t="s">
        <v>3941</v>
      </c>
      <c r="E200" s="647">
        <v>120000</v>
      </c>
      <c r="F200" s="837" t="s">
        <v>3902</v>
      </c>
      <c r="G200" s="838" t="s">
        <v>3903</v>
      </c>
      <c r="H200" s="839" t="s">
        <v>3959</v>
      </c>
      <c r="I200" s="866"/>
      <c r="J200" s="867"/>
    </row>
    <row r="201" spans="1:10" s="880" customFormat="1" ht="52.8" hidden="1">
      <c r="A201" s="873"/>
      <c r="B201" s="869" t="s">
        <v>3639</v>
      </c>
      <c r="C201" s="874" t="str">
        <f t="shared" si="3"/>
        <v>03.2017</v>
      </c>
      <c r="D201" s="869" t="s">
        <v>4052</v>
      </c>
      <c r="E201" s="742">
        <v>1074198.3999999999</v>
      </c>
      <c r="F201" s="875" t="s">
        <v>3960</v>
      </c>
      <c r="G201" s="876" t="s">
        <v>3961</v>
      </c>
      <c r="H201" s="877" t="s">
        <v>3971</v>
      </c>
      <c r="I201" s="878"/>
      <c r="J201" s="879"/>
    </row>
    <row r="202" spans="1:10" s="880" customFormat="1" ht="52.8" hidden="1">
      <c r="A202" s="873"/>
      <c r="B202" s="869" t="s">
        <v>3639</v>
      </c>
      <c r="C202" s="874" t="str">
        <f t="shared" si="3"/>
        <v>03.2017</v>
      </c>
      <c r="D202" s="869" t="s">
        <v>4052</v>
      </c>
      <c r="E202" s="742">
        <v>99066.8</v>
      </c>
      <c r="F202" s="875" t="s">
        <v>3960</v>
      </c>
      <c r="G202" s="876" t="s">
        <v>3961</v>
      </c>
      <c r="H202" s="877" t="s">
        <v>3972</v>
      </c>
      <c r="I202" s="878"/>
      <c r="J202" s="879"/>
    </row>
    <row r="203" spans="1:10" s="880" customFormat="1" ht="52.8" hidden="1">
      <c r="A203" s="873"/>
      <c r="B203" s="869" t="s">
        <v>3640</v>
      </c>
      <c r="C203" s="874" t="str">
        <f t="shared" si="3"/>
        <v>04.2017</v>
      </c>
      <c r="D203" s="869" t="s">
        <v>4052</v>
      </c>
      <c r="E203" s="742">
        <v>394256</v>
      </c>
      <c r="F203" s="875" t="s">
        <v>3960</v>
      </c>
      <c r="G203" s="876" t="s">
        <v>3961</v>
      </c>
      <c r="H203" s="877" t="s">
        <v>3973</v>
      </c>
      <c r="I203" s="878"/>
      <c r="J203" s="879"/>
    </row>
    <row r="204" spans="1:10" s="835" customFormat="1" ht="26.4" hidden="1">
      <c r="A204" s="865"/>
      <c r="B204" s="806" t="s">
        <v>3848</v>
      </c>
      <c r="C204" s="833" t="str">
        <f t="shared" si="3"/>
        <v>04.2016</v>
      </c>
      <c r="D204" s="806" t="s">
        <v>4053</v>
      </c>
      <c r="E204" s="647">
        <v>362869.46</v>
      </c>
      <c r="F204" s="837" t="s">
        <v>3962</v>
      </c>
      <c r="G204" s="838" t="s">
        <v>3963</v>
      </c>
      <c r="H204" s="839" t="s">
        <v>3974</v>
      </c>
      <c r="I204" s="866"/>
      <c r="J204" s="867"/>
    </row>
    <row r="205" spans="1:10" s="835" customFormat="1" ht="26.4" hidden="1">
      <c r="A205" s="865"/>
      <c r="B205" s="806" t="s">
        <v>3848</v>
      </c>
      <c r="C205" s="833" t="str">
        <f t="shared" si="3"/>
        <v>04.2016</v>
      </c>
      <c r="D205" s="806" t="s">
        <v>4053</v>
      </c>
      <c r="E205" s="647">
        <v>78490</v>
      </c>
      <c r="F205" s="837" t="s">
        <v>3962</v>
      </c>
      <c r="G205" s="838" t="s">
        <v>3963</v>
      </c>
      <c r="H205" s="839" t="s">
        <v>3975</v>
      </c>
      <c r="I205" s="866"/>
      <c r="J205" s="867"/>
    </row>
    <row r="206" spans="1:10" s="835" customFormat="1" ht="26.4" hidden="1">
      <c r="A206" s="865"/>
      <c r="B206" s="806" t="s">
        <v>3857</v>
      </c>
      <c r="C206" s="833" t="str">
        <f t="shared" si="3"/>
        <v>09.2016</v>
      </c>
      <c r="D206" s="806" t="s">
        <v>4053</v>
      </c>
      <c r="E206" s="647">
        <v>87100</v>
      </c>
      <c r="F206" s="837" t="s">
        <v>3962</v>
      </c>
      <c r="G206" s="838" t="s">
        <v>3963</v>
      </c>
      <c r="H206" s="839" t="s">
        <v>3976</v>
      </c>
      <c r="I206" s="866"/>
      <c r="J206" s="867"/>
    </row>
    <row r="207" spans="1:10" s="835" customFormat="1" ht="26.4" hidden="1">
      <c r="A207" s="865"/>
      <c r="B207" s="806" t="s">
        <v>3857</v>
      </c>
      <c r="C207" s="833" t="str">
        <f t="shared" si="3"/>
        <v>09.2016</v>
      </c>
      <c r="D207" s="806" t="s">
        <v>4053</v>
      </c>
      <c r="E207" s="647">
        <v>399505.59</v>
      </c>
      <c r="F207" s="837" t="s">
        <v>3962</v>
      </c>
      <c r="G207" s="838" t="s">
        <v>3963</v>
      </c>
      <c r="H207" s="839" t="s">
        <v>3977</v>
      </c>
      <c r="I207" s="866"/>
      <c r="J207" s="867"/>
    </row>
    <row r="208" spans="1:10" s="835" customFormat="1" ht="26.4" hidden="1">
      <c r="A208" s="865"/>
      <c r="B208" s="806" t="s">
        <v>3054</v>
      </c>
      <c r="C208" s="833" t="str">
        <f t="shared" si="3"/>
        <v>11.2016</v>
      </c>
      <c r="D208" s="806" t="s">
        <v>4053</v>
      </c>
      <c r="E208" s="647">
        <v>87100</v>
      </c>
      <c r="F208" s="837" t="s">
        <v>3962</v>
      </c>
      <c r="G208" s="838" t="s">
        <v>3963</v>
      </c>
      <c r="H208" s="839" t="s">
        <v>3978</v>
      </c>
      <c r="I208" s="866"/>
      <c r="J208" s="867"/>
    </row>
    <row r="209" spans="1:10" s="835" customFormat="1" ht="26.4" hidden="1">
      <c r="A209" s="865"/>
      <c r="B209" s="806" t="s">
        <v>3054</v>
      </c>
      <c r="C209" s="833" t="str">
        <f t="shared" si="3"/>
        <v>11.2016</v>
      </c>
      <c r="D209" s="806" t="s">
        <v>4053</v>
      </c>
      <c r="E209" s="647">
        <v>418092.46</v>
      </c>
      <c r="F209" s="837" t="s">
        <v>3962</v>
      </c>
      <c r="G209" s="838" t="s">
        <v>3963</v>
      </c>
      <c r="H209" s="839" t="s">
        <v>3979</v>
      </c>
      <c r="I209" s="866"/>
      <c r="J209" s="867"/>
    </row>
    <row r="210" spans="1:10" s="880" customFormat="1" ht="26.4" hidden="1">
      <c r="A210" s="873"/>
      <c r="B210" s="869" t="s">
        <v>3859</v>
      </c>
      <c r="C210" s="874" t="str">
        <f t="shared" si="3"/>
        <v>01.2017</v>
      </c>
      <c r="D210" s="869" t="s">
        <v>4053</v>
      </c>
      <c r="E210" s="742">
        <v>98240</v>
      </c>
      <c r="F210" s="875" t="s">
        <v>3962</v>
      </c>
      <c r="G210" s="876" t="s">
        <v>3963</v>
      </c>
      <c r="H210" s="877" t="s">
        <v>3980</v>
      </c>
      <c r="I210" s="878"/>
      <c r="J210" s="879"/>
    </row>
    <row r="211" spans="1:10" s="880" customFormat="1" ht="26.4" hidden="1">
      <c r="A211" s="873"/>
      <c r="B211" s="869" t="s">
        <v>3627</v>
      </c>
      <c r="C211" s="874" t="str">
        <f t="shared" si="3"/>
        <v>01.2017</v>
      </c>
      <c r="D211" s="869" t="s">
        <v>4053</v>
      </c>
      <c r="E211" s="742">
        <v>413370.92</v>
      </c>
      <c r="F211" s="875" t="s">
        <v>3962</v>
      </c>
      <c r="G211" s="876" t="s">
        <v>3963</v>
      </c>
      <c r="H211" s="877" t="s">
        <v>3981</v>
      </c>
      <c r="I211" s="878"/>
      <c r="J211" s="879"/>
    </row>
    <row r="212" spans="1:10" s="880" customFormat="1" ht="52.8" hidden="1">
      <c r="A212" s="873"/>
      <c r="B212" s="869" t="s">
        <v>3841</v>
      </c>
      <c r="C212" s="874" t="str">
        <f t="shared" si="3"/>
        <v>03.2017</v>
      </c>
      <c r="D212" s="869" t="s">
        <v>4053</v>
      </c>
      <c r="E212" s="742">
        <v>418428.69</v>
      </c>
      <c r="F212" s="875" t="s">
        <v>3962</v>
      </c>
      <c r="G212" s="876" t="s">
        <v>3963</v>
      </c>
      <c r="H212" s="877" t="s">
        <v>3982</v>
      </c>
      <c r="I212" s="878"/>
      <c r="J212" s="879"/>
    </row>
    <row r="213" spans="1:10" s="835" customFormat="1" ht="26.4" hidden="1">
      <c r="A213" s="865"/>
      <c r="B213" s="806" t="s">
        <v>4062</v>
      </c>
      <c r="C213" s="833" t="str">
        <f t="shared" si="3"/>
        <v>02.2017</v>
      </c>
      <c r="D213" s="806" t="s">
        <v>4054</v>
      </c>
      <c r="E213" s="647">
        <v>311078.90000000002</v>
      </c>
      <c r="F213" s="837" t="s">
        <v>3964</v>
      </c>
      <c r="G213" s="838" t="s">
        <v>3965</v>
      </c>
      <c r="H213" s="839" t="s">
        <v>3983</v>
      </c>
      <c r="I213" s="866"/>
      <c r="J213" s="867"/>
    </row>
    <row r="214" spans="1:10" s="835" customFormat="1" ht="39.6">
      <c r="A214" s="865"/>
      <c r="B214" s="806" t="s">
        <v>3639</v>
      </c>
      <c r="C214" s="833" t="str">
        <f t="shared" si="3"/>
        <v>03.2017</v>
      </c>
      <c r="D214" s="806" t="s">
        <v>4054</v>
      </c>
      <c r="E214" s="647">
        <v>372551.5</v>
      </c>
      <c r="F214" s="837" t="s">
        <v>3637</v>
      </c>
      <c r="G214" s="838" t="s">
        <v>3635</v>
      </c>
      <c r="H214" s="839" t="s">
        <v>3984</v>
      </c>
      <c r="I214" s="866"/>
      <c r="J214" s="867"/>
    </row>
    <row r="215" spans="1:10" s="835" customFormat="1" ht="52.8">
      <c r="A215" s="865"/>
      <c r="B215" s="806" t="s">
        <v>3640</v>
      </c>
      <c r="C215" s="833" t="str">
        <f t="shared" si="3"/>
        <v>04.2017</v>
      </c>
      <c r="D215" s="806" t="s">
        <v>4054</v>
      </c>
      <c r="E215" s="647">
        <v>389153.1</v>
      </c>
      <c r="F215" s="837" t="s">
        <v>3637</v>
      </c>
      <c r="G215" s="838" t="s">
        <v>3635</v>
      </c>
      <c r="H215" s="839" t="s">
        <v>3985</v>
      </c>
      <c r="I215" s="866"/>
      <c r="J215" s="867"/>
    </row>
    <row r="216" spans="1:10" s="835" customFormat="1" ht="39.6">
      <c r="A216" s="865"/>
      <c r="B216" s="806" t="s">
        <v>2765</v>
      </c>
      <c r="C216" s="833" t="str">
        <f t="shared" si="3"/>
        <v>02.2016</v>
      </c>
      <c r="D216" s="806" t="s">
        <v>4055</v>
      </c>
      <c r="E216" s="647">
        <v>147993</v>
      </c>
      <c r="F216" s="837" t="s">
        <v>3966</v>
      </c>
      <c r="G216" s="838" t="s">
        <v>3967</v>
      </c>
      <c r="H216" s="839" t="s">
        <v>2921</v>
      </c>
      <c r="I216" s="866"/>
      <c r="J216" s="867"/>
    </row>
    <row r="217" spans="1:10" s="835" customFormat="1" ht="26.4" hidden="1">
      <c r="A217" s="865"/>
      <c r="B217" s="806" t="s">
        <v>3181</v>
      </c>
      <c r="C217" s="833" t="str">
        <f t="shared" si="3"/>
        <v>04.2016</v>
      </c>
      <c r="D217" s="806" t="s">
        <v>4055</v>
      </c>
      <c r="E217" s="647">
        <v>279546</v>
      </c>
      <c r="F217" s="837" t="s">
        <v>3968</v>
      </c>
      <c r="G217" s="838" t="s">
        <v>3967</v>
      </c>
      <c r="H217" s="839" t="s">
        <v>3986</v>
      </c>
      <c r="I217" s="866"/>
      <c r="J217" s="867"/>
    </row>
    <row r="218" spans="1:10" s="835" customFormat="1" ht="52.8" hidden="1">
      <c r="A218" s="865"/>
      <c r="B218" s="806" t="s">
        <v>3838</v>
      </c>
      <c r="C218" s="833" t="str">
        <f t="shared" si="3"/>
        <v>06.2016</v>
      </c>
      <c r="D218" s="806" t="s">
        <v>4055</v>
      </c>
      <c r="E218" s="647">
        <v>916404</v>
      </c>
      <c r="F218" s="837" t="s">
        <v>3968</v>
      </c>
      <c r="G218" s="838" t="s">
        <v>3967</v>
      </c>
      <c r="H218" s="839" t="s">
        <v>3987</v>
      </c>
      <c r="I218" s="866"/>
      <c r="J218" s="867"/>
    </row>
    <row r="219" spans="1:10" s="835" customFormat="1" ht="26.4" hidden="1">
      <c r="A219" s="865"/>
      <c r="B219" s="806" t="s">
        <v>3856</v>
      </c>
      <c r="C219" s="833" t="str">
        <f t="shared" si="3"/>
        <v>08.2016</v>
      </c>
      <c r="D219" s="806" t="s">
        <v>4055</v>
      </c>
      <c r="E219" s="647">
        <v>52460</v>
      </c>
      <c r="F219" s="837" t="s">
        <v>3968</v>
      </c>
      <c r="G219" s="838" t="s">
        <v>3967</v>
      </c>
      <c r="H219" s="839" t="s">
        <v>3988</v>
      </c>
      <c r="I219" s="866"/>
      <c r="J219" s="867"/>
    </row>
    <row r="220" spans="1:10" s="835" customFormat="1" ht="39.6" hidden="1">
      <c r="A220" s="865"/>
      <c r="B220" s="806" t="s">
        <v>3857</v>
      </c>
      <c r="C220" s="833" t="str">
        <f t="shared" si="3"/>
        <v>09.2016</v>
      </c>
      <c r="D220" s="806" t="s">
        <v>4055</v>
      </c>
      <c r="E220" s="647">
        <v>285652</v>
      </c>
      <c r="F220" s="837" t="s">
        <v>3968</v>
      </c>
      <c r="G220" s="838" t="s">
        <v>3967</v>
      </c>
      <c r="H220" s="839" t="s">
        <v>3989</v>
      </c>
      <c r="I220" s="866"/>
      <c r="J220" s="867"/>
    </row>
    <row r="221" spans="1:10" s="880" customFormat="1" ht="39.6" hidden="1">
      <c r="A221" s="873"/>
      <c r="B221" s="869" t="s">
        <v>3042</v>
      </c>
      <c r="C221" s="874" t="str">
        <f t="shared" si="3"/>
        <v>11.2016</v>
      </c>
      <c r="D221" s="869" t="s">
        <v>4055</v>
      </c>
      <c r="E221" s="742">
        <v>192308</v>
      </c>
      <c r="F221" s="875" t="s">
        <v>3968</v>
      </c>
      <c r="G221" s="876" t="s">
        <v>3967</v>
      </c>
      <c r="H221" s="877" t="s">
        <v>3990</v>
      </c>
      <c r="I221" s="878"/>
      <c r="J221" s="879"/>
    </row>
    <row r="222" spans="1:10" s="835" customFormat="1" ht="26.4" hidden="1">
      <c r="A222" s="865"/>
      <c r="B222" s="806" t="s">
        <v>3054</v>
      </c>
      <c r="C222" s="833" t="str">
        <f t="shared" si="3"/>
        <v>11.2016</v>
      </c>
      <c r="D222" s="806" t="s">
        <v>4055</v>
      </c>
      <c r="E222" s="647">
        <v>171965</v>
      </c>
      <c r="F222" s="837" t="s">
        <v>3968</v>
      </c>
      <c r="G222" s="838" t="s">
        <v>3967</v>
      </c>
      <c r="H222" s="839" t="s">
        <v>3991</v>
      </c>
      <c r="I222" s="866"/>
      <c r="J222" s="867"/>
    </row>
    <row r="223" spans="1:10" s="835" customFormat="1" ht="39.6" hidden="1">
      <c r="A223" s="865"/>
      <c r="B223" s="806" t="s">
        <v>3858</v>
      </c>
      <c r="C223" s="833" t="str">
        <f t="shared" si="3"/>
        <v>12.2016</v>
      </c>
      <c r="D223" s="806" t="s">
        <v>4055</v>
      </c>
      <c r="E223" s="647">
        <v>144620</v>
      </c>
      <c r="F223" s="837" t="s">
        <v>3968</v>
      </c>
      <c r="G223" s="838" t="s">
        <v>3967</v>
      </c>
      <c r="H223" s="839" t="s">
        <v>3992</v>
      </c>
      <c r="I223" s="866"/>
      <c r="J223" s="867"/>
    </row>
    <row r="224" spans="1:10" s="880" customFormat="1" ht="26.4" hidden="1">
      <c r="A224" s="873"/>
      <c r="B224" s="869" t="s">
        <v>3627</v>
      </c>
      <c r="C224" s="874" t="str">
        <f t="shared" si="3"/>
        <v>01.2017</v>
      </c>
      <c r="D224" s="869" t="s">
        <v>4055</v>
      </c>
      <c r="E224" s="742">
        <v>295901</v>
      </c>
      <c r="F224" s="875" t="s">
        <v>3968</v>
      </c>
      <c r="G224" s="876" t="s">
        <v>3967</v>
      </c>
      <c r="H224" s="877" t="s">
        <v>3993</v>
      </c>
      <c r="I224" s="878"/>
      <c r="J224" s="879"/>
    </row>
    <row r="225" spans="1:10" s="880" customFormat="1" ht="26.4" hidden="1">
      <c r="A225" s="873"/>
      <c r="B225" s="869" t="s">
        <v>3841</v>
      </c>
      <c r="C225" s="874" t="str">
        <f t="shared" si="3"/>
        <v>03.2017</v>
      </c>
      <c r="D225" s="869" t="s">
        <v>4055</v>
      </c>
      <c r="E225" s="742">
        <v>528676</v>
      </c>
      <c r="F225" s="875" t="s">
        <v>3968</v>
      </c>
      <c r="G225" s="876" t="s">
        <v>3967</v>
      </c>
      <c r="H225" s="877" t="s">
        <v>3994</v>
      </c>
      <c r="I225" s="878"/>
      <c r="J225" s="879"/>
    </row>
    <row r="226" spans="1:10" s="835" customFormat="1" ht="52.8">
      <c r="A226" s="865"/>
      <c r="B226" s="806" t="s">
        <v>2778</v>
      </c>
      <c r="C226" s="833" t="str">
        <f t="shared" si="3"/>
        <v>05.2017</v>
      </c>
      <c r="D226" s="806" t="s">
        <v>4056</v>
      </c>
      <c r="E226" s="647">
        <v>145780</v>
      </c>
      <c r="F226" s="837" t="s">
        <v>3960</v>
      </c>
      <c r="G226" s="838" t="s">
        <v>3961</v>
      </c>
      <c r="H226" s="839" t="s">
        <v>3995</v>
      </c>
      <c r="I226" s="866"/>
      <c r="J226" s="867"/>
    </row>
    <row r="227" spans="1:10" s="880" customFormat="1" ht="52.8" hidden="1">
      <c r="A227" s="873"/>
      <c r="B227" s="869" t="s">
        <v>4063</v>
      </c>
      <c r="C227" s="874" t="str">
        <f t="shared" si="3"/>
        <v>07.2017</v>
      </c>
      <c r="D227" s="869" t="s">
        <v>4056</v>
      </c>
      <c r="E227" s="742">
        <v>485373</v>
      </c>
      <c r="F227" s="875" t="s">
        <v>3960</v>
      </c>
      <c r="G227" s="876" t="s">
        <v>3961</v>
      </c>
      <c r="H227" s="877" t="s">
        <v>3996</v>
      </c>
      <c r="I227" s="878"/>
      <c r="J227" s="879"/>
    </row>
    <row r="228" spans="1:10" s="880" customFormat="1" ht="52.8" hidden="1">
      <c r="A228" s="873"/>
      <c r="B228" s="869" t="s">
        <v>3641</v>
      </c>
      <c r="C228" s="874" t="str">
        <f t="shared" si="3"/>
        <v>09.2017</v>
      </c>
      <c r="D228" s="869" t="s">
        <v>4056</v>
      </c>
      <c r="E228" s="742">
        <v>158050</v>
      </c>
      <c r="F228" s="875" t="s">
        <v>3960</v>
      </c>
      <c r="G228" s="876" t="s">
        <v>3961</v>
      </c>
      <c r="H228" s="877" t="s">
        <v>3685</v>
      </c>
      <c r="I228" s="878"/>
      <c r="J228" s="879"/>
    </row>
    <row r="229" spans="1:10" s="880" customFormat="1" ht="39.6" hidden="1">
      <c r="A229" s="873"/>
      <c r="B229" s="869" t="s">
        <v>2787</v>
      </c>
      <c r="C229" s="874" t="str">
        <f t="shared" si="3"/>
        <v>10.2017</v>
      </c>
      <c r="D229" s="869" t="s">
        <v>4056</v>
      </c>
      <c r="E229" s="742">
        <v>122362</v>
      </c>
      <c r="F229" s="875" t="s">
        <v>3637</v>
      </c>
      <c r="G229" s="876" t="s">
        <v>3635</v>
      </c>
      <c r="H229" s="877" t="s">
        <v>3997</v>
      </c>
      <c r="I229" s="878"/>
      <c r="J229" s="879"/>
    </row>
    <row r="230" spans="1:10" s="880" customFormat="1" ht="52.8" hidden="1">
      <c r="A230" s="873"/>
      <c r="B230" s="869" t="s">
        <v>4064</v>
      </c>
      <c r="C230" s="874" t="str">
        <f t="shared" si="3"/>
        <v>11.2017</v>
      </c>
      <c r="D230" s="869" t="s">
        <v>4056</v>
      </c>
      <c r="E230" s="742">
        <v>229714</v>
      </c>
      <c r="F230" s="875" t="s">
        <v>3960</v>
      </c>
      <c r="G230" s="876" t="s">
        <v>3961</v>
      </c>
      <c r="H230" s="877" t="s">
        <v>3998</v>
      </c>
      <c r="I230" s="878"/>
      <c r="J230" s="879"/>
    </row>
    <row r="231" spans="1:10" s="880" customFormat="1" ht="39.6" hidden="1">
      <c r="A231" s="873"/>
      <c r="B231" s="869" t="s">
        <v>2710</v>
      </c>
      <c r="C231" s="874" t="str">
        <f t="shared" si="3"/>
        <v>12.2017</v>
      </c>
      <c r="D231" s="869" t="s">
        <v>4056</v>
      </c>
      <c r="E231" s="742">
        <v>337319</v>
      </c>
      <c r="F231" s="875" t="s">
        <v>3637</v>
      </c>
      <c r="G231" s="876" t="s">
        <v>3635</v>
      </c>
      <c r="H231" s="877" t="s">
        <v>3999</v>
      </c>
      <c r="I231" s="878"/>
      <c r="J231" s="879"/>
    </row>
    <row r="232" spans="1:10" s="880" customFormat="1" ht="39.6" hidden="1">
      <c r="A232" s="873"/>
      <c r="B232" s="869" t="s">
        <v>3628</v>
      </c>
      <c r="C232" s="874" t="str">
        <f t="shared" si="3"/>
        <v>12.2017</v>
      </c>
      <c r="D232" s="869" t="s">
        <v>4056</v>
      </c>
      <c r="E232" s="742">
        <v>313926</v>
      </c>
      <c r="F232" s="875" t="s">
        <v>3637</v>
      </c>
      <c r="G232" s="876" t="s">
        <v>3635</v>
      </c>
      <c r="H232" s="877" t="s">
        <v>4000</v>
      </c>
      <c r="I232" s="878"/>
      <c r="J232" s="879"/>
    </row>
    <row r="233" spans="1:10" s="880" customFormat="1" ht="52.8" hidden="1">
      <c r="A233" s="873"/>
      <c r="B233" s="869" t="s">
        <v>2729</v>
      </c>
      <c r="C233" s="874" t="str">
        <f t="shared" si="3"/>
        <v>01.2018</v>
      </c>
      <c r="D233" s="869" t="s">
        <v>4056</v>
      </c>
      <c r="E233" s="742">
        <v>298375</v>
      </c>
      <c r="F233" s="875" t="s">
        <v>3960</v>
      </c>
      <c r="G233" s="876" t="s">
        <v>3961</v>
      </c>
      <c r="H233" s="877" t="s">
        <v>4001</v>
      </c>
      <c r="I233" s="878"/>
      <c r="J233" s="879"/>
    </row>
    <row r="234" spans="1:10" s="880" customFormat="1" ht="39.6" hidden="1">
      <c r="A234" s="873"/>
      <c r="B234" s="869" t="s">
        <v>2939</v>
      </c>
      <c r="C234" s="874" t="str">
        <f t="shared" si="3"/>
        <v>02.2018</v>
      </c>
      <c r="D234" s="869" t="s">
        <v>4056</v>
      </c>
      <c r="E234" s="742">
        <v>168237</v>
      </c>
      <c r="F234" s="875" t="s">
        <v>3637</v>
      </c>
      <c r="G234" s="876" t="s">
        <v>3635</v>
      </c>
      <c r="H234" s="877" t="s">
        <v>4002</v>
      </c>
      <c r="I234" s="878"/>
      <c r="J234" s="879"/>
    </row>
    <row r="235" spans="1:10" s="880" customFormat="1" ht="39.6" hidden="1">
      <c r="A235" s="873"/>
      <c r="B235" s="869" t="s">
        <v>2792</v>
      </c>
      <c r="C235" s="874" t="str">
        <f t="shared" si="3"/>
        <v>05.2018</v>
      </c>
      <c r="D235" s="869" t="s">
        <v>4056</v>
      </c>
      <c r="E235" s="742">
        <v>265646</v>
      </c>
      <c r="F235" s="875" t="s">
        <v>3637</v>
      </c>
      <c r="G235" s="876" t="s">
        <v>3635</v>
      </c>
      <c r="H235" s="877" t="s">
        <v>4003</v>
      </c>
      <c r="I235" s="878"/>
      <c r="J235" s="879"/>
    </row>
    <row r="236" spans="1:10" s="880" customFormat="1" ht="39.6" hidden="1">
      <c r="A236" s="873"/>
      <c r="B236" s="869" t="s">
        <v>3649</v>
      </c>
      <c r="C236" s="874" t="str">
        <f t="shared" si="3"/>
        <v>08.2018</v>
      </c>
      <c r="D236" s="869" t="s">
        <v>4056</v>
      </c>
      <c r="E236" s="742">
        <v>92980</v>
      </c>
      <c r="F236" s="875" t="s">
        <v>3637</v>
      </c>
      <c r="G236" s="876" t="s">
        <v>3635</v>
      </c>
      <c r="H236" s="877" t="s">
        <v>4004</v>
      </c>
      <c r="I236" s="878"/>
      <c r="J236" s="879"/>
    </row>
    <row r="237" spans="1:10" s="880" customFormat="1" ht="39.6" hidden="1">
      <c r="A237" s="873"/>
      <c r="B237" s="869" t="s">
        <v>3649</v>
      </c>
      <c r="C237" s="874" t="str">
        <f t="shared" si="3"/>
        <v>08.2018</v>
      </c>
      <c r="D237" s="869" t="s">
        <v>4056</v>
      </c>
      <c r="E237" s="742">
        <v>226040</v>
      </c>
      <c r="F237" s="875" t="s">
        <v>3637</v>
      </c>
      <c r="G237" s="876" t="s">
        <v>3635</v>
      </c>
      <c r="H237" s="877" t="s">
        <v>4005</v>
      </c>
      <c r="I237" s="878"/>
      <c r="J237" s="879"/>
    </row>
    <row r="238" spans="1:10" s="835" customFormat="1" ht="52.8">
      <c r="A238" s="865"/>
      <c r="B238" s="806" t="s">
        <v>3192</v>
      </c>
      <c r="C238" s="833" t="str">
        <f t="shared" si="3"/>
        <v>08.2018</v>
      </c>
      <c r="D238" s="806" t="s">
        <v>4056</v>
      </c>
      <c r="E238" s="647">
        <v>273314</v>
      </c>
      <c r="F238" s="837" t="s">
        <v>3960</v>
      </c>
      <c r="G238" s="838" t="s">
        <v>3961</v>
      </c>
      <c r="H238" s="839" t="s">
        <v>4006</v>
      </c>
      <c r="I238" s="866"/>
      <c r="J238" s="867"/>
    </row>
    <row r="239" spans="1:10" s="880" customFormat="1" ht="52.8" hidden="1">
      <c r="A239" s="873"/>
      <c r="B239" s="869" t="s">
        <v>3639</v>
      </c>
      <c r="C239" s="874" t="str">
        <f t="shared" si="3"/>
        <v>03.2017</v>
      </c>
      <c r="D239" s="869" t="s">
        <v>4057</v>
      </c>
      <c r="E239" s="742">
        <v>229084</v>
      </c>
      <c r="F239" s="875" t="s">
        <v>3960</v>
      </c>
      <c r="G239" s="876" t="s">
        <v>3961</v>
      </c>
      <c r="H239" s="877" t="s">
        <v>4007</v>
      </c>
      <c r="I239" s="878"/>
      <c r="J239" s="879"/>
    </row>
    <row r="240" spans="1:10" s="880" customFormat="1" ht="52.8" hidden="1">
      <c r="A240" s="873"/>
      <c r="B240" s="869" t="s">
        <v>3640</v>
      </c>
      <c r="C240" s="874" t="str">
        <f t="shared" si="3"/>
        <v>04.2017</v>
      </c>
      <c r="D240" s="869" t="s">
        <v>4057</v>
      </c>
      <c r="E240" s="742">
        <v>155622</v>
      </c>
      <c r="F240" s="875" t="s">
        <v>3960</v>
      </c>
      <c r="G240" s="876" t="s">
        <v>3961</v>
      </c>
      <c r="H240" s="877" t="s">
        <v>4008</v>
      </c>
      <c r="I240" s="878"/>
      <c r="J240" s="879"/>
    </row>
    <row r="241" spans="1:10" s="835" customFormat="1" ht="39.6" hidden="1">
      <c r="A241" s="865"/>
      <c r="B241" s="806" t="s">
        <v>4065</v>
      </c>
      <c r="C241" s="833" t="str">
        <f t="shared" si="3"/>
        <v>12.2016</v>
      </c>
      <c r="D241" s="806" t="s">
        <v>4058</v>
      </c>
      <c r="E241" s="647">
        <v>141000</v>
      </c>
      <c r="F241" s="837" t="s">
        <v>3964</v>
      </c>
      <c r="G241" s="838" t="s">
        <v>3965</v>
      </c>
      <c r="H241" s="839" t="s">
        <v>4009</v>
      </c>
      <c r="I241" s="866"/>
      <c r="J241" s="867"/>
    </row>
    <row r="242" spans="1:10" s="835" customFormat="1" ht="39.6">
      <c r="A242" s="865"/>
      <c r="B242" s="806" t="s">
        <v>4066</v>
      </c>
      <c r="C242" s="833" t="str">
        <f t="shared" si="3"/>
        <v>01.2017</v>
      </c>
      <c r="D242" s="806" t="s">
        <v>4058</v>
      </c>
      <c r="E242" s="647">
        <v>304925.65999999997</v>
      </c>
      <c r="F242" s="837" t="s">
        <v>3964</v>
      </c>
      <c r="G242" s="838" t="s">
        <v>3965</v>
      </c>
      <c r="H242" s="839" t="s">
        <v>4010</v>
      </c>
      <c r="I242" s="866"/>
      <c r="J242" s="867"/>
    </row>
    <row r="243" spans="1:10" s="835" customFormat="1" ht="52.8">
      <c r="A243" s="865"/>
      <c r="B243" s="806" t="s">
        <v>3639</v>
      </c>
      <c r="C243" s="833" t="str">
        <f t="shared" si="3"/>
        <v>03.2017</v>
      </c>
      <c r="D243" s="806" t="s">
        <v>4059</v>
      </c>
      <c r="E243" s="647">
        <v>1646216.5</v>
      </c>
      <c r="F243" s="837" t="s">
        <v>3960</v>
      </c>
      <c r="G243" s="838" t="s">
        <v>3961</v>
      </c>
      <c r="H243" s="839" t="s">
        <v>4011</v>
      </c>
      <c r="I243" s="866"/>
      <c r="J243" s="867"/>
    </row>
    <row r="244" spans="1:10" s="880" customFormat="1" ht="52.8" hidden="1">
      <c r="A244" s="873"/>
      <c r="B244" s="869" t="s">
        <v>3640</v>
      </c>
      <c r="C244" s="874" t="str">
        <f t="shared" si="3"/>
        <v>04.2017</v>
      </c>
      <c r="D244" s="869" t="s">
        <v>4059</v>
      </c>
      <c r="E244" s="742">
        <v>537095.99</v>
      </c>
      <c r="F244" s="875" t="s">
        <v>3960</v>
      </c>
      <c r="G244" s="876" t="s">
        <v>3961</v>
      </c>
      <c r="H244" s="877" t="s">
        <v>4012</v>
      </c>
      <c r="I244" s="878"/>
      <c r="J244" s="879"/>
    </row>
    <row r="245" spans="1:10" s="880" customFormat="1" ht="52.8" hidden="1">
      <c r="A245" s="873"/>
      <c r="B245" s="869" t="s">
        <v>3852</v>
      </c>
      <c r="C245" s="874" t="str">
        <f t="shared" si="3"/>
        <v>05.2017</v>
      </c>
      <c r="D245" s="869" t="s">
        <v>4059</v>
      </c>
      <c r="E245" s="742">
        <v>590697.34</v>
      </c>
      <c r="F245" s="875" t="s">
        <v>3960</v>
      </c>
      <c r="G245" s="876" t="s">
        <v>3961</v>
      </c>
      <c r="H245" s="877" t="s">
        <v>4013</v>
      </c>
      <c r="I245" s="878"/>
      <c r="J245" s="879"/>
    </row>
    <row r="246" spans="1:10" s="880" customFormat="1" ht="52.8" hidden="1">
      <c r="A246" s="873"/>
      <c r="B246" s="869" t="s">
        <v>2781</v>
      </c>
      <c r="C246" s="874" t="str">
        <f t="shared" si="3"/>
        <v>07.2017</v>
      </c>
      <c r="D246" s="869" t="s">
        <v>4059</v>
      </c>
      <c r="E246" s="742">
        <v>698844.18</v>
      </c>
      <c r="F246" s="875" t="s">
        <v>3960</v>
      </c>
      <c r="G246" s="876" t="s">
        <v>3961</v>
      </c>
      <c r="H246" s="877" t="s">
        <v>4014</v>
      </c>
      <c r="I246" s="878"/>
      <c r="J246" s="879"/>
    </row>
    <row r="247" spans="1:10" s="880" customFormat="1" ht="52.8" hidden="1">
      <c r="A247" s="873"/>
      <c r="B247" s="869" t="s">
        <v>2784</v>
      </c>
      <c r="C247" s="874" t="str">
        <f t="shared" si="3"/>
        <v>08.2017</v>
      </c>
      <c r="D247" s="869" t="s">
        <v>4059</v>
      </c>
      <c r="E247" s="742">
        <v>701652.1</v>
      </c>
      <c r="F247" s="875" t="s">
        <v>3960</v>
      </c>
      <c r="G247" s="876" t="s">
        <v>3961</v>
      </c>
      <c r="H247" s="877" t="s">
        <v>3729</v>
      </c>
      <c r="I247" s="878"/>
      <c r="J247" s="879"/>
    </row>
    <row r="248" spans="1:10" s="880" customFormat="1" ht="26.4" hidden="1">
      <c r="A248" s="873"/>
      <c r="B248" s="869" t="s">
        <v>2784</v>
      </c>
      <c r="C248" s="874" t="str">
        <f t="shared" si="3"/>
        <v>08.2017</v>
      </c>
      <c r="D248" s="869" t="s">
        <v>4059</v>
      </c>
      <c r="E248" s="742">
        <v>110240</v>
      </c>
      <c r="F248" s="875" t="s">
        <v>3962</v>
      </c>
      <c r="G248" s="876" t="s">
        <v>3963</v>
      </c>
      <c r="H248" s="877" t="s">
        <v>3729</v>
      </c>
      <c r="I248" s="878"/>
      <c r="J248" s="879"/>
    </row>
    <row r="249" spans="1:10" s="880" customFormat="1" ht="26.4" hidden="1">
      <c r="A249" s="873"/>
      <c r="B249" s="869" t="s">
        <v>4067</v>
      </c>
      <c r="C249" s="874" t="str">
        <f t="shared" si="3"/>
        <v>10.2017</v>
      </c>
      <c r="D249" s="869" t="s">
        <v>4059</v>
      </c>
      <c r="E249" s="742">
        <v>654762.65</v>
      </c>
      <c r="F249" s="875" t="s">
        <v>3962</v>
      </c>
      <c r="G249" s="876" t="s">
        <v>3963</v>
      </c>
      <c r="H249" s="877" t="s">
        <v>4015</v>
      </c>
      <c r="I249" s="878"/>
      <c r="J249" s="879"/>
    </row>
    <row r="250" spans="1:10" s="880" customFormat="1" ht="26.4" hidden="1">
      <c r="A250" s="873"/>
      <c r="B250" s="869" t="s">
        <v>4068</v>
      </c>
      <c r="C250" s="874" t="str">
        <f t="shared" si="3"/>
        <v>11.2017</v>
      </c>
      <c r="D250" s="869" t="s">
        <v>4059</v>
      </c>
      <c r="E250" s="742">
        <v>106790</v>
      </c>
      <c r="F250" s="875" t="s">
        <v>3962</v>
      </c>
      <c r="G250" s="876" t="s">
        <v>3963</v>
      </c>
      <c r="H250" s="877" t="s">
        <v>4016</v>
      </c>
      <c r="I250" s="878"/>
      <c r="J250" s="879"/>
    </row>
    <row r="251" spans="1:10" s="880" customFormat="1" ht="26.4" hidden="1">
      <c r="A251" s="873"/>
      <c r="B251" s="869" t="s">
        <v>3025</v>
      </c>
      <c r="C251" s="874" t="str">
        <f t="shared" si="3"/>
        <v>11.2017</v>
      </c>
      <c r="D251" s="869" t="s">
        <v>4059</v>
      </c>
      <c r="E251" s="742">
        <v>834872</v>
      </c>
      <c r="F251" s="875" t="s">
        <v>3962</v>
      </c>
      <c r="G251" s="876" t="s">
        <v>3963</v>
      </c>
      <c r="H251" s="877" t="s">
        <v>3730</v>
      </c>
      <c r="I251" s="878"/>
      <c r="J251" s="879"/>
    </row>
    <row r="252" spans="1:10" s="880" customFormat="1" ht="26.4" hidden="1">
      <c r="A252" s="873"/>
      <c r="B252" s="869" t="s">
        <v>3025</v>
      </c>
      <c r="C252" s="874" t="str">
        <f t="shared" si="3"/>
        <v>11.2017</v>
      </c>
      <c r="D252" s="869" t="s">
        <v>4059</v>
      </c>
      <c r="E252" s="742">
        <v>840970</v>
      </c>
      <c r="F252" s="875" t="s">
        <v>3962</v>
      </c>
      <c r="G252" s="876" t="s">
        <v>3963</v>
      </c>
      <c r="H252" s="877" t="s">
        <v>3730</v>
      </c>
      <c r="I252" s="878"/>
      <c r="J252" s="879"/>
    </row>
    <row r="253" spans="1:10" s="835" customFormat="1" ht="26.4">
      <c r="A253" s="865"/>
      <c r="B253" s="806" t="s">
        <v>3628</v>
      </c>
      <c r="C253" s="833" t="str">
        <f t="shared" si="3"/>
        <v>12.2017</v>
      </c>
      <c r="D253" s="806" t="s">
        <v>4059</v>
      </c>
      <c r="E253" s="647">
        <v>790510</v>
      </c>
      <c r="F253" s="837" t="s">
        <v>3962</v>
      </c>
      <c r="G253" s="838" t="s">
        <v>3963</v>
      </c>
      <c r="H253" s="839" t="s">
        <v>4017</v>
      </c>
      <c r="I253" s="866"/>
      <c r="J253" s="867"/>
    </row>
    <row r="254" spans="1:10" s="880" customFormat="1" ht="26.4" hidden="1">
      <c r="A254" s="873"/>
      <c r="B254" s="869" t="s">
        <v>3628</v>
      </c>
      <c r="C254" s="874" t="str">
        <f t="shared" si="3"/>
        <v>12.2017</v>
      </c>
      <c r="D254" s="869" t="s">
        <v>4059</v>
      </c>
      <c r="E254" s="742">
        <v>110180</v>
      </c>
      <c r="F254" s="875" t="s">
        <v>3962</v>
      </c>
      <c r="G254" s="876" t="s">
        <v>3963</v>
      </c>
      <c r="H254" s="877" t="s">
        <v>4017</v>
      </c>
      <c r="I254" s="878"/>
      <c r="J254" s="879"/>
    </row>
    <row r="255" spans="1:10" s="880" customFormat="1" ht="26.4" hidden="1">
      <c r="A255" s="873"/>
      <c r="B255" s="869" t="s">
        <v>2732</v>
      </c>
      <c r="C255" s="874" t="str">
        <f t="shared" si="3"/>
        <v>02.2018</v>
      </c>
      <c r="D255" s="869" t="s">
        <v>4059</v>
      </c>
      <c r="E255" s="742">
        <v>776050</v>
      </c>
      <c r="F255" s="875" t="s">
        <v>3962</v>
      </c>
      <c r="G255" s="876" t="s">
        <v>3963</v>
      </c>
      <c r="H255" s="877" t="s">
        <v>4018</v>
      </c>
      <c r="I255" s="878"/>
      <c r="J255" s="879"/>
    </row>
    <row r="256" spans="1:10" s="880" customFormat="1" ht="26.4" hidden="1">
      <c r="A256" s="873"/>
      <c r="B256" s="869" t="s">
        <v>2732</v>
      </c>
      <c r="C256" s="874" t="str">
        <f t="shared" si="3"/>
        <v>02.2018</v>
      </c>
      <c r="D256" s="869" t="s">
        <v>4059</v>
      </c>
      <c r="E256" s="742">
        <v>110240</v>
      </c>
      <c r="F256" s="875" t="s">
        <v>3962</v>
      </c>
      <c r="G256" s="876" t="s">
        <v>3963</v>
      </c>
      <c r="H256" s="877" t="s">
        <v>4018</v>
      </c>
      <c r="I256" s="878"/>
      <c r="J256" s="879"/>
    </row>
    <row r="257" spans="1:10" s="880" customFormat="1" ht="26.4" hidden="1">
      <c r="A257" s="873"/>
      <c r="B257" s="869" t="s">
        <v>2939</v>
      </c>
      <c r="C257" s="874" t="str">
        <f t="shared" si="3"/>
        <v>02.2018</v>
      </c>
      <c r="D257" s="869" t="s">
        <v>4059</v>
      </c>
      <c r="E257" s="742">
        <v>220480</v>
      </c>
      <c r="F257" s="875" t="s">
        <v>3962</v>
      </c>
      <c r="G257" s="876" t="s">
        <v>3963</v>
      </c>
      <c r="H257" s="877" t="s">
        <v>4019</v>
      </c>
      <c r="I257" s="878"/>
      <c r="J257" s="879"/>
    </row>
    <row r="258" spans="1:10" s="880" customFormat="1" ht="26.4" hidden="1">
      <c r="A258" s="873"/>
      <c r="B258" s="869" t="s">
        <v>2939</v>
      </c>
      <c r="C258" s="874" t="str">
        <f t="shared" si="3"/>
        <v>02.2018</v>
      </c>
      <c r="D258" s="869" t="s">
        <v>4059</v>
      </c>
      <c r="E258" s="742">
        <v>746728</v>
      </c>
      <c r="F258" s="875" t="s">
        <v>3962</v>
      </c>
      <c r="G258" s="876" t="s">
        <v>3963</v>
      </c>
      <c r="H258" s="877" t="s">
        <v>4020</v>
      </c>
      <c r="I258" s="878"/>
      <c r="J258" s="879"/>
    </row>
    <row r="259" spans="1:10" s="880" customFormat="1" ht="39.6" hidden="1">
      <c r="A259" s="873"/>
      <c r="B259" s="869" t="s">
        <v>2748</v>
      </c>
      <c r="C259" s="874" t="str">
        <f t="shared" si="3"/>
        <v>03.2018</v>
      </c>
      <c r="D259" s="869" t="s">
        <v>4059</v>
      </c>
      <c r="E259" s="742">
        <v>65840</v>
      </c>
      <c r="F259" s="875" t="s">
        <v>3637</v>
      </c>
      <c r="G259" s="876" t="s">
        <v>3635</v>
      </c>
      <c r="H259" s="877" t="s">
        <v>4021</v>
      </c>
      <c r="I259" s="878"/>
      <c r="J259" s="879"/>
    </row>
    <row r="260" spans="1:10" s="880" customFormat="1" ht="39.6" hidden="1">
      <c r="A260" s="873"/>
      <c r="B260" s="869" t="s">
        <v>2751</v>
      </c>
      <c r="C260" s="874" t="str">
        <f t="shared" si="3"/>
        <v>03.2018</v>
      </c>
      <c r="D260" s="869" t="s">
        <v>4059</v>
      </c>
      <c r="E260" s="742">
        <v>738976</v>
      </c>
      <c r="F260" s="875" t="s">
        <v>3962</v>
      </c>
      <c r="G260" s="876" t="s">
        <v>3963</v>
      </c>
      <c r="H260" s="877" t="s">
        <v>4022</v>
      </c>
      <c r="I260" s="878"/>
      <c r="J260" s="879"/>
    </row>
    <row r="261" spans="1:10" s="880" customFormat="1" ht="26.4" hidden="1">
      <c r="A261" s="873"/>
      <c r="B261" s="869" t="s">
        <v>3190</v>
      </c>
      <c r="C261" s="874" t="str">
        <f t="shared" ref="C261:C296" si="4">+MID(B261,4,8)</f>
        <v>05.2018</v>
      </c>
      <c r="D261" s="869" t="s">
        <v>4059</v>
      </c>
      <c r="E261" s="742">
        <v>287550.8</v>
      </c>
      <c r="F261" s="875" t="s">
        <v>3962</v>
      </c>
      <c r="G261" s="876" t="s">
        <v>3963</v>
      </c>
      <c r="H261" s="877" t="s">
        <v>4023</v>
      </c>
      <c r="I261" s="878"/>
      <c r="J261" s="879"/>
    </row>
    <row r="262" spans="1:10" s="835" customFormat="1" ht="26.4">
      <c r="A262" s="865"/>
      <c r="B262" s="806" t="s">
        <v>3676</v>
      </c>
      <c r="C262" s="833" t="str">
        <f t="shared" si="4"/>
        <v>05.2018</v>
      </c>
      <c r="D262" s="806" t="s">
        <v>4059</v>
      </c>
      <c r="E262" s="647">
        <v>287550.8</v>
      </c>
      <c r="F262" s="837" t="s">
        <v>3962</v>
      </c>
      <c r="G262" s="838" t="s">
        <v>3963</v>
      </c>
      <c r="H262" s="839" t="s">
        <v>4024</v>
      </c>
      <c r="I262" s="866"/>
      <c r="J262" s="867"/>
    </row>
    <row r="263" spans="1:10" s="880" customFormat="1" ht="39.6" hidden="1">
      <c r="A263" s="873"/>
      <c r="B263" s="869" t="s">
        <v>3676</v>
      </c>
      <c r="C263" s="874" t="str">
        <f t="shared" si="4"/>
        <v>05.2018</v>
      </c>
      <c r="D263" s="869" t="s">
        <v>4059</v>
      </c>
      <c r="E263" s="742">
        <v>743453</v>
      </c>
      <c r="F263" s="875" t="s">
        <v>3637</v>
      </c>
      <c r="G263" s="876" t="s">
        <v>3635</v>
      </c>
      <c r="H263" s="877" t="s">
        <v>4025</v>
      </c>
      <c r="I263" s="878"/>
      <c r="J263" s="879"/>
    </row>
    <row r="264" spans="1:10" s="835" customFormat="1" ht="26.4">
      <c r="A264" s="865"/>
      <c r="B264" s="806" t="s">
        <v>2950</v>
      </c>
      <c r="C264" s="833" t="str">
        <f t="shared" si="4"/>
        <v>06.2018</v>
      </c>
      <c r="D264" s="806" t="s">
        <v>4059</v>
      </c>
      <c r="E264" s="647">
        <v>726469</v>
      </c>
      <c r="F264" s="837" t="s">
        <v>3962</v>
      </c>
      <c r="G264" s="838" t="s">
        <v>3963</v>
      </c>
      <c r="H264" s="839" t="s">
        <v>3738</v>
      </c>
      <c r="I264" s="866"/>
      <c r="J264" s="867"/>
    </row>
    <row r="265" spans="1:10" s="835" customFormat="1" ht="26.4">
      <c r="A265" s="865"/>
      <c r="B265" s="806" t="s">
        <v>3648</v>
      </c>
      <c r="C265" s="833" t="str">
        <f t="shared" si="4"/>
        <v>07.2018</v>
      </c>
      <c r="D265" s="806" t="s">
        <v>4059</v>
      </c>
      <c r="E265" s="647">
        <v>1325871.5</v>
      </c>
      <c r="F265" s="837" t="s">
        <v>3962</v>
      </c>
      <c r="G265" s="838" t="s">
        <v>3963</v>
      </c>
      <c r="H265" s="839" t="s">
        <v>3664</v>
      </c>
      <c r="I265" s="866"/>
      <c r="J265" s="867"/>
    </row>
    <row r="266" spans="1:10" s="880" customFormat="1" ht="26.4" hidden="1">
      <c r="A266" s="873"/>
      <c r="B266" s="869" t="s">
        <v>4069</v>
      </c>
      <c r="C266" s="874" t="str">
        <f t="shared" si="4"/>
        <v>07.2018</v>
      </c>
      <c r="D266" s="869" t="s">
        <v>4059</v>
      </c>
      <c r="E266" s="742">
        <v>655940</v>
      </c>
      <c r="F266" s="875" t="s">
        <v>3962</v>
      </c>
      <c r="G266" s="876" t="s">
        <v>3963</v>
      </c>
      <c r="H266" s="877" t="s">
        <v>4026</v>
      </c>
      <c r="I266" s="878"/>
      <c r="J266" s="879"/>
    </row>
    <row r="267" spans="1:10" s="880" customFormat="1" ht="26.4" hidden="1">
      <c r="A267" s="873"/>
      <c r="B267" s="869" t="s">
        <v>4069</v>
      </c>
      <c r="C267" s="874" t="str">
        <f t="shared" si="4"/>
        <v>07.2018</v>
      </c>
      <c r="D267" s="869" t="s">
        <v>4059</v>
      </c>
      <c r="E267" s="742">
        <v>143360</v>
      </c>
      <c r="F267" s="875" t="s">
        <v>3962</v>
      </c>
      <c r="G267" s="876" t="s">
        <v>3963</v>
      </c>
      <c r="H267" s="877" t="s">
        <v>4026</v>
      </c>
      <c r="I267" s="878"/>
      <c r="J267" s="879"/>
    </row>
    <row r="268" spans="1:10" s="880" customFormat="1" ht="26.4" hidden="1">
      <c r="A268" s="873"/>
      <c r="B268" s="869" t="s">
        <v>3192</v>
      </c>
      <c r="C268" s="874" t="str">
        <f t="shared" si="4"/>
        <v>08.2018</v>
      </c>
      <c r="D268" s="869" t="s">
        <v>4059</v>
      </c>
      <c r="E268" s="742">
        <v>650616</v>
      </c>
      <c r="F268" s="875" t="s">
        <v>3962</v>
      </c>
      <c r="G268" s="876" t="s">
        <v>3963</v>
      </c>
      <c r="H268" s="877" t="s">
        <v>4027</v>
      </c>
      <c r="I268" s="878"/>
      <c r="J268" s="879"/>
    </row>
    <row r="269" spans="1:10" s="880" customFormat="1" ht="39.6" hidden="1">
      <c r="A269" s="873"/>
      <c r="B269" s="869" t="s">
        <v>3192</v>
      </c>
      <c r="C269" s="874" t="str">
        <f t="shared" si="4"/>
        <v>08.2018</v>
      </c>
      <c r="D269" s="869" t="s">
        <v>4059</v>
      </c>
      <c r="E269" s="742">
        <v>286720</v>
      </c>
      <c r="F269" s="875" t="s">
        <v>3962</v>
      </c>
      <c r="G269" s="876" t="s">
        <v>3963</v>
      </c>
      <c r="H269" s="877" t="s">
        <v>4028</v>
      </c>
      <c r="I269" s="878"/>
      <c r="J269" s="879"/>
    </row>
    <row r="270" spans="1:10" s="880" customFormat="1" ht="52.8" hidden="1">
      <c r="A270" s="873"/>
      <c r="B270" s="869" t="s">
        <v>3852</v>
      </c>
      <c r="C270" s="874" t="str">
        <f t="shared" si="4"/>
        <v>05.2017</v>
      </c>
      <c r="D270" s="869" t="s">
        <v>4060</v>
      </c>
      <c r="E270" s="742">
        <v>99704</v>
      </c>
      <c r="F270" s="875" t="s">
        <v>3960</v>
      </c>
      <c r="G270" s="876" t="s">
        <v>3961</v>
      </c>
      <c r="H270" s="877" t="s">
        <v>4029</v>
      </c>
      <c r="I270" s="878"/>
      <c r="J270" s="879"/>
    </row>
    <row r="271" spans="1:10" s="835" customFormat="1" ht="52.8">
      <c r="A271" s="865"/>
      <c r="B271" s="806" t="s">
        <v>4070</v>
      </c>
      <c r="C271" s="833" t="str">
        <f t="shared" si="4"/>
        <v>06.2017</v>
      </c>
      <c r="D271" s="806" t="s">
        <v>4060</v>
      </c>
      <c r="E271" s="647">
        <v>494776</v>
      </c>
      <c r="F271" s="837" t="s">
        <v>3960</v>
      </c>
      <c r="G271" s="838" t="s">
        <v>3961</v>
      </c>
      <c r="H271" s="839" t="s">
        <v>4030</v>
      </c>
      <c r="I271" s="866"/>
      <c r="J271" s="867"/>
    </row>
    <row r="272" spans="1:10" s="835" customFormat="1" ht="52.8">
      <c r="A272" s="865"/>
      <c r="B272" s="806" t="s">
        <v>3017</v>
      </c>
      <c r="C272" s="833" t="str">
        <f t="shared" si="4"/>
        <v>07.2017</v>
      </c>
      <c r="D272" s="806" t="s">
        <v>4060</v>
      </c>
      <c r="E272" s="647">
        <v>293725.68</v>
      </c>
      <c r="F272" s="837" t="s">
        <v>3960</v>
      </c>
      <c r="G272" s="838" t="s">
        <v>3961</v>
      </c>
      <c r="H272" s="839" t="s">
        <v>4031</v>
      </c>
      <c r="I272" s="866"/>
      <c r="J272" s="867"/>
    </row>
    <row r="273" spans="1:10" s="880" customFormat="1" ht="26.4" hidden="1">
      <c r="A273" s="873"/>
      <c r="B273" s="869" t="s">
        <v>4067</v>
      </c>
      <c r="C273" s="874" t="str">
        <f t="shared" si="4"/>
        <v>10.2017</v>
      </c>
      <c r="D273" s="869" t="s">
        <v>4060</v>
      </c>
      <c r="E273" s="742">
        <v>230599.6</v>
      </c>
      <c r="F273" s="875" t="s">
        <v>3962</v>
      </c>
      <c r="G273" s="876" t="s">
        <v>3963</v>
      </c>
      <c r="H273" s="877" t="s">
        <v>4015</v>
      </c>
      <c r="I273" s="878"/>
      <c r="J273" s="879"/>
    </row>
    <row r="274" spans="1:10" s="880" customFormat="1" ht="26.4" hidden="1">
      <c r="A274" s="873"/>
      <c r="B274" s="869" t="s">
        <v>2726</v>
      </c>
      <c r="C274" s="874" t="str">
        <f t="shared" si="4"/>
        <v>01.2018</v>
      </c>
      <c r="D274" s="869" t="s">
        <v>4060</v>
      </c>
      <c r="E274" s="742">
        <v>110180</v>
      </c>
      <c r="F274" s="875" t="s">
        <v>3962</v>
      </c>
      <c r="G274" s="876" t="s">
        <v>3963</v>
      </c>
      <c r="H274" s="877" t="s">
        <v>4032</v>
      </c>
      <c r="I274" s="878"/>
      <c r="J274" s="879"/>
    </row>
    <row r="275" spans="1:10" s="880" customFormat="1" ht="26.4" hidden="1">
      <c r="A275" s="873"/>
      <c r="B275" s="869" t="s">
        <v>2950</v>
      </c>
      <c r="C275" s="874" t="str">
        <f t="shared" si="4"/>
        <v>06.2018</v>
      </c>
      <c r="D275" s="869" t="s">
        <v>4060</v>
      </c>
      <c r="E275" s="742">
        <v>143360</v>
      </c>
      <c r="F275" s="875" t="s">
        <v>3962</v>
      </c>
      <c r="G275" s="876" t="s">
        <v>3963</v>
      </c>
      <c r="H275" s="877" t="s">
        <v>3738</v>
      </c>
      <c r="I275" s="878"/>
      <c r="J275" s="879"/>
    </row>
    <row r="276" spans="1:10" s="835" customFormat="1" ht="39.6" hidden="1">
      <c r="A276" s="865"/>
      <c r="B276" s="806" t="s">
        <v>2942</v>
      </c>
      <c r="C276" s="833" t="str">
        <f t="shared" si="4"/>
        <v>01.2016</v>
      </c>
      <c r="D276" s="806" t="s">
        <v>4061</v>
      </c>
      <c r="E276" s="647">
        <v>328346.15999999997</v>
      </c>
      <c r="F276" s="837" t="s">
        <v>3969</v>
      </c>
      <c r="G276" s="838" t="s">
        <v>3970</v>
      </c>
      <c r="H276" s="839" t="s">
        <v>4033</v>
      </c>
      <c r="I276" s="866"/>
      <c r="J276" s="867"/>
    </row>
    <row r="277" spans="1:10" s="835" customFormat="1" ht="26.4" hidden="1">
      <c r="A277" s="865"/>
      <c r="B277" s="806" t="s">
        <v>2942</v>
      </c>
      <c r="C277" s="833" t="str">
        <f t="shared" si="4"/>
        <v>01.2016</v>
      </c>
      <c r="D277" s="806" t="s">
        <v>4061</v>
      </c>
      <c r="E277" s="647">
        <v>78490</v>
      </c>
      <c r="F277" s="837" t="s">
        <v>3969</v>
      </c>
      <c r="G277" s="838" t="s">
        <v>3970</v>
      </c>
      <c r="H277" s="839" t="s">
        <v>4034</v>
      </c>
      <c r="I277" s="866"/>
      <c r="J277" s="867"/>
    </row>
    <row r="278" spans="1:10" s="835" customFormat="1" ht="39.6">
      <c r="A278" s="865"/>
      <c r="B278" s="806" t="s">
        <v>2064</v>
      </c>
      <c r="C278" s="833" t="str">
        <f t="shared" si="4"/>
        <v>02.2016</v>
      </c>
      <c r="D278" s="806" t="s">
        <v>4061</v>
      </c>
      <c r="E278" s="647">
        <v>235470</v>
      </c>
      <c r="F278" s="837" t="s">
        <v>3969</v>
      </c>
      <c r="G278" s="838" t="s">
        <v>3970</v>
      </c>
      <c r="H278" s="839" t="s">
        <v>4035</v>
      </c>
      <c r="I278" s="866"/>
      <c r="J278" s="867"/>
    </row>
    <row r="279" spans="1:10" s="835" customFormat="1" ht="39.6">
      <c r="A279" s="865"/>
      <c r="B279" s="806" t="s">
        <v>2064</v>
      </c>
      <c r="C279" s="833" t="str">
        <f t="shared" si="4"/>
        <v>02.2016</v>
      </c>
      <c r="D279" s="806" t="s">
        <v>4061</v>
      </c>
      <c r="E279" s="647">
        <v>76000</v>
      </c>
      <c r="F279" s="837" t="s">
        <v>3969</v>
      </c>
      <c r="G279" s="838" t="s">
        <v>3970</v>
      </c>
      <c r="H279" s="839" t="s">
        <v>4035</v>
      </c>
      <c r="I279" s="866"/>
      <c r="J279" s="867"/>
    </row>
    <row r="280" spans="1:10" s="835" customFormat="1" ht="39.6">
      <c r="A280" s="865"/>
      <c r="B280" s="806" t="s">
        <v>2064</v>
      </c>
      <c r="C280" s="833" t="str">
        <f t="shared" si="4"/>
        <v>02.2016</v>
      </c>
      <c r="D280" s="806" t="s">
        <v>4061</v>
      </c>
      <c r="E280" s="647">
        <v>380099.22</v>
      </c>
      <c r="F280" s="837" t="s">
        <v>3969</v>
      </c>
      <c r="G280" s="838" t="s">
        <v>3970</v>
      </c>
      <c r="H280" s="839" t="s">
        <v>4036</v>
      </c>
      <c r="I280" s="866"/>
      <c r="J280" s="867"/>
    </row>
    <row r="281" spans="1:10" s="835" customFormat="1" ht="26.4" hidden="1">
      <c r="A281" s="865"/>
      <c r="B281" s="806" t="s">
        <v>2069</v>
      </c>
      <c r="C281" s="833" t="str">
        <f t="shared" si="4"/>
        <v>03.2016</v>
      </c>
      <c r="D281" s="806" t="s">
        <v>4061</v>
      </c>
      <c r="E281" s="647">
        <v>78490</v>
      </c>
      <c r="F281" s="837" t="s">
        <v>3969</v>
      </c>
      <c r="G281" s="838" t="s">
        <v>3970</v>
      </c>
      <c r="H281" s="839" t="s">
        <v>4037</v>
      </c>
      <c r="I281" s="866"/>
      <c r="J281" s="867"/>
    </row>
    <row r="282" spans="1:10" s="835" customFormat="1" ht="39.6" hidden="1">
      <c r="A282" s="865"/>
      <c r="B282" s="806" t="s">
        <v>2069</v>
      </c>
      <c r="C282" s="833" t="str">
        <f t="shared" si="4"/>
        <v>03.2016</v>
      </c>
      <c r="D282" s="806" t="s">
        <v>4061</v>
      </c>
      <c r="E282" s="647">
        <v>409953.2</v>
      </c>
      <c r="F282" s="837" t="s">
        <v>3969</v>
      </c>
      <c r="G282" s="838" t="s">
        <v>3970</v>
      </c>
      <c r="H282" s="839" t="s">
        <v>4038</v>
      </c>
      <c r="I282" s="866"/>
      <c r="J282" s="867"/>
    </row>
    <row r="283" spans="1:10" s="835" customFormat="1" ht="26.4" hidden="1">
      <c r="A283" s="865"/>
      <c r="B283" s="806" t="s">
        <v>2069</v>
      </c>
      <c r="C283" s="833" t="str">
        <f t="shared" si="4"/>
        <v>03.2016</v>
      </c>
      <c r="D283" s="806" t="s">
        <v>4061</v>
      </c>
      <c r="E283" s="647">
        <v>43500</v>
      </c>
      <c r="F283" s="837" t="s">
        <v>3969</v>
      </c>
      <c r="G283" s="838" t="s">
        <v>3970</v>
      </c>
      <c r="H283" s="839" t="s">
        <v>4039</v>
      </c>
      <c r="I283" s="866"/>
      <c r="J283" s="867"/>
    </row>
    <row r="284" spans="1:10" s="835" customFormat="1" ht="39.6" hidden="1">
      <c r="A284" s="865"/>
      <c r="B284" s="806" t="s">
        <v>3039</v>
      </c>
      <c r="C284" s="833" t="str">
        <f t="shared" si="4"/>
        <v>05.2016</v>
      </c>
      <c r="D284" s="806" t="s">
        <v>4061</v>
      </c>
      <c r="E284" s="647">
        <v>361130.58</v>
      </c>
      <c r="F284" s="837" t="s">
        <v>3969</v>
      </c>
      <c r="G284" s="838" t="s">
        <v>3970</v>
      </c>
      <c r="H284" s="839" t="s">
        <v>4040</v>
      </c>
      <c r="I284" s="866"/>
      <c r="J284" s="867"/>
    </row>
    <row r="285" spans="1:10" s="835" customFormat="1" ht="39.6" hidden="1">
      <c r="A285" s="865"/>
      <c r="B285" s="806" t="s">
        <v>3039</v>
      </c>
      <c r="C285" s="833" t="str">
        <f t="shared" si="4"/>
        <v>05.2016</v>
      </c>
      <c r="D285" s="806" t="s">
        <v>4061</v>
      </c>
      <c r="E285" s="647">
        <v>78490</v>
      </c>
      <c r="F285" s="837" t="s">
        <v>3969</v>
      </c>
      <c r="G285" s="838" t="s">
        <v>3970</v>
      </c>
      <c r="H285" s="839" t="s">
        <v>4041</v>
      </c>
      <c r="I285" s="866"/>
      <c r="J285" s="867"/>
    </row>
    <row r="286" spans="1:10" s="835" customFormat="1" ht="26.4" hidden="1">
      <c r="A286" s="865"/>
      <c r="B286" s="806" t="s">
        <v>3838</v>
      </c>
      <c r="C286" s="833" t="str">
        <f t="shared" si="4"/>
        <v>06.2016</v>
      </c>
      <c r="D286" s="806" t="s">
        <v>4061</v>
      </c>
      <c r="E286" s="647">
        <v>78490</v>
      </c>
      <c r="F286" s="837" t="s">
        <v>3969</v>
      </c>
      <c r="G286" s="838" t="s">
        <v>3970</v>
      </c>
      <c r="H286" s="839" t="s">
        <v>4042</v>
      </c>
      <c r="I286" s="866"/>
      <c r="J286" s="867"/>
    </row>
    <row r="287" spans="1:10" s="880" customFormat="1" ht="26.4" hidden="1">
      <c r="A287" s="873"/>
      <c r="B287" s="869" t="s">
        <v>3838</v>
      </c>
      <c r="C287" s="874" t="str">
        <f t="shared" si="4"/>
        <v>06.2016</v>
      </c>
      <c r="D287" s="869" t="s">
        <v>4061</v>
      </c>
      <c r="E287" s="742">
        <v>349259.31</v>
      </c>
      <c r="F287" s="875" t="s">
        <v>3969</v>
      </c>
      <c r="G287" s="876" t="s">
        <v>3970</v>
      </c>
      <c r="H287" s="877" t="s">
        <v>4042</v>
      </c>
      <c r="I287" s="878"/>
      <c r="J287" s="879"/>
    </row>
    <row r="288" spans="1:10" s="835" customFormat="1" ht="26.4" hidden="1">
      <c r="A288" s="865"/>
      <c r="B288" s="806" t="s">
        <v>3855</v>
      </c>
      <c r="C288" s="833" t="str">
        <f t="shared" si="4"/>
        <v>07.2016</v>
      </c>
      <c r="D288" s="806" t="s">
        <v>4061</v>
      </c>
      <c r="E288" s="647">
        <v>156980</v>
      </c>
      <c r="F288" s="837" t="s">
        <v>3969</v>
      </c>
      <c r="G288" s="838" t="s">
        <v>3970</v>
      </c>
      <c r="H288" s="839" t="s">
        <v>4043</v>
      </c>
      <c r="I288" s="866"/>
      <c r="J288" s="867"/>
    </row>
    <row r="289" spans="1:10" s="835" customFormat="1" ht="26.4" hidden="1">
      <c r="A289" s="865"/>
      <c r="B289" s="806" t="s">
        <v>3855</v>
      </c>
      <c r="C289" s="833" t="str">
        <f t="shared" si="4"/>
        <v>07.2016</v>
      </c>
      <c r="D289" s="806" t="s">
        <v>4061</v>
      </c>
      <c r="E289" s="647">
        <v>348917.75</v>
      </c>
      <c r="F289" s="837" t="s">
        <v>3969</v>
      </c>
      <c r="G289" s="838" t="s">
        <v>3970</v>
      </c>
      <c r="H289" s="839" t="s">
        <v>4044</v>
      </c>
      <c r="I289" s="866"/>
      <c r="J289" s="867"/>
    </row>
    <row r="290" spans="1:10" s="835" customFormat="1" ht="26.4" hidden="1">
      <c r="A290" s="865"/>
      <c r="B290" s="806" t="s">
        <v>3856</v>
      </c>
      <c r="C290" s="833" t="str">
        <f t="shared" si="4"/>
        <v>08.2016</v>
      </c>
      <c r="D290" s="806" t="s">
        <v>4061</v>
      </c>
      <c r="E290" s="647">
        <v>95710</v>
      </c>
      <c r="F290" s="837" t="s">
        <v>3969</v>
      </c>
      <c r="G290" s="838" t="s">
        <v>3970</v>
      </c>
      <c r="H290" s="839" t="s">
        <v>4045</v>
      </c>
      <c r="I290" s="866"/>
      <c r="J290" s="867"/>
    </row>
    <row r="291" spans="1:10" s="835" customFormat="1" ht="39.6" hidden="1">
      <c r="A291" s="865"/>
      <c r="B291" s="806" t="s">
        <v>3856</v>
      </c>
      <c r="C291" s="833" t="str">
        <f t="shared" si="4"/>
        <v>08.2016</v>
      </c>
      <c r="D291" s="806" t="s">
        <v>4061</v>
      </c>
      <c r="E291" s="647">
        <v>339677.84</v>
      </c>
      <c r="F291" s="837" t="s">
        <v>3962</v>
      </c>
      <c r="G291" s="838" t="s">
        <v>3963</v>
      </c>
      <c r="H291" s="839" t="s">
        <v>4046</v>
      </c>
      <c r="I291" s="866"/>
      <c r="J291" s="867"/>
    </row>
    <row r="292" spans="1:10" s="835" customFormat="1" ht="39.6">
      <c r="A292" s="865"/>
      <c r="B292" s="806" t="s">
        <v>3053</v>
      </c>
      <c r="C292" s="833" t="str">
        <f t="shared" si="4"/>
        <v>10.2016</v>
      </c>
      <c r="D292" s="806" t="s">
        <v>4061</v>
      </c>
      <c r="E292" s="647">
        <v>387653.56</v>
      </c>
      <c r="F292" s="837" t="s">
        <v>3969</v>
      </c>
      <c r="G292" s="838" t="s">
        <v>3970</v>
      </c>
      <c r="H292" s="839" t="s">
        <v>4047</v>
      </c>
      <c r="I292" s="866"/>
      <c r="J292" s="867"/>
    </row>
    <row r="293" spans="1:10" s="835" customFormat="1" ht="26.4">
      <c r="A293" s="865"/>
      <c r="B293" s="806" t="s">
        <v>4071</v>
      </c>
      <c r="C293" s="833" t="str">
        <f t="shared" si="4"/>
        <v>10.2016</v>
      </c>
      <c r="D293" s="806" t="s">
        <v>4061</v>
      </c>
      <c r="E293" s="647">
        <v>87100</v>
      </c>
      <c r="F293" s="837" t="s">
        <v>3969</v>
      </c>
      <c r="G293" s="838" t="s">
        <v>3970</v>
      </c>
      <c r="H293" s="839" t="s">
        <v>4048</v>
      </c>
      <c r="I293" s="866"/>
      <c r="J293" s="867"/>
    </row>
    <row r="294" spans="1:10" s="835" customFormat="1" ht="39.6" hidden="1">
      <c r="A294" s="865"/>
      <c r="B294" s="806" t="s">
        <v>3055</v>
      </c>
      <c r="C294" s="833" t="str">
        <f t="shared" si="4"/>
        <v>12.2016</v>
      </c>
      <c r="D294" s="806" t="s">
        <v>4061</v>
      </c>
      <c r="E294" s="647">
        <v>167822.66</v>
      </c>
      <c r="F294" s="837" t="s">
        <v>3969</v>
      </c>
      <c r="G294" s="838" t="s">
        <v>3970</v>
      </c>
      <c r="H294" s="839" t="s">
        <v>4049</v>
      </c>
      <c r="I294" s="866"/>
      <c r="J294" s="867"/>
    </row>
    <row r="295" spans="1:10" s="835" customFormat="1" ht="52.8" hidden="1">
      <c r="A295" s="865"/>
      <c r="B295" s="806" t="s">
        <v>3055</v>
      </c>
      <c r="C295" s="833" t="str">
        <f t="shared" si="4"/>
        <v>12.2016</v>
      </c>
      <c r="D295" s="806" t="s">
        <v>4061</v>
      </c>
      <c r="E295" s="647">
        <v>22600</v>
      </c>
      <c r="F295" s="837" t="s">
        <v>3969</v>
      </c>
      <c r="G295" s="838" t="s">
        <v>3970</v>
      </c>
      <c r="H295" s="839" t="s">
        <v>4050</v>
      </c>
      <c r="I295" s="866"/>
      <c r="J295" s="867"/>
    </row>
    <row r="296" spans="1:10" s="835" customFormat="1" ht="52.8" hidden="1">
      <c r="A296" s="865"/>
      <c r="B296" s="806" t="s">
        <v>3055</v>
      </c>
      <c r="C296" s="833" t="str">
        <f t="shared" si="4"/>
        <v>12.2016</v>
      </c>
      <c r="D296" s="806" t="s">
        <v>4061</v>
      </c>
      <c r="E296" s="647">
        <v>446663.38</v>
      </c>
      <c r="F296" s="837" t="s">
        <v>3969</v>
      </c>
      <c r="G296" s="838" t="s">
        <v>3970</v>
      </c>
      <c r="H296" s="839" t="s">
        <v>4051</v>
      </c>
      <c r="I296" s="866"/>
      <c r="J296" s="867"/>
    </row>
    <row r="297" spans="1:10" ht="14.4" thickBot="1">
      <c r="A297" s="340"/>
      <c r="B297" s="341" t="s">
        <v>504</v>
      </c>
      <c r="C297" s="341"/>
      <c r="D297" s="341"/>
      <c r="E297" s="342">
        <f>SUM(E7:E7)</f>
        <v>558000</v>
      </c>
      <c r="F297" s="341"/>
      <c r="G297" s="341"/>
      <c r="H297" s="343"/>
      <c r="I297" s="344"/>
      <c r="J297" s="344"/>
    </row>
    <row r="299" spans="1:10">
      <c r="B299" s="421"/>
      <c r="C299" s="421"/>
      <c r="E299" s="105"/>
      <c r="F299" s="145"/>
      <c r="G299" s="145"/>
      <c r="H299" s="145"/>
      <c r="I299" s="105"/>
      <c r="J299" s="145"/>
    </row>
    <row r="300" spans="1:10">
      <c r="B300" s="105" t="str">
        <f>""&amp;(Шаблон!B1)&amp;"нинг Самарқанд вилоят филиали"</f>
        <v>АТ "Халқ банк"нинг Самарқанд вилоят филиали</v>
      </c>
      <c r="C300" s="105"/>
      <c r="D300" s="145"/>
      <c r="E300" s="145"/>
      <c r="F300" s="145"/>
      <c r="G300" s="145"/>
      <c r="H300" s="145"/>
      <c r="I300" s="145"/>
      <c r="J300" s="145"/>
    </row>
    <row r="301" spans="1:10">
      <c r="B301" s="6" t="s">
        <v>4073</v>
      </c>
      <c r="C301" s="6"/>
      <c r="D301" s="145"/>
      <c r="E301" s="145"/>
      <c r="F301" s="145"/>
      <c r="G301" s="145"/>
      <c r="H301" s="105" t="str">
        <f>Шаблон!B13</f>
        <v>А.Ҳазратқулов</v>
      </c>
      <c r="I301" s="124"/>
      <c r="J301" s="105"/>
    </row>
    <row r="302" spans="1:10">
      <c r="B302" s="105"/>
      <c r="C302" s="105"/>
      <c r="D302" s="145"/>
      <c r="E302" s="145"/>
      <c r="F302" s="145"/>
      <c r="G302" s="145"/>
      <c r="H302" s="105"/>
      <c r="I302" s="124"/>
    </row>
    <row r="303" spans="1:10">
      <c r="B303" s="105" t="str">
        <f>""&amp;(Шаблон!B1)&amp;" "&amp;(Шаблон!B2)&amp;" вилояти"</f>
        <v>АТ "Халқ банк" Фаргона вилояти вилояти</v>
      </c>
      <c r="C303" s="105"/>
      <c r="D303" s="145"/>
      <c r="E303" s="145"/>
      <c r="F303" s="145"/>
      <c r="G303" s="145"/>
      <c r="H303" s="145"/>
      <c r="I303" s="124"/>
    </row>
    <row r="304" spans="1:10">
      <c r="B304" s="105" t="str">
        <f>""&amp;(Шаблон!B3)&amp;" филиал бошқарувчиси:"</f>
        <v>Бешариқ филиали филиал бошқарувчиси:</v>
      </c>
      <c r="C304" s="105"/>
      <c r="D304" s="145"/>
      <c r="E304" s="145"/>
      <c r="F304" s="145"/>
      <c r="G304" s="145"/>
      <c r="H304" s="105" t="str">
        <f>Шаблон!B5</f>
        <v>_____________</v>
      </c>
      <c r="I304" s="124"/>
    </row>
    <row r="305" spans="2:9">
      <c r="B305" s="105"/>
      <c r="C305" s="105"/>
      <c r="D305" s="145"/>
      <c r="E305" s="145"/>
      <c r="F305" s="145"/>
      <c r="G305" s="145"/>
      <c r="H305" s="145"/>
      <c r="I305" s="124"/>
    </row>
    <row r="306" spans="2:9">
      <c r="B306" s="105" t="s">
        <v>323</v>
      </c>
      <c r="C306" s="105"/>
      <c r="D306" s="145"/>
      <c r="E306" s="145"/>
      <c r="F306" s="145"/>
      <c r="G306" s="145"/>
      <c r="H306" s="105" t="str">
        <f>Шаблон!B8</f>
        <v>_____________</v>
      </c>
      <c r="I306" s="124"/>
    </row>
    <row r="307" spans="2:9">
      <c r="B307" s="145"/>
      <c r="C307" s="145"/>
      <c r="D307" s="145"/>
      <c r="E307" s="145"/>
      <c r="F307" s="145"/>
      <c r="G307" s="145"/>
      <c r="H307" s="145"/>
      <c r="I307" s="145"/>
    </row>
    <row r="312" spans="2:9">
      <c r="E312" s="187"/>
    </row>
    <row r="313" spans="2:9">
      <c r="E313" s="187"/>
    </row>
    <row r="314" spans="2:9">
      <c r="E314" s="187"/>
    </row>
    <row r="315" spans="2:9">
      <c r="E315" s="187"/>
    </row>
    <row r="316" spans="2:9">
      <c r="E316" s="187"/>
    </row>
    <row r="317" spans="2:9">
      <c r="E317" s="187"/>
    </row>
    <row r="318" spans="2:9">
      <c r="E318" s="187"/>
    </row>
  </sheetData>
  <autoFilter ref="A6:J297" xr:uid="{00000000-0009-0000-0000-000017000000}">
    <filterColumn colId="2">
      <filters blank="1">
        <filter val="01.2017"/>
        <filter val="01.2018"/>
        <filter val="02.2016"/>
        <filter val="02.2018"/>
        <filter val="03.2017"/>
        <filter val="03.2018"/>
        <filter val="04.2017"/>
        <filter val="04.2018"/>
        <filter val="05.2017"/>
        <filter val="05.2018"/>
        <filter val="06.2017"/>
        <filter val="06.2018"/>
        <filter val="07.2017"/>
        <filter val="07.2018"/>
        <filter val="08.2017"/>
        <filter val="08.2018"/>
        <filter val="09.2017"/>
        <filter val="10.2016"/>
        <filter val="10.2017"/>
        <filter val="11.2017"/>
        <filter val="12.2017"/>
      </filters>
    </filterColumn>
    <filterColumn colId="8">
      <colorFilter dxfId="0" cellColor="0"/>
    </filterColumn>
  </autoFilter>
  <mergeCells count="2">
    <mergeCell ref="A2:I2"/>
    <mergeCell ref="A3:I3"/>
  </mergeCells>
  <phoneticPr fontId="41" type="noConversion"/>
  <pageMargins left="0.23622047244094491" right="0.23622047244094491" top="0.74803149606299213" bottom="0.74803149606299213" header="0.31496062992125984" footer="0.31496062992125984"/>
  <pageSetup paperSize="9" scale="56" orientation="portrait" r:id="rId1"/>
  <ignoredErrors>
    <ignoredError sqref="F7 F20 F22:F198" numberStoredAsText="1"/>
    <ignoredError sqref="E297" formulaRange="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H143"/>
  <sheetViews>
    <sheetView topLeftCell="A159" workbookViewId="0">
      <selection activeCell="A159" sqref="A159"/>
    </sheetView>
  </sheetViews>
  <sheetFormatPr defaultRowHeight="13.2"/>
  <cols>
    <col min="1" max="1" width="3.5546875" bestFit="1" customWidth="1"/>
    <col min="2" max="2" width="18.44140625" bestFit="1" customWidth="1"/>
    <col min="3" max="3" width="32.109375" customWidth="1"/>
    <col min="4" max="4" width="9.6640625" customWidth="1"/>
    <col min="5" max="5" width="18.44140625" bestFit="1" customWidth="1"/>
    <col min="6" max="6" width="7.88671875" bestFit="1" customWidth="1"/>
    <col min="7" max="7" width="30.109375" bestFit="1" customWidth="1"/>
    <col min="8" max="8" width="12.109375" bestFit="1" customWidth="1"/>
  </cols>
  <sheetData>
    <row r="2" spans="1:8" ht="29.25" customHeight="1">
      <c r="A2" s="1206" t="s">
        <v>3624</v>
      </c>
      <c r="B2" s="1206"/>
      <c r="C2" s="1206"/>
      <c r="D2" s="1206"/>
      <c r="E2" s="1206"/>
      <c r="F2" s="1206"/>
      <c r="G2" s="1206"/>
      <c r="H2" s="1206"/>
    </row>
    <row r="4" spans="1:8" ht="39.6">
      <c r="A4" s="864" t="s">
        <v>245</v>
      </c>
      <c r="B4" s="864" t="s">
        <v>3618</v>
      </c>
      <c r="C4" s="864" t="s">
        <v>3619</v>
      </c>
      <c r="D4" s="864" t="s">
        <v>3620</v>
      </c>
      <c r="E4" s="864" t="s">
        <v>3621</v>
      </c>
      <c r="F4" s="864"/>
      <c r="G4" s="864" t="s">
        <v>3623</v>
      </c>
      <c r="H4" s="864" t="s">
        <v>3622</v>
      </c>
    </row>
    <row r="5" spans="1:8">
      <c r="A5" s="853" t="s">
        <v>372</v>
      </c>
      <c r="B5" s="853" t="s">
        <v>3349</v>
      </c>
      <c r="C5" s="854" t="s">
        <v>3350</v>
      </c>
      <c r="D5" s="853" t="s">
        <v>2769</v>
      </c>
      <c r="E5" s="853" t="s">
        <v>3351</v>
      </c>
      <c r="F5" s="855" t="s">
        <v>3352</v>
      </c>
      <c r="G5" s="854" t="s">
        <v>3353</v>
      </c>
      <c r="H5" s="856">
        <v>270808</v>
      </c>
    </row>
    <row r="6" spans="1:8">
      <c r="A6" s="853">
        <f>+A5+1</f>
        <v>2</v>
      </c>
      <c r="B6" s="853" t="s">
        <v>3349</v>
      </c>
      <c r="C6" s="854" t="s">
        <v>3350</v>
      </c>
      <c r="D6" s="853" t="s">
        <v>2769</v>
      </c>
      <c r="E6" s="853" t="s">
        <v>3354</v>
      </c>
      <c r="F6" s="855" t="s">
        <v>3352</v>
      </c>
      <c r="G6" s="854" t="s">
        <v>3353</v>
      </c>
      <c r="H6" s="856">
        <v>1485.36</v>
      </c>
    </row>
    <row r="7" spans="1:8">
      <c r="A7" s="853">
        <f>+A6+1</f>
        <v>3</v>
      </c>
      <c r="B7" s="853" t="s">
        <v>3349</v>
      </c>
      <c r="C7" s="854" t="s">
        <v>3350</v>
      </c>
      <c r="D7" s="853" t="s">
        <v>2769</v>
      </c>
      <c r="E7" s="853" t="s">
        <v>3355</v>
      </c>
      <c r="F7" s="855" t="s">
        <v>3352</v>
      </c>
      <c r="G7" s="854" t="s">
        <v>3353</v>
      </c>
      <c r="H7" s="856">
        <v>28581.52</v>
      </c>
    </row>
    <row r="8" spans="1:8">
      <c r="A8" s="853">
        <f>+A7+1</f>
        <v>4</v>
      </c>
      <c r="B8" s="853" t="s">
        <v>3349</v>
      </c>
      <c r="C8" s="854" t="s">
        <v>3350</v>
      </c>
      <c r="D8" s="853" t="s">
        <v>2769</v>
      </c>
      <c r="E8" s="853" t="s">
        <v>3356</v>
      </c>
      <c r="F8" s="855" t="s">
        <v>3352</v>
      </c>
      <c r="G8" s="854" t="s">
        <v>3353</v>
      </c>
      <c r="H8" s="856">
        <v>53939.91</v>
      </c>
    </row>
    <row r="9" spans="1:8">
      <c r="A9" s="853"/>
      <c r="B9" s="853"/>
      <c r="C9" s="853"/>
      <c r="D9" s="853"/>
      <c r="E9" s="853"/>
      <c r="F9" s="855"/>
      <c r="G9" s="854"/>
      <c r="H9" s="852">
        <f>SUM(H5:H8)</f>
        <v>354814.79000000004</v>
      </c>
    </row>
    <row r="10" spans="1:8">
      <c r="A10" s="853" t="s">
        <v>373</v>
      </c>
      <c r="B10" s="853" t="s">
        <v>3357</v>
      </c>
      <c r="C10" s="854" t="s">
        <v>3358</v>
      </c>
      <c r="D10" s="853" t="s">
        <v>3359</v>
      </c>
      <c r="E10" s="853" t="s">
        <v>3360</v>
      </c>
      <c r="F10" s="855" t="s">
        <v>3361</v>
      </c>
      <c r="G10" s="854" t="s">
        <v>3362</v>
      </c>
      <c r="H10" s="852">
        <v>119016</v>
      </c>
    </row>
    <row r="11" spans="1:8">
      <c r="A11" s="853">
        <f t="shared" ref="A11:A74" si="0">+A10+1</f>
        <v>6</v>
      </c>
      <c r="B11" s="853" t="s">
        <v>3349</v>
      </c>
      <c r="C11" s="854" t="s">
        <v>3350</v>
      </c>
      <c r="D11" s="853" t="s">
        <v>2769</v>
      </c>
      <c r="E11" s="853" t="s">
        <v>3363</v>
      </c>
      <c r="F11" s="855" t="s">
        <v>3364</v>
      </c>
      <c r="G11" s="854" t="s">
        <v>3365</v>
      </c>
      <c r="H11" s="852">
        <v>8390</v>
      </c>
    </row>
    <row r="12" spans="1:8">
      <c r="A12" s="853">
        <f t="shared" si="0"/>
        <v>7</v>
      </c>
      <c r="B12" s="853" t="s">
        <v>3366</v>
      </c>
      <c r="C12" s="854" t="s">
        <v>3367</v>
      </c>
      <c r="D12" s="853" t="s">
        <v>3368</v>
      </c>
      <c r="E12" s="853" t="s">
        <v>3369</v>
      </c>
      <c r="F12" s="857"/>
      <c r="G12" s="854" t="s">
        <v>3370</v>
      </c>
      <c r="H12" s="852">
        <v>33200</v>
      </c>
    </row>
    <row r="13" spans="1:8">
      <c r="A13" s="853"/>
      <c r="B13" s="853"/>
      <c r="C13" s="853"/>
      <c r="D13" s="853"/>
      <c r="E13" s="853"/>
      <c r="F13" s="855"/>
      <c r="G13" s="854"/>
      <c r="H13" s="856"/>
    </row>
    <row r="14" spans="1:8">
      <c r="A14" s="853" t="s">
        <v>290</v>
      </c>
      <c r="B14" s="853" t="s">
        <v>3371</v>
      </c>
      <c r="C14" s="854" t="s">
        <v>3372</v>
      </c>
      <c r="D14" s="853" t="s">
        <v>2769</v>
      </c>
      <c r="E14" s="853" t="s">
        <v>3373</v>
      </c>
      <c r="F14" s="855" t="s">
        <v>3374</v>
      </c>
      <c r="G14" s="854" t="s">
        <v>3375</v>
      </c>
      <c r="H14" s="856">
        <v>7762.45</v>
      </c>
    </row>
    <row r="15" spans="1:8">
      <c r="A15" s="853">
        <f t="shared" si="0"/>
        <v>9</v>
      </c>
      <c r="B15" s="853" t="s">
        <v>3371</v>
      </c>
      <c r="C15" s="854" t="s">
        <v>3372</v>
      </c>
      <c r="D15" s="853" t="s">
        <v>2769</v>
      </c>
      <c r="E15" s="853" t="s">
        <v>3376</v>
      </c>
      <c r="F15" s="855" t="s">
        <v>3374</v>
      </c>
      <c r="G15" s="854" t="s">
        <v>3375</v>
      </c>
      <c r="H15" s="856">
        <v>219.14</v>
      </c>
    </row>
    <row r="16" spans="1:8">
      <c r="A16" s="853">
        <f t="shared" si="0"/>
        <v>10</v>
      </c>
      <c r="B16" s="853" t="s">
        <v>3371</v>
      </c>
      <c r="C16" s="854" t="s">
        <v>3372</v>
      </c>
      <c r="D16" s="853" t="s">
        <v>2769</v>
      </c>
      <c r="E16" s="853" t="s">
        <v>3377</v>
      </c>
      <c r="F16" s="855" t="s">
        <v>3374</v>
      </c>
      <c r="G16" s="854" t="s">
        <v>3375</v>
      </c>
      <c r="H16" s="856">
        <v>4657.46</v>
      </c>
    </row>
    <row r="17" spans="1:8">
      <c r="A17" s="853">
        <f t="shared" si="0"/>
        <v>11</v>
      </c>
      <c r="B17" s="853" t="s">
        <v>3371</v>
      </c>
      <c r="C17" s="854" t="s">
        <v>3372</v>
      </c>
      <c r="D17" s="853" t="s">
        <v>2769</v>
      </c>
      <c r="E17" s="853" t="s">
        <v>3378</v>
      </c>
      <c r="F17" s="855" t="s">
        <v>3374</v>
      </c>
      <c r="G17" s="854" t="s">
        <v>3375</v>
      </c>
      <c r="H17" s="856">
        <v>25481.06</v>
      </c>
    </row>
    <row r="18" spans="1:8">
      <c r="A18" s="853">
        <f t="shared" si="0"/>
        <v>12</v>
      </c>
      <c r="B18" s="853" t="s">
        <v>3371</v>
      </c>
      <c r="C18" s="854" t="s">
        <v>3372</v>
      </c>
      <c r="D18" s="853" t="s">
        <v>3172</v>
      </c>
      <c r="E18" s="853" t="s">
        <v>3377</v>
      </c>
      <c r="F18" s="855" t="s">
        <v>3374</v>
      </c>
      <c r="G18" s="854" t="s">
        <v>3375</v>
      </c>
      <c r="H18" s="856">
        <v>11468.94</v>
      </c>
    </row>
    <row r="19" spans="1:8">
      <c r="A19" s="853">
        <f t="shared" si="0"/>
        <v>13</v>
      </c>
      <c r="B19" s="853" t="s">
        <v>3371</v>
      </c>
      <c r="C19" s="854" t="s">
        <v>3372</v>
      </c>
      <c r="D19" s="853" t="s">
        <v>3172</v>
      </c>
      <c r="E19" s="853" t="s">
        <v>3373</v>
      </c>
      <c r="F19" s="855" t="s">
        <v>3374</v>
      </c>
      <c r="G19" s="854" t="s">
        <v>3375</v>
      </c>
      <c r="H19" s="856">
        <v>410.95</v>
      </c>
    </row>
    <row r="20" spans="1:8">
      <c r="A20" s="853"/>
      <c r="B20" s="853"/>
      <c r="C20" s="853"/>
      <c r="D20" s="853"/>
      <c r="E20" s="853"/>
      <c r="F20" s="855"/>
      <c r="G20" s="854"/>
      <c r="H20" s="852">
        <f>SUM(H14:H19)</f>
        <v>50000</v>
      </c>
    </row>
    <row r="21" spans="1:8">
      <c r="A21" s="853" t="s">
        <v>3379</v>
      </c>
      <c r="B21" s="858" t="s">
        <v>3380</v>
      </c>
      <c r="C21" s="854" t="s">
        <v>3381</v>
      </c>
      <c r="D21" s="858" t="s">
        <v>2726</v>
      </c>
      <c r="E21" s="858" t="s">
        <v>3382</v>
      </c>
      <c r="F21" s="859" t="s">
        <v>3383</v>
      </c>
      <c r="G21" s="860" t="s">
        <v>3384</v>
      </c>
      <c r="H21" s="861">
        <v>35.340000000000003</v>
      </c>
    </row>
    <row r="22" spans="1:8">
      <c r="A22" s="853">
        <f t="shared" si="0"/>
        <v>15</v>
      </c>
      <c r="B22" s="858" t="s">
        <v>3385</v>
      </c>
      <c r="C22" s="854" t="s">
        <v>3386</v>
      </c>
      <c r="D22" s="858" t="s">
        <v>2726</v>
      </c>
      <c r="E22" s="858" t="s">
        <v>3382</v>
      </c>
      <c r="F22" s="859" t="s">
        <v>3383</v>
      </c>
      <c r="G22" s="860" t="s">
        <v>3384</v>
      </c>
      <c r="H22" s="861">
        <v>40.090000000000003</v>
      </c>
    </row>
    <row r="23" spans="1:8">
      <c r="A23" s="853">
        <f t="shared" si="0"/>
        <v>16</v>
      </c>
      <c r="B23" s="858" t="s">
        <v>3387</v>
      </c>
      <c r="C23" s="854" t="s">
        <v>3388</v>
      </c>
      <c r="D23" s="858" t="s">
        <v>2726</v>
      </c>
      <c r="E23" s="858" t="s">
        <v>3382</v>
      </c>
      <c r="F23" s="859" t="s">
        <v>3383</v>
      </c>
      <c r="G23" s="860" t="s">
        <v>3384</v>
      </c>
      <c r="H23" s="861">
        <v>0.17</v>
      </c>
    </row>
    <row r="24" spans="1:8">
      <c r="A24" s="853">
        <f t="shared" si="0"/>
        <v>17</v>
      </c>
      <c r="B24" s="858" t="s">
        <v>3389</v>
      </c>
      <c r="C24" s="854" t="s">
        <v>3390</v>
      </c>
      <c r="D24" s="858" t="s">
        <v>2726</v>
      </c>
      <c r="E24" s="858" t="s">
        <v>3382</v>
      </c>
      <c r="F24" s="859" t="s">
        <v>3383</v>
      </c>
      <c r="G24" s="860" t="s">
        <v>3384</v>
      </c>
      <c r="H24" s="861">
        <v>0.34</v>
      </c>
    </row>
    <row r="25" spans="1:8">
      <c r="A25" s="853">
        <f t="shared" si="0"/>
        <v>18</v>
      </c>
      <c r="B25" s="858" t="s">
        <v>3391</v>
      </c>
      <c r="C25" s="854" t="s">
        <v>3392</v>
      </c>
      <c r="D25" s="858" t="s">
        <v>2726</v>
      </c>
      <c r="E25" s="858" t="s">
        <v>3382</v>
      </c>
      <c r="F25" s="859" t="s">
        <v>3383</v>
      </c>
      <c r="G25" s="860" t="s">
        <v>3384</v>
      </c>
      <c r="H25" s="861">
        <v>2.78</v>
      </c>
    </row>
    <row r="26" spans="1:8">
      <c r="A26" s="853">
        <f t="shared" si="0"/>
        <v>19</v>
      </c>
      <c r="B26" s="858" t="s">
        <v>3357</v>
      </c>
      <c r="C26" s="854" t="s">
        <v>3358</v>
      </c>
      <c r="D26" s="858" t="s">
        <v>2726</v>
      </c>
      <c r="E26" s="858" t="s">
        <v>3393</v>
      </c>
      <c r="F26" s="859" t="s">
        <v>3383</v>
      </c>
      <c r="G26" s="860" t="s">
        <v>3384</v>
      </c>
      <c r="H26" s="861">
        <v>1027.1099999999999</v>
      </c>
    </row>
    <row r="27" spans="1:8">
      <c r="A27" s="853">
        <f t="shared" si="0"/>
        <v>20</v>
      </c>
      <c r="B27" s="858" t="s">
        <v>3394</v>
      </c>
      <c r="C27" s="854" t="s">
        <v>3395</v>
      </c>
      <c r="D27" s="858" t="s">
        <v>2726</v>
      </c>
      <c r="E27" s="858" t="s">
        <v>3382</v>
      </c>
      <c r="F27" s="859" t="s">
        <v>3383</v>
      </c>
      <c r="G27" s="860" t="s">
        <v>3384</v>
      </c>
      <c r="H27" s="861">
        <v>246.33</v>
      </c>
    </row>
    <row r="28" spans="1:8">
      <c r="A28" s="853">
        <f t="shared" si="0"/>
        <v>21</v>
      </c>
      <c r="B28" s="858" t="s">
        <v>3396</v>
      </c>
      <c r="C28" s="854" t="s">
        <v>3397</v>
      </c>
      <c r="D28" s="858" t="s">
        <v>2726</v>
      </c>
      <c r="E28" s="858" t="s">
        <v>3382</v>
      </c>
      <c r="F28" s="859" t="s">
        <v>3383</v>
      </c>
      <c r="G28" s="860" t="s">
        <v>3384</v>
      </c>
      <c r="H28" s="861">
        <v>32.29</v>
      </c>
    </row>
    <row r="29" spans="1:8">
      <c r="A29" s="853">
        <f t="shared" si="0"/>
        <v>22</v>
      </c>
      <c r="B29" s="858" t="s">
        <v>3398</v>
      </c>
      <c r="C29" s="854" t="s">
        <v>3399</v>
      </c>
      <c r="D29" s="858" t="s">
        <v>2726</v>
      </c>
      <c r="E29" s="858" t="s">
        <v>3382</v>
      </c>
      <c r="F29" s="859" t="s">
        <v>3383</v>
      </c>
      <c r="G29" s="860" t="s">
        <v>3384</v>
      </c>
      <c r="H29" s="861">
        <v>558.65</v>
      </c>
    </row>
    <row r="30" spans="1:8">
      <c r="A30" s="853">
        <f t="shared" si="0"/>
        <v>23</v>
      </c>
      <c r="B30" s="858" t="s">
        <v>3400</v>
      </c>
      <c r="C30" s="854" t="s">
        <v>3401</v>
      </c>
      <c r="D30" s="858" t="s">
        <v>2726</v>
      </c>
      <c r="E30" s="858" t="s">
        <v>3382</v>
      </c>
      <c r="F30" s="859" t="s">
        <v>3383</v>
      </c>
      <c r="G30" s="860" t="s">
        <v>3384</v>
      </c>
      <c r="H30" s="861">
        <v>93.61</v>
      </c>
    </row>
    <row r="31" spans="1:8">
      <c r="A31" s="853">
        <f t="shared" si="0"/>
        <v>24</v>
      </c>
      <c r="B31" s="858" t="s">
        <v>3402</v>
      </c>
      <c r="C31" s="854" t="s">
        <v>3403</v>
      </c>
      <c r="D31" s="858" t="s">
        <v>2726</v>
      </c>
      <c r="E31" s="858" t="s">
        <v>3382</v>
      </c>
      <c r="F31" s="859" t="s">
        <v>3383</v>
      </c>
      <c r="G31" s="860" t="s">
        <v>3384</v>
      </c>
      <c r="H31" s="861">
        <v>73.91</v>
      </c>
    </row>
    <row r="32" spans="1:8">
      <c r="A32" s="853">
        <f t="shared" si="0"/>
        <v>25</v>
      </c>
      <c r="B32" s="858" t="s">
        <v>3404</v>
      </c>
      <c r="C32" s="854" t="s">
        <v>3405</v>
      </c>
      <c r="D32" s="858" t="s">
        <v>2726</v>
      </c>
      <c r="E32" s="858" t="s">
        <v>3382</v>
      </c>
      <c r="F32" s="859" t="s">
        <v>3383</v>
      </c>
      <c r="G32" s="860" t="s">
        <v>3384</v>
      </c>
      <c r="H32" s="861">
        <v>21.67</v>
      </c>
    </row>
    <row r="33" spans="1:8">
      <c r="A33" s="853">
        <f t="shared" si="0"/>
        <v>26</v>
      </c>
      <c r="B33" s="858" t="s">
        <v>3406</v>
      </c>
      <c r="C33" s="854" t="s">
        <v>3365</v>
      </c>
      <c r="D33" s="858" t="s">
        <v>2726</v>
      </c>
      <c r="E33" s="858" t="s">
        <v>3382</v>
      </c>
      <c r="F33" s="859" t="s">
        <v>3383</v>
      </c>
      <c r="G33" s="860" t="s">
        <v>3384</v>
      </c>
      <c r="H33" s="861">
        <v>40.1</v>
      </c>
    </row>
    <row r="34" spans="1:8">
      <c r="A34" s="853">
        <f t="shared" si="0"/>
        <v>27</v>
      </c>
      <c r="B34" s="858" t="s">
        <v>3407</v>
      </c>
      <c r="C34" s="854" t="s">
        <v>3408</v>
      </c>
      <c r="D34" s="858" t="s">
        <v>2726</v>
      </c>
      <c r="E34" s="858" t="s">
        <v>3382</v>
      </c>
      <c r="F34" s="859" t="s">
        <v>3383</v>
      </c>
      <c r="G34" s="860" t="s">
        <v>3384</v>
      </c>
      <c r="H34" s="861">
        <v>608.45000000000005</v>
      </c>
    </row>
    <row r="35" spans="1:8">
      <c r="A35" s="853">
        <f t="shared" si="0"/>
        <v>28</v>
      </c>
      <c r="B35" s="858" t="s">
        <v>3409</v>
      </c>
      <c r="C35" s="854" t="s">
        <v>3410</v>
      </c>
      <c r="D35" s="858" t="s">
        <v>2726</v>
      </c>
      <c r="E35" s="858" t="s">
        <v>3382</v>
      </c>
      <c r="F35" s="859" t="s">
        <v>3383</v>
      </c>
      <c r="G35" s="860" t="s">
        <v>3384</v>
      </c>
      <c r="H35" s="861">
        <v>440.37</v>
      </c>
    </row>
    <row r="36" spans="1:8">
      <c r="A36" s="853">
        <f t="shared" si="0"/>
        <v>29</v>
      </c>
      <c r="B36" s="858" t="s">
        <v>3411</v>
      </c>
      <c r="C36" s="854" t="s">
        <v>3412</v>
      </c>
      <c r="D36" s="858" t="s">
        <v>2726</v>
      </c>
      <c r="E36" s="858" t="s">
        <v>3382</v>
      </c>
      <c r="F36" s="859" t="s">
        <v>3383</v>
      </c>
      <c r="G36" s="860" t="s">
        <v>3384</v>
      </c>
      <c r="H36" s="861">
        <v>42.38</v>
      </c>
    </row>
    <row r="37" spans="1:8">
      <c r="A37" s="853">
        <f t="shared" si="0"/>
        <v>30</v>
      </c>
      <c r="B37" s="858" t="s">
        <v>3413</v>
      </c>
      <c r="C37" s="854" t="s">
        <v>3414</v>
      </c>
      <c r="D37" s="858" t="s">
        <v>2726</v>
      </c>
      <c r="E37" s="858" t="s">
        <v>3382</v>
      </c>
      <c r="F37" s="859" t="s">
        <v>3383</v>
      </c>
      <c r="G37" s="860" t="s">
        <v>3384</v>
      </c>
      <c r="H37" s="861">
        <v>168.18</v>
      </c>
    </row>
    <row r="38" spans="1:8">
      <c r="A38" s="853">
        <f t="shared" si="0"/>
        <v>31</v>
      </c>
      <c r="B38" s="858" t="s">
        <v>3415</v>
      </c>
      <c r="C38" s="854" t="s">
        <v>3416</v>
      </c>
      <c r="D38" s="858" t="s">
        <v>2726</v>
      </c>
      <c r="E38" s="858" t="s">
        <v>3382</v>
      </c>
      <c r="F38" s="859" t="s">
        <v>3383</v>
      </c>
      <c r="G38" s="860" t="s">
        <v>3384</v>
      </c>
      <c r="H38" s="861">
        <v>69.44</v>
      </c>
    </row>
    <row r="39" spans="1:8">
      <c r="A39" s="853">
        <f t="shared" si="0"/>
        <v>32</v>
      </c>
      <c r="B39" s="858" t="s">
        <v>3417</v>
      </c>
      <c r="C39" s="854" t="s">
        <v>3418</v>
      </c>
      <c r="D39" s="858" t="s">
        <v>2726</v>
      </c>
      <c r="E39" s="858" t="s">
        <v>3382</v>
      </c>
      <c r="F39" s="859" t="s">
        <v>3383</v>
      </c>
      <c r="G39" s="860" t="s">
        <v>3384</v>
      </c>
      <c r="H39" s="861">
        <v>744.61</v>
      </c>
    </row>
    <row r="40" spans="1:8">
      <c r="A40" s="853">
        <f t="shared" si="0"/>
        <v>33</v>
      </c>
      <c r="B40" s="858" t="s">
        <v>3419</v>
      </c>
      <c r="C40" s="854" t="s">
        <v>3420</v>
      </c>
      <c r="D40" s="858" t="s">
        <v>2726</v>
      </c>
      <c r="E40" s="858" t="s">
        <v>3382</v>
      </c>
      <c r="F40" s="859" t="s">
        <v>3383</v>
      </c>
      <c r="G40" s="860" t="s">
        <v>3384</v>
      </c>
      <c r="H40" s="861">
        <v>86.33</v>
      </c>
    </row>
    <row r="41" spans="1:8">
      <c r="A41" s="853">
        <f t="shared" si="0"/>
        <v>34</v>
      </c>
      <c r="B41" s="858" t="s">
        <v>3421</v>
      </c>
      <c r="C41" s="854" t="s">
        <v>3422</v>
      </c>
      <c r="D41" s="858" t="s">
        <v>2726</v>
      </c>
      <c r="E41" s="858" t="s">
        <v>3393</v>
      </c>
      <c r="F41" s="859" t="s">
        <v>3383</v>
      </c>
      <c r="G41" s="860" t="s">
        <v>3384</v>
      </c>
      <c r="H41" s="861">
        <v>236.39</v>
      </c>
    </row>
    <row r="42" spans="1:8">
      <c r="A42" s="853">
        <f t="shared" si="0"/>
        <v>35</v>
      </c>
      <c r="B42" s="858" t="s">
        <v>3423</v>
      </c>
      <c r="C42" s="854" t="s">
        <v>3424</v>
      </c>
      <c r="D42" s="858" t="s">
        <v>2726</v>
      </c>
      <c r="E42" s="858" t="s">
        <v>3382</v>
      </c>
      <c r="F42" s="859" t="s">
        <v>3383</v>
      </c>
      <c r="G42" s="860" t="s">
        <v>3384</v>
      </c>
      <c r="H42" s="861">
        <v>194.36</v>
      </c>
    </row>
    <row r="43" spans="1:8">
      <c r="A43" s="853">
        <f t="shared" si="0"/>
        <v>36</v>
      </c>
      <c r="B43" s="858" t="s">
        <v>3425</v>
      </c>
      <c r="C43" s="854" t="s">
        <v>3426</v>
      </c>
      <c r="D43" s="858" t="s">
        <v>2726</v>
      </c>
      <c r="E43" s="858" t="s">
        <v>3382</v>
      </c>
      <c r="F43" s="859" t="s">
        <v>3383</v>
      </c>
      <c r="G43" s="860" t="s">
        <v>3384</v>
      </c>
      <c r="H43" s="861">
        <v>81.569999999999993</v>
      </c>
    </row>
    <row r="44" spans="1:8">
      <c r="A44" s="853">
        <f t="shared" si="0"/>
        <v>37</v>
      </c>
      <c r="B44" s="858" t="s">
        <v>3427</v>
      </c>
      <c r="C44" s="854" t="s">
        <v>3428</v>
      </c>
      <c r="D44" s="858" t="s">
        <v>2726</v>
      </c>
      <c r="E44" s="858" t="s">
        <v>3393</v>
      </c>
      <c r="F44" s="859" t="s">
        <v>3383</v>
      </c>
      <c r="G44" s="860" t="s">
        <v>3384</v>
      </c>
      <c r="H44" s="861">
        <v>471.58</v>
      </c>
    </row>
    <row r="45" spans="1:8">
      <c r="A45" s="853">
        <f t="shared" si="0"/>
        <v>38</v>
      </c>
      <c r="B45" s="858" t="s">
        <v>3429</v>
      </c>
      <c r="C45" s="854" t="s">
        <v>3430</v>
      </c>
      <c r="D45" s="858" t="s">
        <v>2726</v>
      </c>
      <c r="E45" s="858" t="s">
        <v>3382</v>
      </c>
      <c r="F45" s="859" t="s">
        <v>3383</v>
      </c>
      <c r="G45" s="860" t="s">
        <v>3384</v>
      </c>
      <c r="H45" s="861">
        <v>74.27</v>
      </c>
    </row>
    <row r="46" spans="1:8">
      <c r="A46" s="853">
        <f t="shared" si="0"/>
        <v>39</v>
      </c>
      <c r="B46" s="858" t="s">
        <v>3431</v>
      </c>
      <c r="C46" s="854" t="s">
        <v>3432</v>
      </c>
      <c r="D46" s="858" t="s">
        <v>2726</v>
      </c>
      <c r="E46" s="858" t="s">
        <v>3382</v>
      </c>
      <c r="F46" s="859" t="s">
        <v>3383</v>
      </c>
      <c r="G46" s="860" t="s">
        <v>3384</v>
      </c>
      <c r="H46" s="861">
        <v>144.79</v>
      </c>
    </row>
    <row r="47" spans="1:8">
      <c r="A47" s="853">
        <f t="shared" si="0"/>
        <v>40</v>
      </c>
      <c r="B47" s="858" t="s">
        <v>3433</v>
      </c>
      <c r="C47" s="854" t="s">
        <v>3434</v>
      </c>
      <c r="D47" s="858" t="s">
        <v>2726</v>
      </c>
      <c r="E47" s="858" t="s">
        <v>3382</v>
      </c>
      <c r="F47" s="859" t="s">
        <v>3383</v>
      </c>
      <c r="G47" s="860" t="s">
        <v>3384</v>
      </c>
      <c r="H47" s="861">
        <v>133.82</v>
      </c>
    </row>
    <row r="48" spans="1:8">
      <c r="A48" s="853">
        <f t="shared" si="0"/>
        <v>41</v>
      </c>
      <c r="B48" s="858" t="s">
        <v>3435</v>
      </c>
      <c r="C48" s="854" t="s">
        <v>3436</v>
      </c>
      <c r="D48" s="858" t="s">
        <v>2726</v>
      </c>
      <c r="E48" s="858" t="s">
        <v>3382</v>
      </c>
      <c r="F48" s="859" t="s">
        <v>3383</v>
      </c>
      <c r="G48" s="860" t="s">
        <v>3384</v>
      </c>
      <c r="H48" s="861">
        <v>94.71</v>
      </c>
    </row>
    <row r="49" spans="1:8">
      <c r="A49" s="853">
        <f t="shared" si="0"/>
        <v>42</v>
      </c>
      <c r="B49" s="858" t="s">
        <v>3437</v>
      </c>
      <c r="C49" s="854" t="s">
        <v>3438</v>
      </c>
      <c r="D49" s="858" t="s">
        <v>2726</v>
      </c>
      <c r="E49" s="858" t="s">
        <v>3382</v>
      </c>
      <c r="F49" s="859" t="s">
        <v>3383</v>
      </c>
      <c r="G49" s="860" t="s">
        <v>3384</v>
      </c>
      <c r="H49" s="861">
        <v>433.64</v>
      </c>
    </row>
    <row r="50" spans="1:8">
      <c r="A50" s="853">
        <f t="shared" si="0"/>
        <v>43</v>
      </c>
      <c r="B50" s="858" t="s">
        <v>3439</v>
      </c>
      <c r="C50" s="854" t="s">
        <v>3440</v>
      </c>
      <c r="D50" s="858" t="s">
        <v>2726</v>
      </c>
      <c r="E50" s="858" t="s">
        <v>3393</v>
      </c>
      <c r="F50" s="859" t="s">
        <v>3383</v>
      </c>
      <c r="G50" s="860" t="s">
        <v>3384</v>
      </c>
      <c r="H50" s="861">
        <v>1.1399999999999999</v>
      </c>
    </row>
    <row r="51" spans="1:8">
      <c r="A51" s="853">
        <f t="shared" si="0"/>
        <v>44</v>
      </c>
      <c r="B51" s="858" t="s">
        <v>3441</v>
      </c>
      <c r="C51" s="854" t="s">
        <v>3442</v>
      </c>
      <c r="D51" s="858" t="s">
        <v>2726</v>
      </c>
      <c r="E51" s="858" t="s">
        <v>3382</v>
      </c>
      <c r="F51" s="859" t="s">
        <v>3383</v>
      </c>
      <c r="G51" s="860" t="s">
        <v>3384</v>
      </c>
      <c r="H51" s="861">
        <v>19.46</v>
      </c>
    </row>
    <row r="52" spans="1:8">
      <c r="A52" s="853">
        <f t="shared" si="0"/>
        <v>45</v>
      </c>
      <c r="B52" s="858" t="s">
        <v>3443</v>
      </c>
      <c r="C52" s="854" t="s">
        <v>3444</v>
      </c>
      <c r="D52" s="858" t="s">
        <v>2726</v>
      </c>
      <c r="E52" s="858" t="s">
        <v>3382</v>
      </c>
      <c r="F52" s="859" t="s">
        <v>3383</v>
      </c>
      <c r="G52" s="860" t="s">
        <v>3384</v>
      </c>
      <c r="H52" s="861">
        <v>246.43</v>
      </c>
    </row>
    <row r="53" spans="1:8">
      <c r="A53" s="853">
        <f t="shared" si="0"/>
        <v>46</v>
      </c>
      <c r="B53" s="858" t="s">
        <v>3445</v>
      </c>
      <c r="C53" s="854" t="s">
        <v>3446</v>
      </c>
      <c r="D53" s="858" t="s">
        <v>2726</v>
      </c>
      <c r="E53" s="858" t="s">
        <v>3382</v>
      </c>
      <c r="F53" s="859" t="s">
        <v>3383</v>
      </c>
      <c r="G53" s="860" t="s">
        <v>3384</v>
      </c>
      <c r="H53" s="861">
        <v>7.82</v>
      </c>
    </row>
    <row r="54" spans="1:8">
      <c r="A54" s="853">
        <f t="shared" si="0"/>
        <v>47</v>
      </c>
      <c r="B54" s="858" t="s">
        <v>3366</v>
      </c>
      <c r="C54" s="854" t="s">
        <v>3367</v>
      </c>
      <c r="D54" s="858" t="s">
        <v>2726</v>
      </c>
      <c r="E54" s="858" t="s">
        <v>3382</v>
      </c>
      <c r="F54" s="859" t="s">
        <v>3383</v>
      </c>
      <c r="G54" s="860" t="s">
        <v>3384</v>
      </c>
      <c r="H54" s="861">
        <v>0.9</v>
      </c>
    </row>
    <row r="55" spans="1:8">
      <c r="A55" s="853">
        <f t="shared" si="0"/>
        <v>48</v>
      </c>
      <c r="B55" s="858" t="s">
        <v>3369</v>
      </c>
      <c r="C55" s="854" t="s">
        <v>3447</v>
      </c>
      <c r="D55" s="858" t="s">
        <v>2726</v>
      </c>
      <c r="E55" s="858" t="s">
        <v>3382</v>
      </c>
      <c r="F55" s="859" t="s">
        <v>3383</v>
      </c>
      <c r="G55" s="860" t="s">
        <v>3384</v>
      </c>
      <c r="H55" s="861">
        <v>13.75</v>
      </c>
    </row>
    <row r="56" spans="1:8">
      <c r="A56" s="853">
        <f t="shared" si="0"/>
        <v>49</v>
      </c>
      <c r="B56" s="858" t="s">
        <v>3448</v>
      </c>
      <c r="C56" s="854" t="s">
        <v>3449</v>
      </c>
      <c r="D56" s="858" t="s">
        <v>2726</v>
      </c>
      <c r="E56" s="858" t="s">
        <v>3393</v>
      </c>
      <c r="F56" s="859" t="s">
        <v>3383</v>
      </c>
      <c r="G56" s="860" t="s">
        <v>3384</v>
      </c>
      <c r="H56" s="861">
        <v>1437.58</v>
      </c>
    </row>
    <row r="57" spans="1:8">
      <c r="A57" s="853">
        <f t="shared" si="0"/>
        <v>50</v>
      </c>
      <c r="B57" s="858" t="s">
        <v>3450</v>
      </c>
      <c r="C57" s="854" t="s">
        <v>3451</v>
      </c>
      <c r="D57" s="858" t="s">
        <v>2726</v>
      </c>
      <c r="E57" s="858" t="s">
        <v>3382</v>
      </c>
      <c r="F57" s="859" t="s">
        <v>3383</v>
      </c>
      <c r="G57" s="860" t="s">
        <v>3384</v>
      </c>
      <c r="H57" s="861">
        <v>719.83</v>
      </c>
    </row>
    <row r="58" spans="1:8">
      <c r="A58" s="853">
        <f t="shared" si="0"/>
        <v>51</v>
      </c>
      <c r="B58" s="858" t="s">
        <v>3452</v>
      </c>
      <c r="C58" s="854" t="s">
        <v>3453</v>
      </c>
      <c r="D58" s="858" t="s">
        <v>2726</v>
      </c>
      <c r="E58" s="858" t="s">
        <v>3382</v>
      </c>
      <c r="F58" s="859" t="s">
        <v>3383</v>
      </c>
      <c r="G58" s="860" t="s">
        <v>3384</v>
      </c>
      <c r="H58" s="861">
        <v>602.58000000000004</v>
      </c>
    </row>
    <row r="59" spans="1:8">
      <c r="A59" s="853">
        <f t="shared" si="0"/>
        <v>52</v>
      </c>
      <c r="B59" s="858" t="s">
        <v>3454</v>
      </c>
      <c r="C59" s="854" t="s">
        <v>3455</v>
      </c>
      <c r="D59" s="858" t="s">
        <v>2726</v>
      </c>
      <c r="E59" s="858" t="s">
        <v>3382</v>
      </c>
      <c r="F59" s="859" t="s">
        <v>3383</v>
      </c>
      <c r="G59" s="860" t="s">
        <v>3384</v>
      </c>
      <c r="H59" s="861">
        <v>25.47</v>
      </c>
    </row>
    <row r="60" spans="1:8">
      <c r="A60" s="853">
        <f t="shared" si="0"/>
        <v>53</v>
      </c>
      <c r="B60" s="858" t="s">
        <v>3456</v>
      </c>
      <c r="C60" s="854" t="s">
        <v>3457</v>
      </c>
      <c r="D60" s="858" t="s">
        <v>2726</v>
      </c>
      <c r="E60" s="858" t="s">
        <v>3382</v>
      </c>
      <c r="F60" s="859" t="s">
        <v>3383</v>
      </c>
      <c r="G60" s="860" t="s">
        <v>3384</v>
      </c>
      <c r="H60" s="861">
        <v>470.25</v>
      </c>
    </row>
    <row r="61" spans="1:8">
      <c r="A61" s="853">
        <f t="shared" si="0"/>
        <v>54</v>
      </c>
      <c r="B61" s="858" t="s">
        <v>3458</v>
      </c>
      <c r="C61" s="854" t="s">
        <v>3459</v>
      </c>
      <c r="D61" s="858" t="s">
        <v>2726</v>
      </c>
      <c r="E61" s="858" t="s">
        <v>3382</v>
      </c>
      <c r="F61" s="859" t="s">
        <v>3383</v>
      </c>
      <c r="G61" s="860" t="s">
        <v>3384</v>
      </c>
      <c r="H61" s="861">
        <v>540.27</v>
      </c>
    </row>
    <row r="62" spans="1:8">
      <c r="A62" s="853">
        <f t="shared" si="0"/>
        <v>55</v>
      </c>
      <c r="B62" s="858" t="s">
        <v>3460</v>
      </c>
      <c r="C62" s="854" t="s">
        <v>3461</v>
      </c>
      <c r="D62" s="858" t="s">
        <v>2726</v>
      </c>
      <c r="E62" s="858" t="s">
        <v>3382</v>
      </c>
      <c r="F62" s="859" t="s">
        <v>3383</v>
      </c>
      <c r="G62" s="860" t="s">
        <v>3384</v>
      </c>
      <c r="H62" s="861">
        <v>28.69</v>
      </c>
    </row>
    <row r="63" spans="1:8">
      <c r="A63" s="853">
        <f t="shared" si="0"/>
        <v>56</v>
      </c>
      <c r="B63" s="858" t="s">
        <v>3462</v>
      </c>
      <c r="C63" s="854" t="s">
        <v>3463</v>
      </c>
      <c r="D63" s="858" t="s">
        <v>2726</v>
      </c>
      <c r="E63" s="858" t="s">
        <v>3382</v>
      </c>
      <c r="F63" s="859" t="s">
        <v>3383</v>
      </c>
      <c r="G63" s="860" t="s">
        <v>3384</v>
      </c>
      <c r="H63" s="861">
        <v>768.99</v>
      </c>
    </row>
    <row r="64" spans="1:8">
      <c r="A64" s="853">
        <f t="shared" si="0"/>
        <v>57</v>
      </c>
      <c r="B64" s="858" t="s">
        <v>3464</v>
      </c>
      <c r="C64" s="854" t="s">
        <v>3465</v>
      </c>
      <c r="D64" s="858" t="s">
        <v>2726</v>
      </c>
      <c r="E64" s="858" t="s">
        <v>3393</v>
      </c>
      <c r="F64" s="859" t="s">
        <v>3383</v>
      </c>
      <c r="G64" s="860" t="s">
        <v>3384</v>
      </c>
      <c r="H64" s="861">
        <v>50.76</v>
      </c>
    </row>
    <row r="65" spans="1:8">
      <c r="A65" s="853">
        <f t="shared" si="0"/>
        <v>58</v>
      </c>
      <c r="B65" s="858" t="s">
        <v>3466</v>
      </c>
      <c r="C65" s="854" t="s">
        <v>3467</v>
      </c>
      <c r="D65" s="858" t="s">
        <v>2726</v>
      </c>
      <c r="E65" s="858" t="s">
        <v>3382</v>
      </c>
      <c r="F65" s="859" t="s">
        <v>3383</v>
      </c>
      <c r="G65" s="860" t="s">
        <v>3384</v>
      </c>
      <c r="H65" s="861">
        <v>642.15</v>
      </c>
    </row>
    <row r="66" spans="1:8">
      <c r="A66" s="853">
        <f t="shared" si="0"/>
        <v>59</v>
      </c>
      <c r="B66" s="858" t="s">
        <v>3468</v>
      </c>
      <c r="C66" s="854" t="s">
        <v>3469</v>
      </c>
      <c r="D66" s="858" t="s">
        <v>2726</v>
      </c>
      <c r="E66" s="858" t="s">
        <v>3393</v>
      </c>
      <c r="F66" s="859" t="s">
        <v>3383</v>
      </c>
      <c r="G66" s="860" t="s">
        <v>3384</v>
      </c>
      <c r="H66" s="861">
        <v>3089.4</v>
      </c>
    </row>
    <row r="67" spans="1:8">
      <c r="A67" s="853">
        <f t="shared" si="0"/>
        <v>60</v>
      </c>
      <c r="B67" s="858" t="s">
        <v>3470</v>
      </c>
      <c r="C67" s="854" t="s">
        <v>3471</v>
      </c>
      <c r="D67" s="858" t="s">
        <v>2726</v>
      </c>
      <c r="E67" s="858" t="s">
        <v>3393</v>
      </c>
      <c r="F67" s="859" t="s">
        <v>3383</v>
      </c>
      <c r="G67" s="860" t="s">
        <v>3384</v>
      </c>
      <c r="H67" s="861">
        <v>159.72999999999999</v>
      </c>
    </row>
    <row r="68" spans="1:8">
      <c r="A68" s="853">
        <f t="shared" si="0"/>
        <v>61</v>
      </c>
      <c r="B68" s="858" t="s">
        <v>3472</v>
      </c>
      <c r="C68" s="854" t="s">
        <v>3473</v>
      </c>
      <c r="D68" s="858" t="s">
        <v>2726</v>
      </c>
      <c r="E68" s="858" t="s">
        <v>3382</v>
      </c>
      <c r="F68" s="859" t="s">
        <v>3383</v>
      </c>
      <c r="G68" s="860" t="s">
        <v>3384</v>
      </c>
      <c r="H68" s="861">
        <v>25.53</v>
      </c>
    </row>
    <row r="69" spans="1:8">
      <c r="A69" s="853">
        <f t="shared" si="0"/>
        <v>62</v>
      </c>
      <c r="B69" s="858" t="s">
        <v>3474</v>
      </c>
      <c r="C69" s="854" t="s">
        <v>3475</v>
      </c>
      <c r="D69" s="858" t="s">
        <v>2726</v>
      </c>
      <c r="E69" s="858" t="s">
        <v>3382</v>
      </c>
      <c r="F69" s="859" t="s">
        <v>3383</v>
      </c>
      <c r="G69" s="860" t="s">
        <v>3384</v>
      </c>
      <c r="H69" s="861">
        <v>16.59</v>
      </c>
    </row>
    <row r="70" spans="1:8">
      <c r="A70" s="853">
        <f t="shared" si="0"/>
        <v>63</v>
      </c>
      <c r="B70" s="858" t="s">
        <v>3476</v>
      </c>
      <c r="C70" s="854" t="s">
        <v>3477</v>
      </c>
      <c r="D70" s="858" t="s">
        <v>2726</v>
      </c>
      <c r="E70" s="858" t="s">
        <v>3382</v>
      </c>
      <c r="F70" s="859" t="s">
        <v>3383</v>
      </c>
      <c r="G70" s="860" t="s">
        <v>3384</v>
      </c>
      <c r="H70" s="861">
        <v>86.76</v>
      </c>
    </row>
    <row r="71" spans="1:8">
      <c r="A71" s="853">
        <f t="shared" si="0"/>
        <v>64</v>
      </c>
      <c r="B71" s="858" t="s">
        <v>3478</v>
      </c>
      <c r="C71" s="854" t="s">
        <v>3479</v>
      </c>
      <c r="D71" s="858" t="s">
        <v>2726</v>
      </c>
      <c r="E71" s="858" t="s">
        <v>3382</v>
      </c>
      <c r="F71" s="859" t="s">
        <v>3383</v>
      </c>
      <c r="G71" s="860" t="s">
        <v>3384</v>
      </c>
      <c r="H71" s="861">
        <v>626.26</v>
      </c>
    </row>
    <row r="72" spans="1:8">
      <c r="A72" s="853">
        <f t="shared" si="0"/>
        <v>65</v>
      </c>
      <c r="B72" s="858" t="s">
        <v>3480</v>
      </c>
      <c r="C72" s="854" t="s">
        <v>3481</v>
      </c>
      <c r="D72" s="858" t="s">
        <v>2726</v>
      </c>
      <c r="E72" s="858" t="s">
        <v>3393</v>
      </c>
      <c r="F72" s="859" t="s">
        <v>3383</v>
      </c>
      <c r="G72" s="860" t="s">
        <v>3384</v>
      </c>
      <c r="H72" s="861">
        <v>675.54</v>
      </c>
    </row>
    <row r="73" spans="1:8">
      <c r="A73" s="853">
        <f t="shared" si="0"/>
        <v>66</v>
      </c>
      <c r="B73" s="858" t="s">
        <v>3482</v>
      </c>
      <c r="C73" s="854" t="s">
        <v>3483</v>
      </c>
      <c r="D73" s="858" t="s">
        <v>2726</v>
      </c>
      <c r="E73" s="858" t="s">
        <v>3382</v>
      </c>
      <c r="F73" s="859" t="s">
        <v>3383</v>
      </c>
      <c r="G73" s="860" t="s">
        <v>3384</v>
      </c>
      <c r="H73" s="861">
        <v>69.91</v>
      </c>
    </row>
    <row r="74" spans="1:8">
      <c r="A74" s="853">
        <f t="shared" si="0"/>
        <v>67</v>
      </c>
      <c r="B74" s="858" t="s">
        <v>3484</v>
      </c>
      <c r="C74" s="854" t="s">
        <v>3485</v>
      </c>
      <c r="D74" s="858" t="s">
        <v>2726</v>
      </c>
      <c r="E74" s="858" t="s">
        <v>3382</v>
      </c>
      <c r="F74" s="859" t="s">
        <v>3383</v>
      </c>
      <c r="G74" s="860" t="s">
        <v>3384</v>
      </c>
      <c r="H74" s="861">
        <v>70.510000000000005</v>
      </c>
    </row>
    <row r="75" spans="1:8">
      <c r="A75" s="853">
        <f t="shared" ref="A75:A138" si="1">+A74+1</f>
        <v>68</v>
      </c>
      <c r="B75" s="858" t="s">
        <v>3486</v>
      </c>
      <c r="C75" s="854" t="s">
        <v>3487</v>
      </c>
      <c r="D75" s="858" t="s">
        <v>2726</v>
      </c>
      <c r="E75" s="858" t="s">
        <v>3382</v>
      </c>
      <c r="F75" s="859" t="s">
        <v>3383</v>
      </c>
      <c r="G75" s="860" t="s">
        <v>3384</v>
      </c>
      <c r="H75" s="861">
        <v>89.8</v>
      </c>
    </row>
    <row r="76" spans="1:8">
      <c r="A76" s="853">
        <f t="shared" si="1"/>
        <v>69</v>
      </c>
      <c r="B76" s="858" t="s">
        <v>3488</v>
      </c>
      <c r="C76" s="854" t="s">
        <v>3489</v>
      </c>
      <c r="D76" s="858" t="s">
        <v>2726</v>
      </c>
      <c r="E76" s="858" t="s">
        <v>3393</v>
      </c>
      <c r="F76" s="859" t="s">
        <v>3383</v>
      </c>
      <c r="G76" s="860" t="s">
        <v>3384</v>
      </c>
      <c r="H76" s="861">
        <v>1235.9100000000001</v>
      </c>
    </row>
    <row r="77" spans="1:8">
      <c r="A77" s="853">
        <f t="shared" si="1"/>
        <v>70</v>
      </c>
      <c r="B77" s="858" t="s">
        <v>3490</v>
      </c>
      <c r="C77" s="854" t="s">
        <v>3491</v>
      </c>
      <c r="D77" s="858" t="s">
        <v>2726</v>
      </c>
      <c r="E77" s="858" t="s">
        <v>3382</v>
      </c>
      <c r="F77" s="859" t="s">
        <v>3383</v>
      </c>
      <c r="G77" s="860" t="s">
        <v>3384</v>
      </c>
      <c r="H77" s="861">
        <v>49.94</v>
      </c>
    </row>
    <row r="78" spans="1:8">
      <c r="A78" s="853">
        <f t="shared" si="1"/>
        <v>71</v>
      </c>
      <c r="B78" s="858" t="s">
        <v>3492</v>
      </c>
      <c r="C78" s="854" t="s">
        <v>3493</v>
      </c>
      <c r="D78" s="858" t="s">
        <v>2726</v>
      </c>
      <c r="E78" s="858" t="s">
        <v>3382</v>
      </c>
      <c r="F78" s="859" t="s">
        <v>3383</v>
      </c>
      <c r="G78" s="860" t="s">
        <v>3384</v>
      </c>
      <c r="H78" s="861">
        <v>212.25</v>
      </c>
    </row>
    <row r="79" spans="1:8">
      <c r="A79" s="853">
        <f t="shared" si="1"/>
        <v>72</v>
      </c>
      <c r="B79" s="858" t="s">
        <v>3494</v>
      </c>
      <c r="C79" s="854" t="s">
        <v>3495</v>
      </c>
      <c r="D79" s="858" t="s">
        <v>2726</v>
      </c>
      <c r="E79" s="858" t="s">
        <v>3382</v>
      </c>
      <c r="F79" s="859" t="s">
        <v>3383</v>
      </c>
      <c r="G79" s="860" t="s">
        <v>3384</v>
      </c>
      <c r="H79" s="861">
        <v>199.52</v>
      </c>
    </row>
    <row r="80" spans="1:8">
      <c r="A80" s="853">
        <f t="shared" si="1"/>
        <v>73</v>
      </c>
      <c r="B80" s="858" t="s">
        <v>3496</v>
      </c>
      <c r="C80" s="854" t="s">
        <v>3497</v>
      </c>
      <c r="D80" s="858" t="s">
        <v>2726</v>
      </c>
      <c r="E80" s="858" t="s">
        <v>3382</v>
      </c>
      <c r="F80" s="859" t="s">
        <v>3383</v>
      </c>
      <c r="G80" s="860" t="s">
        <v>3384</v>
      </c>
      <c r="H80" s="861">
        <v>90.45</v>
      </c>
    </row>
    <row r="81" spans="1:8">
      <c r="A81" s="853">
        <f t="shared" si="1"/>
        <v>74</v>
      </c>
      <c r="B81" s="858" t="s">
        <v>3498</v>
      </c>
      <c r="C81" s="854" t="s">
        <v>3499</v>
      </c>
      <c r="D81" s="858" t="s">
        <v>2726</v>
      </c>
      <c r="E81" s="858" t="s">
        <v>3382</v>
      </c>
      <c r="F81" s="859" t="s">
        <v>3383</v>
      </c>
      <c r="G81" s="860" t="s">
        <v>3384</v>
      </c>
      <c r="H81" s="861">
        <v>96.68</v>
      </c>
    </row>
    <row r="82" spans="1:8">
      <c r="A82" s="853">
        <f t="shared" si="1"/>
        <v>75</v>
      </c>
      <c r="B82" s="858" t="s">
        <v>3500</v>
      </c>
      <c r="C82" s="854" t="s">
        <v>3501</v>
      </c>
      <c r="D82" s="858" t="s">
        <v>2726</v>
      </c>
      <c r="E82" s="858" t="s">
        <v>3393</v>
      </c>
      <c r="F82" s="859" t="s">
        <v>3383</v>
      </c>
      <c r="G82" s="860" t="s">
        <v>3384</v>
      </c>
      <c r="H82" s="861">
        <v>1875.7</v>
      </c>
    </row>
    <row r="83" spans="1:8">
      <c r="A83" s="853">
        <f t="shared" si="1"/>
        <v>76</v>
      </c>
      <c r="B83" s="858" t="s">
        <v>3502</v>
      </c>
      <c r="C83" s="854" t="s">
        <v>3503</v>
      </c>
      <c r="D83" s="858" t="s">
        <v>2726</v>
      </c>
      <c r="E83" s="858" t="s">
        <v>3382</v>
      </c>
      <c r="F83" s="859" t="s">
        <v>3383</v>
      </c>
      <c r="G83" s="860" t="s">
        <v>3384</v>
      </c>
      <c r="H83" s="861">
        <v>64.91</v>
      </c>
    </row>
    <row r="84" spans="1:8">
      <c r="A84" s="853">
        <f t="shared" si="1"/>
        <v>77</v>
      </c>
      <c r="B84" s="858" t="s">
        <v>3504</v>
      </c>
      <c r="C84" s="854" t="s">
        <v>3505</v>
      </c>
      <c r="D84" s="858" t="s">
        <v>2726</v>
      </c>
      <c r="E84" s="858" t="s">
        <v>3393</v>
      </c>
      <c r="F84" s="859" t="s">
        <v>3383</v>
      </c>
      <c r="G84" s="860" t="s">
        <v>3384</v>
      </c>
      <c r="H84" s="861">
        <v>1473.99</v>
      </c>
    </row>
    <row r="85" spans="1:8">
      <c r="A85" s="853">
        <f t="shared" si="1"/>
        <v>78</v>
      </c>
      <c r="B85" s="858" t="s">
        <v>3506</v>
      </c>
      <c r="C85" s="854" t="s">
        <v>3507</v>
      </c>
      <c r="D85" s="858" t="s">
        <v>2726</v>
      </c>
      <c r="E85" s="858" t="s">
        <v>3393</v>
      </c>
      <c r="F85" s="859" t="s">
        <v>3383</v>
      </c>
      <c r="G85" s="860" t="s">
        <v>3384</v>
      </c>
      <c r="H85" s="861">
        <v>795.16</v>
      </c>
    </row>
    <row r="86" spans="1:8">
      <c r="A86" s="853">
        <f t="shared" si="1"/>
        <v>79</v>
      </c>
      <c r="B86" s="858" t="s">
        <v>3508</v>
      </c>
      <c r="C86" s="854" t="s">
        <v>3509</v>
      </c>
      <c r="D86" s="858" t="s">
        <v>2726</v>
      </c>
      <c r="E86" s="858" t="s">
        <v>3382</v>
      </c>
      <c r="F86" s="859" t="s">
        <v>3383</v>
      </c>
      <c r="G86" s="860" t="s">
        <v>3384</v>
      </c>
      <c r="H86" s="861">
        <v>77.16</v>
      </c>
    </row>
    <row r="87" spans="1:8">
      <c r="A87" s="853">
        <f t="shared" si="1"/>
        <v>80</v>
      </c>
      <c r="B87" s="858" t="s">
        <v>3510</v>
      </c>
      <c r="C87" s="854" t="s">
        <v>3511</v>
      </c>
      <c r="D87" s="858" t="s">
        <v>2726</v>
      </c>
      <c r="E87" s="858" t="s">
        <v>3393</v>
      </c>
      <c r="F87" s="859" t="s">
        <v>3383</v>
      </c>
      <c r="G87" s="860" t="s">
        <v>3384</v>
      </c>
      <c r="H87" s="861">
        <v>892.95</v>
      </c>
    </row>
    <row r="88" spans="1:8">
      <c r="A88" s="853">
        <f t="shared" si="1"/>
        <v>81</v>
      </c>
      <c r="B88" s="858" t="s">
        <v>3512</v>
      </c>
      <c r="C88" s="854" t="s">
        <v>3513</v>
      </c>
      <c r="D88" s="858" t="s">
        <v>2726</v>
      </c>
      <c r="E88" s="858" t="s">
        <v>3393</v>
      </c>
      <c r="F88" s="859" t="s">
        <v>3383</v>
      </c>
      <c r="G88" s="860" t="s">
        <v>3384</v>
      </c>
      <c r="H88" s="861">
        <v>1965.23</v>
      </c>
    </row>
    <row r="89" spans="1:8">
      <c r="A89" s="853">
        <f t="shared" si="1"/>
        <v>82</v>
      </c>
      <c r="B89" s="858" t="s">
        <v>3514</v>
      </c>
      <c r="C89" s="854" t="s">
        <v>3515</v>
      </c>
      <c r="D89" s="858" t="s">
        <v>2726</v>
      </c>
      <c r="E89" s="858" t="s">
        <v>3393</v>
      </c>
      <c r="F89" s="859" t="s">
        <v>3383</v>
      </c>
      <c r="G89" s="860" t="s">
        <v>3384</v>
      </c>
      <c r="H89" s="861">
        <v>611.86</v>
      </c>
    </row>
    <row r="90" spans="1:8">
      <c r="A90" s="853">
        <f t="shared" si="1"/>
        <v>83</v>
      </c>
      <c r="B90" s="858" t="s">
        <v>3516</v>
      </c>
      <c r="C90" s="854" t="s">
        <v>3517</v>
      </c>
      <c r="D90" s="858" t="s">
        <v>2726</v>
      </c>
      <c r="E90" s="858" t="s">
        <v>3382</v>
      </c>
      <c r="F90" s="859" t="s">
        <v>3383</v>
      </c>
      <c r="G90" s="860" t="s">
        <v>3384</v>
      </c>
      <c r="H90" s="861">
        <v>31.8</v>
      </c>
    </row>
    <row r="91" spans="1:8">
      <c r="A91" s="853">
        <f t="shared" si="1"/>
        <v>84</v>
      </c>
      <c r="B91" s="858" t="s">
        <v>3518</v>
      </c>
      <c r="C91" s="854" t="s">
        <v>3519</v>
      </c>
      <c r="D91" s="858" t="s">
        <v>2726</v>
      </c>
      <c r="E91" s="858" t="s">
        <v>3393</v>
      </c>
      <c r="F91" s="859" t="s">
        <v>3383</v>
      </c>
      <c r="G91" s="860" t="s">
        <v>3384</v>
      </c>
      <c r="H91" s="861">
        <v>1994.42</v>
      </c>
    </row>
    <row r="92" spans="1:8">
      <c r="A92" s="853">
        <f t="shared" si="1"/>
        <v>85</v>
      </c>
      <c r="B92" s="858" t="s">
        <v>3520</v>
      </c>
      <c r="C92" s="854" t="s">
        <v>3521</v>
      </c>
      <c r="D92" s="858" t="s">
        <v>2726</v>
      </c>
      <c r="E92" s="858" t="s">
        <v>3393</v>
      </c>
      <c r="F92" s="859" t="s">
        <v>3383</v>
      </c>
      <c r="G92" s="860" t="s">
        <v>3384</v>
      </c>
      <c r="H92" s="861">
        <v>77.739999999999995</v>
      </c>
    </row>
    <row r="93" spans="1:8">
      <c r="A93" s="853">
        <f t="shared" si="1"/>
        <v>86</v>
      </c>
      <c r="B93" s="858" t="s">
        <v>3522</v>
      </c>
      <c r="C93" s="854" t="s">
        <v>3523</v>
      </c>
      <c r="D93" s="858" t="s">
        <v>2726</v>
      </c>
      <c r="E93" s="858" t="s">
        <v>3382</v>
      </c>
      <c r="F93" s="859" t="s">
        <v>3383</v>
      </c>
      <c r="G93" s="860" t="s">
        <v>3384</v>
      </c>
      <c r="H93" s="861">
        <v>258.61</v>
      </c>
    </row>
    <row r="94" spans="1:8">
      <c r="A94" s="853">
        <f t="shared" si="1"/>
        <v>87</v>
      </c>
      <c r="B94" s="858" t="s">
        <v>3524</v>
      </c>
      <c r="C94" s="854" t="s">
        <v>3525</v>
      </c>
      <c r="D94" s="858" t="s">
        <v>2726</v>
      </c>
      <c r="E94" s="858" t="s">
        <v>3382</v>
      </c>
      <c r="F94" s="859" t="s">
        <v>3383</v>
      </c>
      <c r="G94" s="860" t="s">
        <v>3384</v>
      </c>
      <c r="H94" s="861">
        <v>1.43</v>
      </c>
    </row>
    <row r="95" spans="1:8">
      <c r="A95" s="853">
        <f t="shared" si="1"/>
        <v>88</v>
      </c>
      <c r="B95" s="858" t="s">
        <v>3526</v>
      </c>
      <c r="C95" s="854" t="s">
        <v>3527</v>
      </c>
      <c r="D95" s="858" t="s">
        <v>2726</v>
      </c>
      <c r="E95" s="858" t="s">
        <v>3382</v>
      </c>
      <c r="F95" s="859" t="s">
        <v>3383</v>
      </c>
      <c r="G95" s="860" t="s">
        <v>3384</v>
      </c>
      <c r="H95" s="861">
        <v>191.74</v>
      </c>
    </row>
    <row r="96" spans="1:8">
      <c r="A96" s="853">
        <f t="shared" si="1"/>
        <v>89</v>
      </c>
      <c r="B96" s="858" t="s">
        <v>3528</v>
      </c>
      <c r="C96" s="854" t="s">
        <v>3529</v>
      </c>
      <c r="D96" s="858" t="s">
        <v>2726</v>
      </c>
      <c r="E96" s="858" t="s">
        <v>3382</v>
      </c>
      <c r="F96" s="859" t="s">
        <v>3383</v>
      </c>
      <c r="G96" s="860" t="s">
        <v>3384</v>
      </c>
      <c r="H96" s="861">
        <v>314.05</v>
      </c>
    </row>
    <row r="97" spans="1:8">
      <c r="A97" s="853">
        <f t="shared" si="1"/>
        <v>90</v>
      </c>
      <c r="B97" s="858" t="s">
        <v>3530</v>
      </c>
      <c r="C97" s="854" t="s">
        <v>3531</v>
      </c>
      <c r="D97" s="858" t="s">
        <v>2726</v>
      </c>
      <c r="E97" s="858" t="s">
        <v>3393</v>
      </c>
      <c r="F97" s="859" t="s">
        <v>3383</v>
      </c>
      <c r="G97" s="860" t="s">
        <v>3384</v>
      </c>
      <c r="H97" s="861">
        <v>922.58</v>
      </c>
    </row>
    <row r="98" spans="1:8">
      <c r="A98" s="853">
        <f t="shared" si="1"/>
        <v>91</v>
      </c>
      <c r="B98" s="858" t="s">
        <v>3532</v>
      </c>
      <c r="C98" s="854" t="s">
        <v>3533</v>
      </c>
      <c r="D98" s="858" t="s">
        <v>2726</v>
      </c>
      <c r="E98" s="858" t="s">
        <v>3393</v>
      </c>
      <c r="F98" s="859" t="s">
        <v>3383</v>
      </c>
      <c r="G98" s="860" t="s">
        <v>3384</v>
      </c>
      <c r="H98" s="861">
        <v>960.15</v>
      </c>
    </row>
    <row r="99" spans="1:8">
      <c r="A99" s="853">
        <f t="shared" si="1"/>
        <v>92</v>
      </c>
      <c r="B99" s="858" t="s">
        <v>3534</v>
      </c>
      <c r="C99" s="854" t="s">
        <v>3535</v>
      </c>
      <c r="D99" s="858" t="s">
        <v>2726</v>
      </c>
      <c r="E99" s="858" t="s">
        <v>3382</v>
      </c>
      <c r="F99" s="859" t="s">
        <v>3383</v>
      </c>
      <c r="G99" s="860" t="s">
        <v>3384</v>
      </c>
      <c r="H99" s="861">
        <v>84.41</v>
      </c>
    </row>
    <row r="100" spans="1:8">
      <c r="A100" s="853">
        <f t="shared" si="1"/>
        <v>93</v>
      </c>
      <c r="B100" s="858" t="s">
        <v>3536</v>
      </c>
      <c r="C100" s="854" t="s">
        <v>3537</v>
      </c>
      <c r="D100" s="858" t="s">
        <v>2726</v>
      </c>
      <c r="E100" s="858" t="s">
        <v>3382</v>
      </c>
      <c r="F100" s="859" t="s">
        <v>3383</v>
      </c>
      <c r="G100" s="860" t="s">
        <v>3384</v>
      </c>
      <c r="H100" s="861">
        <v>269.05</v>
      </c>
    </row>
    <row r="101" spans="1:8">
      <c r="A101" s="853">
        <f t="shared" si="1"/>
        <v>94</v>
      </c>
      <c r="B101" s="858" t="s">
        <v>3538</v>
      </c>
      <c r="C101" s="854" t="s">
        <v>3539</v>
      </c>
      <c r="D101" s="858" t="s">
        <v>2726</v>
      </c>
      <c r="E101" s="858" t="s">
        <v>3382</v>
      </c>
      <c r="F101" s="859" t="s">
        <v>3383</v>
      </c>
      <c r="G101" s="860" t="s">
        <v>3384</v>
      </c>
      <c r="H101" s="861">
        <v>141.18</v>
      </c>
    </row>
    <row r="102" spans="1:8">
      <c r="A102" s="853">
        <f t="shared" si="1"/>
        <v>95</v>
      </c>
      <c r="B102" s="858" t="s">
        <v>3540</v>
      </c>
      <c r="C102" s="854" t="s">
        <v>3541</v>
      </c>
      <c r="D102" s="858" t="s">
        <v>2726</v>
      </c>
      <c r="E102" s="858" t="s">
        <v>3382</v>
      </c>
      <c r="F102" s="859" t="s">
        <v>3383</v>
      </c>
      <c r="G102" s="860" t="s">
        <v>3384</v>
      </c>
      <c r="H102" s="861">
        <v>102.67</v>
      </c>
    </row>
    <row r="103" spans="1:8">
      <c r="A103" s="853">
        <f t="shared" si="1"/>
        <v>96</v>
      </c>
      <c r="B103" s="858" t="s">
        <v>3542</v>
      </c>
      <c r="C103" s="854" t="s">
        <v>3543</v>
      </c>
      <c r="D103" s="858" t="s">
        <v>2726</v>
      </c>
      <c r="E103" s="858" t="s">
        <v>3393</v>
      </c>
      <c r="F103" s="859" t="s">
        <v>3383</v>
      </c>
      <c r="G103" s="860" t="s">
        <v>3384</v>
      </c>
      <c r="H103" s="861">
        <v>1652.61</v>
      </c>
    </row>
    <row r="104" spans="1:8">
      <c r="A104" s="853">
        <f t="shared" si="1"/>
        <v>97</v>
      </c>
      <c r="B104" s="858" t="s">
        <v>3544</v>
      </c>
      <c r="C104" s="854" t="s">
        <v>3545</v>
      </c>
      <c r="D104" s="858" t="s">
        <v>2726</v>
      </c>
      <c r="E104" s="858" t="s">
        <v>3393</v>
      </c>
      <c r="F104" s="859" t="s">
        <v>3383</v>
      </c>
      <c r="G104" s="860" t="s">
        <v>3384</v>
      </c>
      <c r="H104" s="861">
        <v>3484.71</v>
      </c>
    </row>
    <row r="105" spans="1:8">
      <c r="A105" s="853">
        <f t="shared" si="1"/>
        <v>98</v>
      </c>
      <c r="B105" s="858" t="s">
        <v>3546</v>
      </c>
      <c r="C105" s="854" t="s">
        <v>3547</v>
      </c>
      <c r="D105" s="858" t="s">
        <v>2726</v>
      </c>
      <c r="E105" s="858" t="s">
        <v>3382</v>
      </c>
      <c r="F105" s="859" t="s">
        <v>3383</v>
      </c>
      <c r="G105" s="860" t="s">
        <v>3384</v>
      </c>
      <c r="H105" s="861">
        <v>14.72</v>
      </c>
    </row>
    <row r="106" spans="1:8">
      <c r="A106" s="853">
        <f t="shared" si="1"/>
        <v>99</v>
      </c>
      <c r="B106" s="858" t="s">
        <v>3548</v>
      </c>
      <c r="C106" s="854" t="s">
        <v>3549</v>
      </c>
      <c r="D106" s="858" t="s">
        <v>2726</v>
      </c>
      <c r="E106" s="858" t="s">
        <v>3382</v>
      </c>
      <c r="F106" s="859" t="s">
        <v>3383</v>
      </c>
      <c r="G106" s="860" t="s">
        <v>3384</v>
      </c>
      <c r="H106" s="861">
        <v>748.53</v>
      </c>
    </row>
    <row r="107" spans="1:8">
      <c r="A107" s="853">
        <f t="shared" si="1"/>
        <v>100</v>
      </c>
      <c r="B107" s="858" t="s">
        <v>3550</v>
      </c>
      <c r="C107" s="854" t="s">
        <v>3551</v>
      </c>
      <c r="D107" s="858" t="s">
        <v>2726</v>
      </c>
      <c r="E107" s="858" t="s">
        <v>3382</v>
      </c>
      <c r="F107" s="859" t="s">
        <v>3383</v>
      </c>
      <c r="G107" s="860" t="s">
        <v>3384</v>
      </c>
      <c r="H107" s="861">
        <v>73.349999999999994</v>
      </c>
    </row>
    <row r="108" spans="1:8">
      <c r="A108" s="853">
        <f t="shared" si="1"/>
        <v>101</v>
      </c>
      <c r="B108" s="858" t="s">
        <v>3552</v>
      </c>
      <c r="C108" s="854" t="s">
        <v>3553</v>
      </c>
      <c r="D108" s="858" t="s">
        <v>2726</v>
      </c>
      <c r="E108" s="858" t="s">
        <v>3382</v>
      </c>
      <c r="F108" s="859" t="s">
        <v>3383</v>
      </c>
      <c r="G108" s="860" t="s">
        <v>3384</v>
      </c>
      <c r="H108" s="861">
        <v>553.99</v>
      </c>
    </row>
    <row r="109" spans="1:8">
      <c r="A109" s="853">
        <f t="shared" si="1"/>
        <v>102</v>
      </c>
      <c r="B109" s="858" t="s">
        <v>3554</v>
      </c>
      <c r="C109" s="854" t="s">
        <v>3555</v>
      </c>
      <c r="D109" s="858" t="s">
        <v>2726</v>
      </c>
      <c r="E109" s="858" t="s">
        <v>3382</v>
      </c>
      <c r="F109" s="859" t="s">
        <v>3383</v>
      </c>
      <c r="G109" s="860" t="s">
        <v>3384</v>
      </c>
      <c r="H109" s="861">
        <v>233.68</v>
      </c>
    </row>
    <row r="110" spans="1:8">
      <c r="A110" s="853">
        <f t="shared" si="1"/>
        <v>103</v>
      </c>
      <c r="B110" s="858" t="s">
        <v>3556</v>
      </c>
      <c r="C110" s="854" t="s">
        <v>3557</v>
      </c>
      <c r="D110" s="858" t="s">
        <v>2726</v>
      </c>
      <c r="E110" s="858" t="s">
        <v>3393</v>
      </c>
      <c r="F110" s="859" t="s">
        <v>3383</v>
      </c>
      <c r="G110" s="860" t="s">
        <v>3384</v>
      </c>
      <c r="H110" s="861">
        <v>690.34</v>
      </c>
    </row>
    <row r="111" spans="1:8">
      <c r="A111" s="853">
        <f t="shared" si="1"/>
        <v>104</v>
      </c>
      <c r="B111" s="858" t="s">
        <v>3558</v>
      </c>
      <c r="C111" s="854" t="s">
        <v>3559</v>
      </c>
      <c r="D111" s="858" t="s">
        <v>2726</v>
      </c>
      <c r="E111" s="858" t="s">
        <v>3382</v>
      </c>
      <c r="F111" s="859" t="s">
        <v>3383</v>
      </c>
      <c r="G111" s="860" t="s">
        <v>3384</v>
      </c>
      <c r="H111" s="861">
        <v>0.25</v>
      </c>
    </row>
    <row r="112" spans="1:8">
      <c r="A112" s="853">
        <f t="shared" si="1"/>
        <v>105</v>
      </c>
      <c r="B112" s="858" t="s">
        <v>3560</v>
      </c>
      <c r="C112" s="854" t="s">
        <v>3561</v>
      </c>
      <c r="D112" s="858" t="s">
        <v>2726</v>
      </c>
      <c r="E112" s="858" t="s">
        <v>3382</v>
      </c>
      <c r="F112" s="859" t="s">
        <v>3383</v>
      </c>
      <c r="G112" s="860" t="s">
        <v>3384</v>
      </c>
      <c r="H112" s="861">
        <v>194.44</v>
      </c>
    </row>
    <row r="113" spans="1:8">
      <c r="A113" s="853">
        <f t="shared" si="1"/>
        <v>106</v>
      </c>
      <c r="B113" s="858" t="s">
        <v>3562</v>
      </c>
      <c r="C113" s="854" t="s">
        <v>3563</v>
      </c>
      <c r="D113" s="858" t="s">
        <v>2726</v>
      </c>
      <c r="E113" s="858" t="s">
        <v>3382</v>
      </c>
      <c r="F113" s="859" t="s">
        <v>3383</v>
      </c>
      <c r="G113" s="860" t="s">
        <v>3384</v>
      </c>
      <c r="H113" s="861">
        <v>87.37</v>
      </c>
    </row>
    <row r="114" spans="1:8">
      <c r="A114" s="853">
        <f t="shared" si="1"/>
        <v>107</v>
      </c>
      <c r="B114" s="858" t="s">
        <v>3564</v>
      </c>
      <c r="C114" s="854" t="s">
        <v>3565</v>
      </c>
      <c r="D114" s="858" t="s">
        <v>2726</v>
      </c>
      <c r="E114" s="858" t="s">
        <v>3382</v>
      </c>
      <c r="F114" s="859" t="s">
        <v>3383</v>
      </c>
      <c r="G114" s="860" t="s">
        <v>3384</v>
      </c>
      <c r="H114" s="861">
        <v>24.41</v>
      </c>
    </row>
    <row r="115" spans="1:8">
      <c r="A115" s="853">
        <f t="shared" si="1"/>
        <v>108</v>
      </c>
      <c r="B115" s="858" t="s">
        <v>3566</v>
      </c>
      <c r="C115" s="854" t="s">
        <v>3567</v>
      </c>
      <c r="D115" s="858" t="s">
        <v>2726</v>
      </c>
      <c r="E115" s="858" t="s">
        <v>3382</v>
      </c>
      <c r="F115" s="859" t="s">
        <v>3383</v>
      </c>
      <c r="G115" s="860" t="s">
        <v>3384</v>
      </c>
      <c r="H115" s="861">
        <v>75</v>
      </c>
    </row>
    <row r="116" spans="1:8">
      <c r="A116" s="853">
        <f t="shared" si="1"/>
        <v>109</v>
      </c>
      <c r="B116" s="858" t="s">
        <v>3568</v>
      </c>
      <c r="C116" s="854" t="s">
        <v>3569</v>
      </c>
      <c r="D116" s="858" t="s">
        <v>2726</v>
      </c>
      <c r="E116" s="858" t="s">
        <v>3393</v>
      </c>
      <c r="F116" s="859" t="s">
        <v>3383</v>
      </c>
      <c r="G116" s="860" t="s">
        <v>3384</v>
      </c>
      <c r="H116" s="861">
        <v>1216.1199999999999</v>
      </c>
    </row>
    <row r="117" spans="1:8">
      <c r="A117" s="853">
        <f t="shared" si="1"/>
        <v>110</v>
      </c>
      <c r="B117" s="858" t="s">
        <v>3570</v>
      </c>
      <c r="C117" s="854" t="s">
        <v>3571</v>
      </c>
      <c r="D117" s="858" t="s">
        <v>2726</v>
      </c>
      <c r="E117" s="858" t="s">
        <v>3393</v>
      </c>
      <c r="F117" s="859" t="s">
        <v>3383</v>
      </c>
      <c r="G117" s="860" t="s">
        <v>3384</v>
      </c>
      <c r="H117" s="861">
        <v>1468.06</v>
      </c>
    </row>
    <row r="118" spans="1:8">
      <c r="A118" s="853">
        <f t="shared" si="1"/>
        <v>111</v>
      </c>
      <c r="B118" s="858" t="s">
        <v>3572</v>
      </c>
      <c r="C118" s="854" t="s">
        <v>3573</v>
      </c>
      <c r="D118" s="858" t="s">
        <v>2726</v>
      </c>
      <c r="E118" s="858" t="s">
        <v>3382</v>
      </c>
      <c r="F118" s="859" t="s">
        <v>3383</v>
      </c>
      <c r="G118" s="860" t="s">
        <v>3384</v>
      </c>
      <c r="H118" s="861">
        <v>53</v>
      </c>
    </row>
    <row r="119" spans="1:8">
      <c r="A119" s="853">
        <f t="shared" si="1"/>
        <v>112</v>
      </c>
      <c r="B119" s="858" t="s">
        <v>3574</v>
      </c>
      <c r="C119" s="854" t="s">
        <v>3575</v>
      </c>
      <c r="D119" s="858" t="s">
        <v>2726</v>
      </c>
      <c r="E119" s="858" t="s">
        <v>3382</v>
      </c>
      <c r="F119" s="859" t="s">
        <v>3383</v>
      </c>
      <c r="G119" s="860" t="s">
        <v>3384</v>
      </c>
      <c r="H119" s="861">
        <v>197.75</v>
      </c>
    </row>
    <row r="120" spans="1:8">
      <c r="A120" s="853">
        <f t="shared" si="1"/>
        <v>113</v>
      </c>
      <c r="B120" s="858" t="s">
        <v>3576</v>
      </c>
      <c r="C120" s="854" t="s">
        <v>3577</v>
      </c>
      <c r="D120" s="858" t="s">
        <v>2726</v>
      </c>
      <c r="E120" s="858" t="s">
        <v>3382</v>
      </c>
      <c r="F120" s="859" t="s">
        <v>3383</v>
      </c>
      <c r="G120" s="860" t="s">
        <v>3384</v>
      </c>
      <c r="H120" s="861">
        <v>63.2</v>
      </c>
    </row>
    <row r="121" spans="1:8">
      <c r="A121" s="853">
        <f t="shared" si="1"/>
        <v>114</v>
      </c>
      <c r="B121" s="858" t="s">
        <v>3578</v>
      </c>
      <c r="C121" s="854" t="s">
        <v>3579</v>
      </c>
      <c r="D121" s="858" t="s">
        <v>2726</v>
      </c>
      <c r="E121" s="858" t="s">
        <v>3382</v>
      </c>
      <c r="F121" s="859" t="s">
        <v>3383</v>
      </c>
      <c r="G121" s="860" t="s">
        <v>3384</v>
      </c>
      <c r="H121" s="861">
        <v>330.18</v>
      </c>
    </row>
    <row r="122" spans="1:8">
      <c r="A122" s="853">
        <f t="shared" si="1"/>
        <v>115</v>
      </c>
      <c r="B122" s="858" t="s">
        <v>3580</v>
      </c>
      <c r="C122" s="854" t="s">
        <v>3581</v>
      </c>
      <c r="D122" s="858" t="s">
        <v>2726</v>
      </c>
      <c r="E122" s="858" t="s">
        <v>3382</v>
      </c>
      <c r="F122" s="859" t="s">
        <v>3383</v>
      </c>
      <c r="G122" s="860" t="s">
        <v>3384</v>
      </c>
      <c r="H122" s="861">
        <v>81.680000000000007</v>
      </c>
    </row>
    <row r="123" spans="1:8">
      <c r="A123" s="853">
        <f t="shared" si="1"/>
        <v>116</v>
      </c>
      <c r="B123" s="858" t="s">
        <v>3582</v>
      </c>
      <c r="C123" s="854" t="s">
        <v>3583</v>
      </c>
      <c r="D123" s="858" t="s">
        <v>2726</v>
      </c>
      <c r="E123" s="858" t="s">
        <v>3382</v>
      </c>
      <c r="F123" s="859" t="s">
        <v>3383</v>
      </c>
      <c r="G123" s="860" t="s">
        <v>3384</v>
      </c>
      <c r="H123" s="861">
        <v>94.03</v>
      </c>
    </row>
    <row r="124" spans="1:8">
      <c r="A124" s="853">
        <f t="shared" si="1"/>
        <v>117</v>
      </c>
      <c r="B124" s="858" t="s">
        <v>3584</v>
      </c>
      <c r="C124" s="854" t="s">
        <v>3585</v>
      </c>
      <c r="D124" s="858" t="s">
        <v>2726</v>
      </c>
      <c r="E124" s="858" t="s">
        <v>3382</v>
      </c>
      <c r="F124" s="859" t="s">
        <v>3383</v>
      </c>
      <c r="G124" s="860" t="s">
        <v>3384</v>
      </c>
      <c r="H124" s="861">
        <v>63.08</v>
      </c>
    </row>
    <row r="125" spans="1:8">
      <c r="A125" s="853">
        <f t="shared" si="1"/>
        <v>118</v>
      </c>
      <c r="B125" s="858" t="s">
        <v>3586</v>
      </c>
      <c r="C125" s="854" t="s">
        <v>3587</v>
      </c>
      <c r="D125" s="858" t="s">
        <v>2726</v>
      </c>
      <c r="E125" s="858" t="s">
        <v>3382</v>
      </c>
      <c r="F125" s="859" t="s">
        <v>3383</v>
      </c>
      <c r="G125" s="860" t="s">
        <v>3384</v>
      </c>
      <c r="H125" s="861">
        <v>70.98</v>
      </c>
    </row>
    <row r="126" spans="1:8">
      <c r="A126" s="853">
        <f t="shared" si="1"/>
        <v>119</v>
      </c>
      <c r="B126" s="858" t="s">
        <v>3588</v>
      </c>
      <c r="C126" s="854" t="s">
        <v>3589</v>
      </c>
      <c r="D126" s="858" t="s">
        <v>2726</v>
      </c>
      <c r="E126" s="858" t="s">
        <v>3393</v>
      </c>
      <c r="F126" s="859" t="s">
        <v>3383</v>
      </c>
      <c r="G126" s="860" t="s">
        <v>3384</v>
      </c>
      <c r="H126" s="861">
        <v>1160.6099999999999</v>
      </c>
    </row>
    <row r="127" spans="1:8">
      <c r="A127" s="853">
        <f t="shared" si="1"/>
        <v>120</v>
      </c>
      <c r="B127" s="858" t="s">
        <v>3590</v>
      </c>
      <c r="C127" s="854" t="s">
        <v>3591</v>
      </c>
      <c r="D127" s="858" t="s">
        <v>2726</v>
      </c>
      <c r="E127" s="858" t="s">
        <v>3382</v>
      </c>
      <c r="F127" s="859" t="s">
        <v>3383</v>
      </c>
      <c r="G127" s="860" t="s">
        <v>3384</v>
      </c>
      <c r="H127" s="861">
        <v>218.65</v>
      </c>
    </row>
    <row r="128" spans="1:8">
      <c r="A128" s="853">
        <f t="shared" si="1"/>
        <v>121</v>
      </c>
      <c r="B128" s="858" t="s">
        <v>3592</v>
      </c>
      <c r="C128" s="854" t="s">
        <v>3593</v>
      </c>
      <c r="D128" s="858" t="s">
        <v>2726</v>
      </c>
      <c r="E128" s="858" t="s">
        <v>3382</v>
      </c>
      <c r="F128" s="859" t="s">
        <v>3383</v>
      </c>
      <c r="G128" s="860" t="s">
        <v>3384</v>
      </c>
      <c r="H128" s="861">
        <v>40.340000000000003</v>
      </c>
    </row>
    <row r="129" spans="1:8">
      <c r="A129" s="853">
        <f t="shared" si="1"/>
        <v>122</v>
      </c>
      <c r="B129" s="858" t="s">
        <v>3594</v>
      </c>
      <c r="C129" s="854" t="s">
        <v>3595</v>
      </c>
      <c r="D129" s="858" t="s">
        <v>2726</v>
      </c>
      <c r="E129" s="858" t="s">
        <v>3382</v>
      </c>
      <c r="F129" s="859" t="s">
        <v>3383</v>
      </c>
      <c r="G129" s="860" t="s">
        <v>3384</v>
      </c>
      <c r="H129" s="861">
        <v>786.63</v>
      </c>
    </row>
    <row r="130" spans="1:8">
      <c r="A130" s="853">
        <f t="shared" si="1"/>
        <v>123</v>
      </c>
      <c r="B130" s="858" t="s">
        <v>3594</v>
      </c>
      <c r="C130" s="854" t="s">
        <v>3595</v>
      </c>
      <c r="D130" s="858" t="s">
        <v>2726</v>
      </c>
      <c r="E130" s="858" t="s">
        <v>3393</v>
      </c>
      <c r="F130" s="859" t="s">
        <v>3383</v>
      </c>
      <c r="G130" s="860" t="s">
        <v>3384</v>
      </c>
      <c r="H130" s="861">
        <v>3759.68</v>
      </c>
    </row>
    <row r="131" spans="1:8">
      <c r="A131" s="853">
        <f t="shared" si="1"/>
        <v>124</v>
      </c>
      <c r="B131" s="858" t="s">
        <v>3596</v>
      </c>
      <c r="C131" s="854" t="s">
        <v>3597</v>
      </c>
      <c r="D131" s="858" t="s">
        <v>2726</v>
      </c>
      <c r="E131" s="858" t="s">
        <v>3382</v>
      </c>
      <c r="F131" s="859" t="s">
        <v>3383</v>
      </c>
      <c r="G131" s="860" t="s">
        <v>3384</v>
      </c>
      <c r="H131" s="861">
        <v>7.15</v>
      </c>
    </row>
    <row r="132" spans="1:8">
      <c r="A132" s="853">
        <f t="shared" si="1"/>
        <v>125</v>
      </c>
      <c r="B132" s="858" t="s">
        <v>3598</v>
      </c>
      <c r="C132" s="854" t="s">
        <v>3599</v>
      </c>
      <c r="D132" s="858" t="s">
        <v>2726</v>
      </c>
      <c r="E132" s="858" t="s">
        <v>3382</v>
      </c>
      <c r="F132" s="859" t="s">
        <v>3383</v>
      </c>
      <c r="G132" s="860" t="s">
        <v>3384</v>
      </c>
      <c r="H132" s="861">
        <v>399.01</v>
      </c>
    </row>
    <row r="133" spans="1:8">
      <c r="A133" s="853">
        <f t="shared" si="1"/>
        <v>126</v>
      </c>
      <c r="B133" s="858" t="s">
        <v>3600</v>
      </c>
      <c r="C133" s="854" t="s">
        <v>3601</v>
      </c>
      <c r="D133" s="858" t="s">
        <v>2726</v>
      </c>
      <c r="E133" s="858" t="s">
        <v>3382</v>
      </c>
      <c r="F133" s="859" t="s">
        <v>3383</v>
      </c>
      <c r="G133" s="860" t="s">
        <v>3384</v>
      </c>
      <c r="H133" s="861">
        <v>17.899999999999999</v>
      </c>
    </row>
    <row r="134" spans="1:8">
      <c r="A134" s="853">
        <f t="shared" si="1"/>
        <v>127</v>
      </c>
      <c r="B134" s="858" t="s">
        <v>3602</v>
      </c>
      <c r="C134" s="854" t="s">
        <v>3603</v>
      </c>
      <c r="D134" s="858" t="s">
        <v>2726</v>
      </c>
      <c r="E134" s="858" t="s">
        <v>3382</v>
      </c>
      <c r="F134" s="859" t="s">
        <v>3383</v>
      </c>
      <c r="G134" s="860" t="s">
        <v>3384</v>
      </c>
      <c r="H134" s="861">
        <v>504.04</v>
      </c>
    </row>
    <row r="135" spans="1:8">
      <c r="A135" s="853">
        <f t="shared" si="1"/>
        <v>128</v>
      </c>
      <c r="B135" s="858" t="s">
        <v>3604</v>
      </c>
      <c r="C135" s="854" t="s">
        <v>3605</v>
      </c>
      <c r="D135" s="858" t="s">
        <v>2726</v>
      </c>
      <c r="E135" s="858" t="s">
        <v>3382</v>
      </c>
      <c r="F135" s="859" t="s">
        <v>3383</v>
      </c>
      <c r="G135" s="860" t="s">
        <v>3384</v>
      </c>
      <c r="H135" s="861">
        <v>70.58</v>
      </c>
    </row>
    <row r="136" spans="1:8">
      <c r="A136" s="853">
        <f t="shared" si="1"/>
        <v>129</v>
      </c>
      <c r="B136" s="858" t="s">
        <v>3606</v>
      </c>
      <c r="C136" s="854" t="s">
        <v>3607</v>
      </c>
      <c r="D136" s="858" t="s">
        <v>2726</v>
      </c>
      <c r="E136" s="858" t="s">
        <v>3382</v>
      </c>
      <c r="F136" s="859" t="s">
        <v>3383</v>
      </c>
      <c r="G136" s="860" t="s">
        <v>3384</v>
      </c>
      <c r="H136" s="861">
        <v>52.68</v>
      </c>
    </row>
    <row r="137" spans="1:8">
      <c r="A137" s="853">
        <f t="shared" si="1"/>
        <v>130</v>
      </c>
      <c r="B137" s="858" t="s">
        <v>3608</v>
      </c>
      <c r="C137" s="854" t="s">
        <v>3609</v>
      </c>
      <c r="D137" s="858" t="s">
        <v>2726</v>
      </c>
      <c r="E137" s="858" t="s">
        <v>3382</v>
      </c>
      <c r="F137" s="859" t="s">
        <v>3383</v>
      </c>
      <c r="G137" s="860" t="s">
        <v>3384</v>
      </c>
      <c r="H137" s="861">
        <v>59.07</v>
      </c>
    </row>
    <row r="138" spans="1:8">
      <c r="A138" s="853">
        <f t="shared" si="1"/>
        <v>131</v>
      </c>
      <c r="B138" s="858" t="s">
        <v>3610</v>
      </c>
      <c r="C138" s="854" t="s">
        <v>3611</v>
      </c>
      <c r="D138" s="858" t="s">
        <v>2726</v>
      </c>
      <c r="E138" s="858" t="s">
        <v>3382</v>
      </c>
      <c r="F138" s="859" t="s">
        <v>3383</v>
      </c>
      <c r="G138" s="860" t="s">
        <v>3384</v>
      </c>
      <c r="H138" s="861">
        <v>120.5</v>
      </c>
    </row>
    <row r="139" spans="1:8">
      <c r="A139" s="853">
        <f>+A138+1</f>
        <v>132</v>
      </c>
      <c r="B139" s="858" t="s">
        <v>3612</v>
      </c>
      <c r="C139" s="854" t="s">
        <v>3613</v>
      </c>
      <c r="D139" s="858" t="s">
        <v>2726</v>
      </c>
      <c r="E139" s="858" t="s">
        <v>3382</v>
      </c>
      <c r="F139" s="859" t="s">
        <v>3383</v>
      </c>
      <c r="G139" s="860" t="s">
        <v>3384</v>
      </c>
      <c r="H139" s="861">
        <v>58.68</v>
      </c>
    </row>
    <row r="140" spans="1:8">
      <c r="A140" s="853">
        <f>+A139+1</f>
        <v>133</v>
      </c>
      <c r="B140" s="858" t="s">
        <v>3614</v>
      </c>
      <c r="C140" s="854" t="s">
        <v>3615</v>
      </c>
      <c r="D140" s="858" t="s">
        <v>2726</v>
      </c>
      <c r="E140" s="858" t="s">
        <v>3393</v>
      </c>
      <c r="F140" s="859" t="s">
        <v>3383</v>
      </c>
      <c r="G140" s="860" t="s">
        <v>3384</v>
      </c>
      <c r="H140" s="861">
        <v>4419.53</v>
      </c>
    </row>
    <row r="141" spans="1:8">
      <c r="A141" s="853">
        <f>+A140+1</f>
        <v>134</v>
      </c>
      <c r="B141" s="858" t="s">
        <v>3616</v>
      </c>
      <c r="C141" s="854" t="s">
        <v>3617</v>
      </c>
      <c r="D141" s="858" t="s">
        <v>2726</v>
      </c>
      <c r="E141" s="858" t="s">
        <v>3393</v>
      </c>
      <c r="F141" s="859" t="s">
        <v>3383</v>
      </c>
      <c r="G141" s="860" t="s">
        <v>3384</v>
      </c>
      <c r="H141" s="861">
        <v>870.64</v>
      </c>
    </row>
    <row r="142" spans="1:8" ht="14.4">
      <c r="A142" s="862"/>
      <c r="B142" s="862"/>
      <c r="C142" s="862"/>
      <c r="D142" s="862"/>
      <c r="E142" s="862"/>
      <c r="F142" s="862"/>
      <c r="G142" s="862"/>
      <c r="H142" s="863">
        <f>SUM(H21:H141)</f>
        <v>55692.090000000004</v>
      </c>
    </row>
    <row r="143" spans="1:8" ht="14.4">
      <c r="A143" s="862"/>
      <c r="B143" s="862"/>
      <c r="C143" s="862"/>
      <c r="D143" s="862"/>
      <c r="E143" s="862"/>
      <c r="F143" s="862"/>
      <c r="G143" s="862"/>
      <c r="H143" s="863">
        <f>+H142+H20+H12+H11+H10+H9</f>
        <v>621112.88</v>
      </c>
    </row>
  </sheetData>
  <mergeCells count="1">
    <mergeCell ref="A2:H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0"/>
  <sheetViews>
    <sheetView topLeftCell="A13" workbookViewId="0">
      <selection activeCell="F28" sqref="F28"/>
    </sheetView>
  </sheetViews>
  <sheetFormatPr defaultRowHeight="14.4"/>
  <cols>
    <col min="1" max="1" width="8.88671875" style="920"/>
    <col min="2" max="2" width="41.77734375" style="920" customWidth="1"/>
    <col min="3" max="3" width="15.21875" style="920" bestFit="1" customWidth="1"/>
    <col min="4" max="4" width="5.5546875" style="920" bestFit="1" customWidth="1"/>
    <col min="5" max="5" width="15.21875" style="920" bestFit="1" customWidth="1"/>
    <col min="6" max="6" width="14.77734375" style="920" bestFit="1" customWidth="1"/>
    <col min="7" max="7" width="11.6640625" style="920" bestFit="1" customWidth="1"/>
    <col min="8" max="16384" width="8.88671875" style="920"/>
  </cols>
  <sheetData>
    <row r="1" spans="1:8">
      <c r="A1" s="921"/>
      <c r="B1" s="921"/>
      <c r="C1" s="972"/>
      <c r="D1" s="921"/>
      <c r="E1" s="921"/>
      <c r="F1" s="921"/>
      <c r="G1" s="971" t="s">
        <v>175</v>
      </c>
      <c r="H1" s="921"/>
    </row>
    <row r="2" spans="1:8">
      <c r="A2" s="1207" t="s">
        <v>4095</v>
      </c>
      <c r="B2" s="1207"/>
      <c r="C2" s="1207"/>
      <c r="D2" s="1207"/>
      <c r="E2" s="1207"/>
      <c r="F2" s="1207"/>
      <c r="G2" s="1207"/>
      <c r="H2" s="921"/>
    </row>
    <row r="3" spans="1:8" ht="15" thickBot="1">
      <c r="A3" s="921"/>
      <c r="B3" s="921"/>
      <c r="C3" s="921"/>
      <c r="D3" s="921"/>
      <c r="E3" s="921"/>
      <c r="F3" s="921"/>
      <c r="G3" s="970" t="s">
        <v>248</v>
      </c>
      <c r="H3" s="921"/>
    </row>
    <row r="4" spans="1:8">
      <c r="A4" s="1208" t="s">
        <v>176</v>
      </c>
      <c r="B4" s="1210" t="s">
        <v>177</v>
      </c>
      <c r="C4" s="1212" t="s">
        <v>4094</v>
      </c>
      <c r="D4" s="1213"/>
      <c r="E4" s="1212" t="s">
        <v>4093</v>
      </c>
      <c r="F4" s="1213"/>
      <c r="G4" s="1214" t="s">
        <v>308</v>
      </c>
      <c r="H4" s="921"/>
    </row>
    <row r="5" spans="1:8" ht="15" thickBot="1">
      <c r="A5" s="1209"/>
      <c r="B5" s="1211"/>
      <c r="C5" s="969" t="s">
        <v>178</v>
      </c>
      <c r="D5" s="968" t="s">
        <v>211</v>
      </c>
      <c r="E5" s="969" t="s">
        <v>178</v>
      </c>
      <c r="F5" s="968" t="s">
        <v>211</v>
      </c>
      <c r="G5" s="1215"/>
      <c r="H5" s="921"/>
    </row>
    <row r="6" spans="1:8">
      <c r="A6" s="957" t="s">
        <v>180</v>
      </c>
      <c r="B6" s="967" t="s">
        <v>181</v>
      </c>
      <c r="C6" s="955">
        <f>C7+C8+C10+C9+C12+C13+C14+C11</f>
        <v>45149658.220910005</v>
      </c>
      <c r="D6" s="955">
        <f>+(C6)*100/C30</f>
        <v>87.661217711731538</v>
      </c>
      <c r="E6" s="955">
        <f>E7+E8+E10+E9+E12+E13+E14+E11</f>
        <v>70001671.37650001</v>
      </c>
      <c r="F6" s="955">
        <f>+(E6)*100/E30</f>
        <v>80.763071753009811</v>
      </c>
      <c r="G6" s="955">
        <f>G7+G8+G10+G9+G12+G13+G14+G11</f>
        <v>25518680.490590002</v>
      </c>
      <c r="H6" s="964">
        <v>24852013.155590013</v>
      </c>
    </row>
    <row r="7" spans="1:8">
      <c r="A7" s="951" t="s">
        <v>253</v>
      </c>
      <c r="B7" s="950" t="s">
        <v>204</v>
      </c>
      <c r="C7" s="934">
        <v>0</v>
      </c>
      <c r="D7" s="934">
        <f>C7/C6*100</f>
        <v>0</v>
      </c>
      <c r="E7" s="934">
        <v>0</v>
      </c>
      <c r="F7" s="934">
        <f>E7/E6*100</f>
        <v>0</v>
      </c>
      <c r="G7" s="937">
        <v>0</v>
      </c>
      <c r="H7" s="921"/>
    </row>
    <row r="8" spans="1:8">
      <c r="A8" s="951" t="s">
        <v>254</v>
      </c>
      <c r="B8" s="950" t="s">
        <v>2763</v>
      </c>
      <c r="C8" s="934">
        <v>4223809.1213999996</v>
      </c>
      <c r="D8" s="934">
        <f>C8/C6*100</f>
        <v>9.3551297791305128</v>
      </c>
      <c r="E8" s="934">
        <v>15577289.676139999</v>
      </c>
      <c r="F8" s="934">
        <f>E8/E6*100</f>
        <v>22.25273964154146</v>
      </c>
      <c r="G8" s="937">
        <v>11353480.554740001</v>
      </c>
      <c r="H8" s="921"/>
    </row>
    <row r="9" spans="1:8">
      <c r="A9" s="951" t="s">
        <v>255</v>
      </c>
      <c r="B9" s="950" t="s">
        <v>309</v>
      </c>
      <c r="C9" s="966">
        <f>28068466.3335+3416666.669</f>
        <v>31485133.002500001</v>
      </c>
      <c r="D9" s="966">
        <f>(C9)/C6*100</f>
        <v>69.735041732649037</v>
      </c>
      <c r="E9" s="966">
        <f>39843470.31571+2749999.33400001</f>
        <v>42593469.649710014</v>
      </c>
      <c r="F9" s="966">
        <f>(E9)/E6*100</f>
        <v>60.846360968473824</v>
      </c>
      <c r="G9" s="965">
        <v>11775003.982210003</v>
      </c>
      <c r="H9" s="964">
        <v>11108336.647210009</v>
      </c>
    </row>
    <row r="10" spans="1:8">
      <c r="A10" s="951" t="s">
        <v>256</v>
      </c>
      <c r="B10" s="950" t="s">
        <v>311</v>
      </c>
      <c r="C10" s="934">
        <v>0</v>
      </c>
      <c r="D10" s="934">
        <f>C10/C6*100</f>
        <v>0</v>
      </c>
      <c r="E10" s="934">
        <v>0</v>
      </c>
      <c r="F10" s="934">
        <f>E10/E6*100</f>
        <v>0</v>
      </c>
      <c r="G10" s="937">
        <v>0</v>
      </c>
      <c r="H10" s="921"/>
    </row>
    <row r="11" spans="1:8">
      <c r="A11" s="951" t="s">
        <v>257</v>
      </c>
      <c r="B11" s="963" t="s">
        <v>1010</v>
      </c>
      <c r="C11" s="934">
        <v>0</v>
      </c>
      <c r="D11" s="934">
        <f>+C11/C6*100</f>
        <v>0</v>
      </c>
      <c r="E11" s="934">
        <v>581247.36210000003</v>
      </c>
      <c r="F11" s="962">
        <f>+E11/E6*100</f>
        <v>0.83033354871456455</v>
      </c>
      <c r="G11" s="937">
        <v>581247.36210000003</v>
      </c>
      <c r="H11" s="921"/>
    </row>
    <row r="12" spans="1:8" ht="41.4">
      <c r="A12" s="951" t="s">
        <v>258</v>
      </c>
      <c r="B12" s="960" t="s">
        <v>543</v>
      </c>
      <c r="C12" s="934">
        <v>0</v>
      </c>
      <c r="D12" s="934">
        <f>C12/C6*100</f>
        <v>0</v>
      </c>
      <c r="E12" s="934">
        <v>0</v>
      </c>
      <c r="F12" s="934">
        <f>E12/E6*100</f>
        <v>0</v>
      </c>
      <c r="G12" s="937">
        <v>0</v>
      </c>
      <c r="H12" s="921"/>
    </row>
    <row r="13" spans="1:8">
      <c r="A13" s="961" t="s">
        <v>260</v>
      </c>
      <c r="B13" s="950" t="s">
        <v>310</v>
      </c>
      <c r="C13" s="934">
        <v>0</v>
      </c>
      <c r="D13" s="934">
        <f>C13/C6*100</f>
        <v>0</v>
      </c>
      <c r="E13" s="934">
        <v>0</v>
      </c>
      <c r="F13" s="934">
        <f>E13/E6*100</f>
        <v>0</v>
      </c>
      <c r="G13" s="937">
        <v>0</v>
      </c>
      <c r="H13" s="921"/>
    </row>
    <row r="14" spans="1:8" ht="28.2" thickBot="1">
      <c r="A14" s="961" t="s">
        <v>259</v>
      </c>
      <c r="B14" s="960" t="s">
        <v>199</v>
      </c>
      <c r="C14" s="959">
        <v>9440716.0970099997</v>
      </c>
      <c r="D14" s="959">
        <f>C14/C6*100</f>
        <v>20.909828488220434</v>
      </c>
      <c r="E14" s="959">
        <v>11249664.688549999</v>
      </c>
      <c r="F14" s="959">
        <f>E14/E6*100</f>
        <v>16.070565841270156</v>
      </c>
      <c r="G14" s="958">
        <v>1808948.5915399995</v>
      </c>
      <c r="H14" s="921"/>
    </row>
    <row r="15" spans="1:8">
      <c r="A15" s="957" t="s">
        <v>182</v>
      </c>
      <c r="B15" s="956" t="s">
        <v>200</v>
      </c>
      <c r="C15" s="955">
        <f>SUM(C16:C23)</f>
        <v>6355054.3526500007</v>
      </c>
      <c r="D15" s="955">
        <f>C15/C30*100</f>
        <v>12.33878228826846</v>
      </c>
      <c r="E15" s="955">
        <f>SUM(E16:E23)</f>
        <v>16673673.997409999</v>
      </c>
      <c r="F15" s="955">
        <f>E15/E30*100</f>
        <v>19.236928246990189</v>
      </c>
      <c r="G15" s="954">
        <f>SUM(E15-C15)</f>
        <v>10318619.644759998</v>
      </c>
      <c r="H15" s="953"/>
    </row>
    <row r="16" spans="1:8" ht="27.6">
      <c r="A16" s="951" t="s">
        <v>253</v>
      </c>
      <c r="B16" s="952" t="s">
        <v>312</v>
      </c>
      <c r="C16" s="934">
        <v>0</v>
      </c>
      <c r="D16" s="934">
        <f>C16/C15*100</f>
        <v>0</v>
      </c>
      <c r="E16" s="934">
        <v>0</v>
      </c>
      <c r="F16" s="934">
        <f>E16/E15*100</f>
        <v>0</v>
      </c>
      <c r="G16" s="937">
        <v>0</v>
      </c>
      <c r="H16" s="921"/>
    </row>
    <row r="17" spans="1:8" ht="27.6">
      <c r="A17" s="951" t="s">
        <v>254</v>
      </c>
      <c r="B17" s="952" t="s">
        <v>313</v>
      </c>
      <c r="C17" s="934">
        <v>378298.25049999997</v>
      </c>
      <c r="D17" s="934">
        <f>C17/C15*100</f>
        <v>5.9527146348048623</v>
      </c>
      <c r="E17" s="934">
        <v>3437404.9739399999</v>
      </c>
      <c r="F17" s="934">
        <f>E17/E15*100</f>
        <v>20.615762155802905</v>
      </c>
      <c r="G17" s="937">
        <v>3059106.7234399999</v>
      </c>
      <c r="H17" s="921" t="s">
        <v>222</v>
      </c>
    </row>
    <row r="18" spans="1:8">
      <c r="A18" s="951" t="s">
        <v>255</v>
      </c>
      <c r="B18" s="950" t="s">
        <v>183</v>
      </c>
      <c r="C18" s="934">
        <v>3615916.27116</v>
      </c>
      <c r="D18" s="934">
        <f>C18/C15*100</f>
        <v>56.898274515184831</v>
      </c>
      <c r="E18" s="934">
        <v>5590229.7185600009</v>
      </c>
      <c r="F18" s="934">
        <f>E18/E15*100</f>
        <v>33.527282106081465</v>
      </c>
      <c r="G18" s="937">
        <v>1974313.4474000009</v>
      </c>
      <c r="H18" s="921" t="s">
        <v>222</v>
      </c>
    </row>
    <row r="19" spans="1:8">
      <c r="A19" s="951" t="s">
        <v>256</v>
      </c>
      <c r="B19" s="940" t="s">
        <v>314</v>
      </c>
      <c r="C19" s="934">
        <v>33984.466039999999</v>
      </c>
      <c r="D19" s="934">
        <f>C19/C15*100</f>
        <v>0.53476279122347359</v>
      </c>
      <c r="E19" s="934">
        <v>17179.42484</v>
      </c>
      <c r="F19" s="934">
        <f>E19/E15*100</f>
        <v>0.10303322976488903</v>
      </c>
      <c r="G19" s="937">
        <v>-16805.0412</v>
      </c>
      <c r="H19" s="921"/>
    </row>
    <row r="20" spans="1:8">
      <c r="A20" s="951" t="s">
        <v>257</v>
      </c>
      <c r="B20" s="940" t="s">
        <v>315</v>
      </c>
      <c r="C20" s="934">
        <v>199999.48321999999</v>
      </c>
      <c r="D20" s="934">
        <f>C20/C15*100</f>
        <v>3.1470931973477461</v>
      </c>
      <c r="E20" s="934">
        <v>176406.14494</v>
      </c>
      <c r="F20" s="934">
        <f>E20/E15*100</f>
        <v>1.0579920476279072</v>
      </c>
      <c r="G20" s="937">
        <v>-23593.338279999996</v>
      </c>
      <c r="H20" s="921"/>
    </row>
    <row r="21" spans="1:8">
      <c r="A21" s="951" t="s">
        <v>258</v>
      </c>
      <c r="B21" s="940" t="s">
        <v>316</v>
      </c>
      <c r="C21" s="934">
        <v>0</v>
      </c>
      <c r="D21" s="934">
        <f>C21/C15*100</f>
        <v>0</v>
      </c>
      <c r="E21" s="934">
        <v>0</v>
      </c>
      <c r="F21" s="934">
        <f>E21/E15*100</f>
        <v>0</v>
      </c>
      <c r="G21" s="937">
        <v>0</v>
      </c>
      <c r="H21" s="921"/>
    </row>
    <row r="22" spans="1:8">
      <c r="A22" s="951" t="s">
        <v>259</v>
      </c>
      <c r="B22" s="950" t="s">
        <v>317</v>
      </c>
      <c r="C22" s="934">
        <v>827525.55490999995</v>
      </c>
      <c r="D22" s="934">
        <f>C22/C15*100</f>
        <v>13.021533868784759</v>
      </c>
      <c r="E22" s="934">
        <v>34286.599909999997</v>
      </c>
      <c r="F22" s="934">
        <f>E22/E15*100</f>
        <v>0.20563314309327324</v>
      </c>
      <c r="G22" s="937">
        <v>-793238.95499999996</v>
      </c>
      <c r="H22" s="921" t="s">
        <v>222</v>
      </c>
    </row>
    <row r="23" spans="1:8" ht="15" thickBot="1">
      <c r="A23" s="949" t="s">
        <v>260</v>
      </c>
      <c r="B23" s="948" t="s">
        <v>102</v>
      </c>
      <c r="C23" s="947">
        <v>1299330.3268200001</v>
      </c>
      <c r="D23" s="947">
        <f>C23/C15*100</f>
        <v>20.445620992654312</v>
      </c>
      <c r="E23" s="947">
        <v>7418167.1352199996</v>
      </c>
      <c r="F23" s="947">
        <f>E23/E15*100</f>
        <v>44.490297317629569</v>
      </c>
      <c r="G23" s="946">
        <v>6101185.5084000006</v>
      </c>
      <c r="H23" s="921" t="s">
        <v>222</v>
      </c>
    </row>
    <row r="24" spans="1:8">
      <c r="A24" s="945"/>
      <c r="B24" s="944" t="s">
        <v>103</v>
      </c>
      <c r="C24" s="943"/>
      <c r="D24" s="943"/>
      <c r="E24" s="943"/>
      <c r="F24" s="943"/>
      <c r="G24" s="942"/>
      <c r="H24" s="921"/>
    </row>
    <row r="25" spans="1:8" ht="27.6">
      <c r="A25" s="941"/>
      <c r="B25" s="940" t="s">
        <v>318</v>
      </c>
      <c r="C25" s="934">
        <v>1140441.65909</v>
      </c>
      <c r="D25" s="934">
        <f>C25/C23*100</f>
        <v>87.771495481147852</v>
      </c>
      <c r="E25" s="934">
        <v>3385689.9411300002</v>
      </c>
      <c r="F25" s="934">
        <f>E25/E23*100</f>
        <v>45.640518465206988</v>
      </c>
      <c r="G25" s="937">
        <v>2245248.28204</v>
      </c>
      <c r="H25" s="921"/>
    </row>
    <row r="26" spans="1:8">
      <c r="A26" s="941"/>
      <c r="B26" s="940" t="s">
        <v>320</v>
      </c>
      <c r="C26" s="934">
        <v>14125.007</v>
      </c>
      <c r="D26" s="934">
        <f>C26/C23*100</f>
        <v>1.0870990008037253</v>
      </c>
      <c r="E26" s="934">
        <v>148043.35999999999</v>
      </c>
      <c r="F26" s="934">
        <f>E26/E23*100</f>
        <v>1.9956864991234724</v>
      </c>
      <c r="G26" s="937">
        <v>133918.35299999997</v>
      </c>
      <c r="H26" s="921"/>
    </row>
    <row r="27" spans="1:8">
      <c r="A27" s="941"/>
      <c r="B27" s="940" t="s">
        <v>319</v>
      </c>
      <c r="C27" s="934">
        <v>0</v>
      </c>
      <c r="D27" s="934">
        <f>C27/C23*100</f>
        <v>0</v>
      </c>
      <c r="E27" s="934">
        <v>0</v>
      </c>
      <c r="F27" s="934">
        <f>E27/E23*100</f>
        <v>0</v>
      </c>
      <c r="G27" s="937">
        <v>0</v>
      </c>
      <c r="H27" s="921"/>
    </row>
    <row r="28" spans="1:8" ht="27.6">
      <c r="A28" s="939"/>
      <c r="B28" s="938" t="s">
        <v>321</v>
      </c>
      <c r="C28" s="934">
        <v>138994.66073</v>
      </c>
      <c r="D28" s="934">
        <f>C28/C23*100</f>
        <v>10.697407569188165</v>
      </c>
      <c r="E28" s="934">
        <v>3861013.5340900002</v>
      </c>
      <c r="F28" s="934">
        <f>E28/E23*100</f>
        <v>52.048079582336001</v>
      </c>
      <c r="G28" s="937">
        <v>3722018.8733600001</v>
      </c>
      <c r="H28" s="921"/>
    </row>
    <row r="29" spans="1:8" ht="42" thickBot="1">
      <c r="A29" s="936"/>
      <c r="B29" s="935" t="s">
        <v>1011</v>
      </c>
      <c r="C29" s="934">
        <v>5769</v>
      </c>
      <c r="D29" s="934">
        <f>+C29/C23*100</f>
        <v>0.44399794886025129</v>
      </c>
      <c r="E29" s="934">
        <v>23420.3</v>
      </c>
      <c r="F29" s="934">
        <f>+E29/E23*100</f>
        <v>0.31571545333354673</v>
      </c>
      <c r="G29" s="933"/>
      <c r="H29" s="921"/>
    </row>
    <row r="30" spans="1:8" ht="15" thickBot="1">
      <c r="A30" s="932"/>
      <c r="B30" s="931" t="s">
        <v>184</v>
      </c>
      <c r="C30" s="929">
        <f>C15+C6</f>
        <v>51504712.573560007</v>
      </c>
      <c r="D30" s="930">
        <f>D15+D6</f>
        <v>100</v>
      </c>
      <c r="E30" s="928">
        <f>E15+E6</f>
        <v>86675345.37391001</v>
      </c>
      <c r="F30" s="929">
        <f>F15+F6</f>
        <v>100</v>
      </c>
      <c r="G30" s="928">
        <f>SUM(E30-C30)</f>
        <v>35170632.800350003</v>
      </c>
      <c r="H30" s="921"/>
    </row>
    <row r="31" spans="1:8" ht="15" thickBot="1">
      <c r="A31" s="926"/>
      <c r="B31" s="926"/>
      <c r="C31" s="926">
        <v>51504712.573559999</v>
      </c>
      <c r="D31" s="926"/>
      <c r="E31" s="926">
        <v>86675345.37391001</v>
      </c>
      <c r="F31" s="926">
        <f>+(E6+E32)/E30*100</f>
        <v>83.935830190990927</v>
      </c>
      <c r="G31" s="928">
        <v>35170632.80035001</v>
      </c>
      <c r="H31" s="926"/>
    </row>
    <row r="32" spans="1:8">
      <c r="A32" s="926"/>
      <c r="B32" s="926"/>
      <c r="C32" s="926">
        <v>3416666.6689999998</v>
      </c>
      <c r="D32" s="927"/>
      <c r="E32" s="926">
        <v>2749999.3340000063</v>
      </c>
      <c r="F32" s="926"/>
      <c r="G32" s="926"/>
      <c r="H32" s="926"/>
    </row>
    <row r="33" spans="1:8">
      <c r="A33" s="921"/>
      <c r="B33" s="921"/>
      <c r="C33" s="925"/>
      <c r="D33" s="924"/>
      <c r="E33" s="921"/>
      <c r="F33" s="921"/>
      <c r="G33" s="922"/>
      <c r="H33" s="921"/>
    </row>
    <row r="34" spans="1:8">
      <c r="A34" s="921"/>
      <c r="B34" s="922" t="s">
        <v>4092</v>
      </c>
      <c r="C34" s="921"/>
      <c r="D34" s="921"/>
      <c r="E34" s="921"/>
      <c r="F34" s="922"/>
      <c r="G34" s="921"/>
      <c r="H34" s="921"/>
    </row>
    <row r="35" spans="1:8">
      <c r="A35" s="921"/>
      <c r="B35" s="922" t="s">
        <v>4081</v>
      </c>
      <c r="C35" s="921"/>
      <c r="D35" s="921"/>
      <c r="E35" s="921"/>
      <c r="F35" s="922" t="s">
        <v>4072</v>
      </c>
      <c r="G35" s="921"/>
      <c r="H35" s="921"/>
    </row>
    <row r="36" spans="1:8">
      <c r="A36" s="921"/>
      <c r="B36" s="922"/>
      <c r="C36" s="921"/>
      <c r="D36" s="921"/>
      <c r="E36" s="921"/>
      <c r="F36" s="922"/>
      <c r="G36" s="921"/>
      <c r="H36" s="921"/>
    </row>
    <row r="37" spans="1:8">
      <c r="A37" s="922"/>
      <c r="B37" s="922" t="s">
        <v>4091</v>
      </c>
      <c r="C37" s="921"/>
      <c r="D37" s="921"/>
      <c r="E37" s="921"/>
      <c r="F37" s="921"/>
      <c r="G37" s="921"/>
      <c r="H37" s="921"/>
    </row>
    <row r="38" spans="1:8">
      <c r="A38" s="922"/>
      <c r="B38" s="922" t="s">
        <v>4090</v>
      </c>
      <c r="C38" s="921"/>
      <c r="D38" s="921"/>
      <c r="E38" s="921"/>
      <c r="F38" s="922" t="s">
        <v>4086</v>
      </c>
      <c r="G38" s="921"/>
      <c r="H38" s="921"/>
    </row>
    <row r="39" spans="1:8">
      <c r="A39" s="921"/>
      <c r="B39" s="922"/>
      <c r="C39" s="921"/>
      <c r="D39" s="921"/>
      <c r="E39" s="921"/>
      <c r="F39" s="921"/>
      <c r="G39" s="921"/>
      <c r="H39" s="921"/>
    </row>
    <row r="40" spans="1:8">
      <c r="A40" s="921"/>
      <c r="B40" s="923" t="s">
        <v>323</v>
      </c>
      <c r="C40" s="921"/>
      <c r="D40" s="921"/>
      <c r="E40" s="921"/>
      <c r="F40" s="922" t="s">
        <v>4087</v>
      </c>
      <c r="G40" s="921"/>
      <c r="H40" s="921"/>
    </row>
  </sheetData>
  <mergeCells count="6">
    <mergeCell ref="A2:G2"/>
    <mergeCell ref="A4:A5"/>
    <mergeCell ref="B4:B5"/>
    <mergeCell ref="C4:D4"/>
    <mergeCell ref="E4:F4"/>
    <mergeCell ref="G4:G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3:J49"/>
  <sheetViews>
    <sheetView workbookViewId="0">
      <selection activeCell="F18" sqref="F18"/>
    </sheetView>
  </sheetViews>
  <sheetFormatPr defaultRowHeight="13.2"/>
  <cols>
    <col min="1" max="1" width="18.44140625" bestFit="1" customWidth="1"/>
    <col min="2" max="2" width="8.6640625" bestFit="1" customWidth="1"/>
    <col min="3" max="3" width="18.44140625" bestFit="1" customWidth="1"/>
    <col min="4" max="4" width="38.5546875" bestFit="1" customWidth="1"/>
    <col min="5" max="5" width="5.33203125" bestFit="1" customWidth="1"/>
    <col min="6" max="6" width="48" bestFit="1" customWidth="1"/>
    <col min="7" max="7" width="11.6640625" bestFit="1" customWidth="1"/>
    <col min="8" max="8" width="10" bestFit="1" customWidth="1"/>
    <col min="9" max="9" width="5.33203125" bestFit="1" customWidth="1"/>
    <col min="10" max="10" width="213.6640625" bestFit="1" customWidth="1"/>
  </cols>
  <sheetData>
    <row r="3" spans="1:10">
      <c r="A3" t="s">
        <v>2082</v>
      </c>
    </row>
    <row r="4" spans="1:10">
      <c r="A4" s="806" t="s">
        <v>2083</v>
      </c>
      <c r="B4" s="806" t="s">
        <v>2084</v>
      </c>
      <c r="C4" s="806" t="s">
        <v>2085</v>
      </c>
      <c r="D4" s="663" t="s">
        <v>2086</v>
      </c>
      <c r="E4" s="806" t="s">
        <v>2077</v>
      </c>
      <c r="F4" s="663" t="s">
        <v>2087</v>
      </c>
      <c r="G4" s="647">
        <v>60000</v>
      </c>
      <c r="H4" s="647">
        <v>0</v>
      </c>
      <c r="I4" s="807" t="s">
        <v>2088</v>
      </c>
      <c r="J4" s="663" t="s">
        <v>2089</v>
      </c>
    </row>
    <row r="5" spans="1:10">
      <c r="A5" s="806" t="s">
        <v>2083</v>
      </c>
      <c r="B5" s="806" t="s">
        <v>2084</v>
      </c>
      <c r="C5" s="806" t="s">
        <v>2090</v>
      </c>
      <c r="D5" s="663" t="s">
        <v>2091</v>
      </c>
      <c r="E5" s="806" t="s">
        <v>2077</v>
      </c>
      <c r="F5" s="663" t="s">
        <v>2087</v>
      </c>
      <c r="G5" s="647">
        <v>60000</v>
      </c>
      <c r="H5" s="647">
        <v>0</v>
      </c>
      <c r="I5" s="807" t="s">
        <v>2088</v>
      </c>
      <c r="J5" s="663" t="s">
        <v>2092</v>
      </c>
    </row>
    <row r="6" spans="1:10">
      <c r="A6" s="806" t="s">
        <v>2083</v>
      </c>
      <c r="B6" s="806" t="s">
        <v>2084</v>
      </c>
      <c r="C6" s="806" t="s">
        <v>2093</v>
      </c>
      <c r="D6" s="663" t="s">
        <v>2094</v>
      </c>
      <c r="E6" s="806" t="s">
        <v>2077</v>
      </c>
      <c r="F6" s="663" t="s">
        <v>2087</v>
      </c>
      <c r="G6" s="647">
        <v>60000</v>
      </c>
      <c r="H6" s="647">
        <v>0</v>
      </c>
      <c r="I6" s="807" t="s">
        <v>2088</v>
      </c>
      <c r="J6" s="663" t="s">
        <v>2095</v>
      </c>
    </row>
    <row r="7" spans="1:10">
      <c r="A7" s="806" t="s">
        <v>2083</v>
      </c>
      <c r="B7" s="806" t="s">
        <v>2084</v>
      </c>
      <c r="C7" s="806" t="s">
        <v>2090</v>
      </c>
      <c r="D7" s="663" t="s">
        <v>2091</v>
      </c>
      <c r="E7" s="806" t="s">
        <v>2077</v>
      </c>
      <c r="F7" s="663" t="s">
        <v>2087</v>
      </c>
      <c r="G7" s="647">
        <v>96000</v>
      </c>
      <c r="H7" s="647">
        <v>0</v>
      </c>
      <c r="I7" s="807" t="s">
        <v>2088</v>
      </c>
      <c r="J7" s="663" t="s">
        <v>2096</v>
      </c>
    </row>
    <row r="8" spans="1:10">
      <c r="A8" s="806" t="s">
        <v>2083</v>
      </c>
      <c r="B8" s="806" t="s">
        <v>2061</v>
      </c>
      <c r="C8" s="806" t="s">
        <v>2097</v>
      </c>
      <c r="D8" s="663" t="s">
        <v>2098</v>
      </c>
      <c r="E8" s="806" t="s">
        <v>2077</v>
      </c>
      <c r="F8" s="663" t="s">
        <v>2087</v>
      </c>
      <c r="G8" s="647">
        <v>60000</v>
      </c>
      <c r="H8" s="647">
        <v>0</v>
      </c>
      <c r="I8" s="807" t="s">
        <v>2088</v>
      </c>
      <c r="J8" s="663" t="s">
        <v>2099</v>
      </c>
    </row>
    <row r="9" spans="1:10">
      <c r="A9" s="806" t="s">
        <v>2083</v>
      </c>
      <c r="B9" s="806" t="s">
        <v>2061</v>
      </c>
      <c r="C9" s="806" t="s">
        <v>2100</v>
      </c>
      <c r="D9" s="663" t="s">
        <v>2101</v>
      </c>
      <c r="E9" s="806" t="s">
        <v>2077</v>
      </c>
      <c r="F9" s="663" t="s">
        <v>2087</v>
      </c>
      <c r="G9" s="647">
        <v>60000</v>
      </c>
      <c r="H9" s="647">
        <v>0</v>
      </c>
      <c r="I9" s="807" t="s">
        <v>2088</v>
      </c>
      <c r="J9" s="663" t="s">
        <v>2102</v>
      </c>
    </row>
    <row r="10" spans="1:10">
      <c r="A10" s="806" t="s">
        <v>2083</v>
      </c>
      <c r="B10" s="806" t="s">
        <v>2061</v>
      </c>
      <c r="C10" s="806" t="s">
        <v>2103</v>
      </c>
      <c r="D10" s="663" t="s">
        <v>2104</v>
      </c>
      <c r="E10" s="806" t="s">
        <v>2077</v>
      </c>
      <c r="F10" s="663" t="s">
        <v>2087</v>
      </c>
      <c r="G10" s="647">
        <v>60000</v>
      </c>
      <c r="H10" s="647">
        <v>0</v>
      </c>
      <c r="I10" s="807" t="s">
        <v>2088</v>
      </c>
      <c r="J10" s="663" t="s">
        <v>2105</v>
      </c>
    </row>
    <row r="11" spans="1:10">
      <c r="A11" s="806" t="s">
        <v>2083</v>
      </c>
      <c r="B11" s="806" t="s">
        <v>2061</v>
      </c>
      <c r="C11" s="806" t="s">
        <v>2106</v>
      </c>
      <c r="D11" s="663" t="s">
        <v>2107</v>
      </c>
      <c r="E11" s="806" t="s">
        <v>2077</v>
      </c>
      <c r="F11" s="663" t="s">
        <v>2087</v>
      </c>
      <c r="G11" s="647">
        <v>60000</v>
      </c>
      <c r="H11" s="647">
        <v>0</v>
      </c>
      <c r="I11" s="807" t="s">
        <v>2088</v>
      </c>
      <c r="J11" s="663" t="s">
        <v>2108</v>
      </c>
    </row>
    <row r="12" spans="1:10">
      <c r="A12" s="806" t="s">
        <v>2083</v>
      </c>
      <c r="B12" s="806" t="s">
        <v>2061</v>
      </c>
      <c r="C12" s="806" t="s">
        <v>2109</v>
      </c>
      <c r="D12" s="663" t="s">
        <v>2110</v>
      </c>
      <c r="E12" s="806" t="s">
        <v>2077</v>
      </c>
      <c r="F12" s="663" t="s">
        <v>2087</v>
      </c>
      <c r="G12" s="647">
        <v>60000</v>
      </c>
      <c r="H12" s="647">
        <v>0</v>
      </c>
      <c r="I12" s="807" t="s">
        <v>2088</v>
      </c>
      <c r="J12" s="663" t="s">
        <v>2111</v>
      </c>
    </row>
    <row r="13" spans="1:10">
      <c r="A13" s="806" t="s">
        <v>2083</v>
      </c>
      <c r="B13" s="806" t="s">
        <v>2053</v>
      </c>
      <c r="C13" s="806" t="s">
        <v>2112</v>
      </c>
      <c r="D13" s="663" t="s">
        <v>2113</v>
      </c>
      <c r="E13" s="806" t="s">
        <v>2077</v>
      </c>
      <c r="F13" s="663" t="s">
        <v>2087</v>
      </c>
      <c r="G13" s="647">
        <v>60000</v>
      </c>
      <c r="H13" s="647">
        <v>0</v>
      </c>
      <c r="I13" s="807" t="s">
        <v>2088</v>
      </c>
      <c r="J13" s="663" t="s">
        <v>2114</v>
      </c>
    </row>
    <row r="14" spans="1:10">
      <c r="A14" s="806" t="s">
        <v>2083</v>
      </c>
      <c r="B14" s="806" t="s">
        <v>2053</v>
      </c>
      <c r="C14" s="806" t="s">
        <v>2115</v>
      </c>
      <c r="D14" s="663" t="s">
        <v>2116</v>
      </c>
      <c r="E14" s="806" t="s">
        <v>2077</v>
      </c>
      <c r="F14" s="663" t="s">
        <v>2087</v>
      </c>
      <c r="G14" s="647">
        <v>60000</v>
      </c>
      <c r="H14" s="647">
        <v>0</v>
      </c>
      <c r="I14" s="807" t="s">
        <v>2088</v>
      </c>
      <c r="J14" s="663" t="s">
        <v>2117</v>
      </c>
    </row>
    <row r="15" spans="1:10">
      <c r="A15" s="806" t="s">
        <v>2083</v>
      </c>
      <c r="B15" s="806" t="s">
        <v>2053</v>
      </c>
      <c r="C15" s="806" t="s">
        <v>2118</v>
      </c>
      <c r="D15" s="663" t="s">
        <v>2119</v>
      </c>
      <c r="E15" s="806" t="s">
        <v>2077</v>
      </c>
      <c r="F15" s="663" t="s">
        <v>2087</v>
      </c>
      <c r="G15" s="647">
        <v>48000</v>
      </c>
      <c r="H15" s="647">
        <v>0</v>
      </c>
      <c r="I15" s="807" t="s">
        <v>2088</v>
      </c>
      <c r="J15" s="663" t="s">
        <v>2120</v>
      </c>
    </row>
    <row r="16" spans="1:10">
      <c r="A16" s="806" t="s">
        <v>2083</v>
      </c>
      <c r="B16" s="806" t="s">
        <v>2053</v>
      </c>
      <c r="C16" s="806" t="s">
        <v>2121</v>
      </c>
      <c r="D16" s="663" t="s">
        <v>2122</v>
      </c>
      <c r="E16" s="806" t="s">
        <v>2077</v>
      </c>
      <c r="F16" s="663" t="s">
        <v>2087</v>
      </c>
      <c r="G16" s="647">
        <v>60000</v>
      </c>
      <c r="H16" s="647">
        <v>0</v>
      </c>
      <c r="I16" s="807" t="s">
        <v>2088</v>
      </c>
      <c r="J16" s="663" t="s">
        <v>2123</v>
      </c>
    </row>
    <row r="17" spans="1:10">
      <c r="A17" s="806" t="s">
        <v>2083</v>
      </c>
      <c r="B17" s="806" t="s">
        <v>2053</v>
      </c>
      <c r="C17" s="806" t="s">
        <v>2112</v>
      </c>
      <c r="D17" s="663" t="s">
        <v>2113</v>
      </c>
      <c r="E17" s="806" t="s">
        <v>2077</v>
      </c>
      <c r="F17" s="663" t="s">
        <v>2087</v>
      </c>
      <c r="G17" s="647">
        <v>60000</v>
      </c>
      <c r="H17" s="647">
        <v>0</v>
      </c>
      <c r="I17" s="807" t="s">
        <v>2088</v>
      </c>
      <c r="J17" s="663" t="s">
        <v>2124</v>
      </c>
    </row>
    <row r="18" spans="1:10">
      <c r="A18" s="806" t="s">
        <v>2083</v>
      </c>
      <c r="B18" s="806" t="s">
        <v>2125</v>
      </c>
      <c r="C18" s="806" t="s">
        <v>2126</v>
      </c>
      <c r="D18" s="663" t="s">
        <v>2127</v>
      </c>
      <c r="E18" s="806" t="s">
        <v>2077</v>
      </c>
      <c r="F18" s="663" t="s">
        <v>2087</v>
      </c>
      <c r="G18" s="647">
        <v>60000</v>
      </c>
      <c r="H18" s="647">
        <v>0</v>
      </c>
      <c r="I18" s="807" t="s">
        <v>2088</v>
      </c>
      <c r="J18" s="663" t="s">
        <v>2128</v>
      </c>
    </row>
    <row r="19" spans="1:10">
      <c r="A19" s="806" t="s">
        <v>2083</v>
      </c>
      <c r="B19" s="806" t="s">
        <v>2125</v>
      </c>
      <c r="C19" s="806" t="s">
        <v>2115</v>
      </c>
      <c r="D19" s="663" t="s">
        <v>2116</v>
      </c>
      <c r="E19" s="806" t="s">
        <v>2077</v>
      </c>
      <c r="F19" s="663" t="s">
        <v>2087</v>
      </c>
      <c r="G19" s="647">
        <v>60000</v>
      </c>
      <c r="H19" s="647">
        <v>0</v>
      </c>
      <c r="I19" s="807" t="s">
        <v>2088</v>
      </c>
      <c r="J19" s="663" t="s">
        <v>2129</v>
      </c>
    </row>
    <row r="20" spans="1:10">
      <c r="A20" s="806" t="s">
        <v>2083</v>
      </c>
      <c r="B20" s="806" t="s">
        <v>2078</v>
      </c>
      <c r="C20" s="806" t="s">
        <v>2130</v>
      </c>
      <c r="D20" s="663" t="s">
        <v>2131</v>
      </c>
      <c r="E20" s="806" t="s">
        <v>2077</v>
      </c>
      <c r="F20" s="663" t="s">
        <v>2087</v>
      </c>
      <c r="G20" s="647">
        <v>91168</v>
      </c>
      <c r="H20" s="647">
        <v>0</v>
      </c>
      <c r="I20" s="807" t="s">
        <v>2088</v>
      </c>
      <c r="J20" s="663" t="s">
        <v>2132</v>
      </c>
    </row>
    <row r="21" spans="1:10">
      <c r="A21" s="806" t="s">
        <v>2083</v>
      </c>
      <c r="B21" s="806" t="s">
        <v>2078</v>
      </c>
      <c r="C21" s="806" t="s">
        <v>2130</v>
      </c>
      <c r="D21" s="663" t="s">
        <v>2131</v>
      </c>
      <c r="E21" s="806" t="s">
        <v>2077</v>
      </c>
      <c r="F21" s="663" t="s">
        <v>2087</v>
      </c>
      <c r="G21" s="647">
        <v>60000</v>
      </c>
      <c r="H21" s="647">
        <v>0</v>
      </c>
      <c r="I21" s="807" t="s">
        <v>2088</v>
      </c>
      <c r="J21" s="663" t="s">
        <v>2133</v>
      </c>
    </row>
    <row r="22" spans="1:10">
      <c r="A22" s="806" t="s">
        <v>2083</v>
      </c>
      <c r="B22" s="806" t="s">
        <v>2134</v>
      </c>
      <c r="C22" s="806" t="s">
        <v>2135</v>
      </c>
      <c r="D22" s="663" t="s">
        <v>2136</v>
      </c>
      <c r="E22" s="806" t="s">
        <v>2077</v>
      </c>
      <c r="F22" s="663" t="s">
        <v>2087</v>
      </c>
      <c r="G22" s="647">
        <v>60000</v>
      </c>
      <c r="H22" s="647">
        <v>0</v>
      </c>
      <c r="I22" s="807" t="s">
        <v>2088</v>
      </c>
      <c r="J22" s="663" t="s">
        <v>2137</v>
      </c>
    </row>
    <row r="23" spans="1:10">
      <c r="A23" s="806" t="s">
        <v>2083</v>
      </c>
      <c r="B23" s="806" t="s">
        <v>2134</v>
      </c>
      <c r="C23" s="806" t="s">
        <v>2106</v>
      </c>
      <c r="D23" s="663" t="s">
        <v>2138</v>
      </c>
      <c r="E23" s="806" t="s">
        <v>2077</v>
      </c>
      <c r="F23" s="663" t="s">
        <v>2087</v>
      </c>
      <c r="G23" s="647">
        <v>60000</v>
      </c>
      <c r="H23" s="647">
        <v>0</v>
      </c>
      <c r="I23" s="807" t="s">
        <v>2088</v>
      </c>
      <c r="J23" s="663" t="s">
        <v>2139</v>
      </c>
    </row>
    <row r="24" spans="1:10">
      <c r="A24" s="806" t="s">
        <v>2083</v>
      </c>
      <c r="B24" s="806" t="s">
        <v>2134</v>
      </c>
      <c r="C24" s="806" t="s">
        <v>2121</v>
      </c>
      <c r="D24" s="663" t="s">
        <v>2140</v>
      </c>
      <c r="E24" s="806" t="s">
        <v>2077</v>
      </c>
      <c r="F24" s="663" t="s">
        <v>2087</v>
      </c>
      <c r="G24" s="647">
        <v>60000</v>
      </c>
      <c r="H24" s="647">
        <v>0</v>
      </c>
      <c r="I24" s="807" t="s">
        <v>2088</v>
      </c>
      <c r="J24" s="663" t="s">
        <v>2141</v>
      </c>
    </row>
    <row r="25" spans="1:10">
      <c r="A25" s="806" t="s">
        <v>2083</v>
      </c>
      <c r="B25" s="806" t="s">
        <v>2134</v>
      </c>
      <c r="C25" s="806" t="s">
        <v>2142</v>
      </c>
      <c r="D25" s="663" t="s">
        <v>2143</v>
      </c>
      <c r="E25" s="806" t="s">
        <v>2077</v>
      </c>
      <c r="F25" s="663" t="s">
        <v>2087</v>
      </c>
      <c r="G25" s="647">
        <v>60000</v>
      </c>
      <c r="H25" s="647">
        <v>0</v>
      </c>
      <c r="I25" s="807" t="s">
        <v>2088</v>
      </c>
      <c r="J25" s="663" t="s">
        <v>2144</v>
      </c>
    </row>
    <row r="26" spans="1:10">
      <c r="A26" s="806" t="s">
        <v>2083</v>
      </c>
      <c r="B26" s="806" t="s">
        <v>2067</v>
      </c>
      <c r="C26" s="806" t="s">
        <v>2121</v>
      </c>
      <c r="D26" s="663" t="s">
        <v>2140</v>
      </c>
      <c r="E26" s="806" t="s">
        <v>2077</v>
      </c>
      <c r="F26" s="663" t="s">
        <v>2087</v>
      </c>
      <c r="G26" s="647">
        <v>60000</v>
      </c>
      <c r="H26" s="647">
        <v>0</v>
      </c>
      <c r="I26" s="807" t="s">
        <v>2088</v>
      </c>
      <c r="J26" s="663" t="s">
        <v>2145</v>
      </c>
    </row>
    <row r="27" spans="1:10">
      <c r="A27" s="806" t="s">
        <v>2083</v>
      </c>
      <c r="B27" s="806" t="s">
        <v>2067</v>
      </c>
      <c r="C27" s="806" t="s">
        <v>2109</v>
      </c>
      <c r="D27" s="663" t="s">
        <v>2146</v>
      </c>
      <c r="E27" s="806" t="s">
        <v>2077</v>
      </c>
      <c r="F27" s="663" t="s">
        <v>2087</v>
      </c>
      <c r="G27" s="647">
        <v>60000</v>
      </c>
      <c r="H27" s="647">
        <v>0</v>
      </c>
      <c r="I27" s="807" t="s">
        <v>2088</v>
      </c>
      <c r="J27" s="663" t="s">
        <v>2145</v>
      </c>
    </row>
    <row r="28" spans="1:10">
      <c r="A28" s="806" t="s">
        <v>2083</v>
      </c>
      <c r="B28" s="806" t="s">
        <v>2052</v>
      </c>
      <c r="C28" s="806" t="s">
        <v>2121</v>
      </c>
      <c r="D28" s="663" t="s">
        <v>2140</v>
      </c>
      <c r="E28" s="806" t="s">
        <v>2077</v>
      </c>
      <c r="F28" s="663" t="s">
        <v>2087</v>
      </c>
      <c r="G28" s="647">
        <v>60000</v>
      </c>
      <c r="H28" s="647">
        <v>0</v>
      </c>
      <c r="I28" s="807" t="s">
        <v>2088</v>
      </c>
      <c r="J28" s="663" t="s">
        <v>2147</v>
      </c>
    </row>
    <row r="29" spans="1:10">
      <c r="A29" s="806" t="s">
        <v>2083</v>
      </c>
      <c r="B29" s="806" t="s">
        <v>2052</v>
      </c>
      <c r="C29" s="806" t="s">
        <v>2148</v>
      </c>
      <c r="D29" s="663" t="s">
        <v>2149</v>
      </c>
      <c r="E29" s="806" t="s">
        <v>2077</v>
      </c>
      <c r="F29" s="663" t="s">
        <v>2087</v>
      </c>
      <c r="G29" s="647">
        <v>120000</v>
      </c>
      <c r="H29" s="647">
        <v>0</v>
      </c>
      <c r="I29" s="807" t="s">
        <v>2088</v>
      </c>
      <c r="J29" s="663" t="s">
        <v>2150</v>
      </c>
    </row>
    <row r="30" spans="1:10">
      <c r="A30" s="806" t="s">
        <v>2083</v>
      </c>
      <c r="B30" s="806" t="s">
        <v>2052</v>
      </c>
      <c r="C30" s="806" t="s">
        <v>2151</v>
      </c>
      <c r="D30" s="663" t="s">
        <v>2152</v>
      </c>
      <c r="E30" s="806" t="s">
        <v>2077</v>
      </c>
      <c r="F30" s="663" t="s">
        <v>2087</v>
      </c>
      <c r="G30" s="647">
        <v>120000</v>
      </c>
      <c r="H30" s="647">
        <v>0</v>
      </c>
      <c r="I30" s="807" t="s">
        <v>2088</v>
      </c>
      <c r="J30" s="663" t="s">
        <v>2153</v>
      </c>
    </row>
    <row r="31" spans="1:10">
      <c r="A31" s="806" t="s">
        <v>2083</v>
      </c>
      <c r="B31" s="806" t="s">
        <v>2079</v>
      </c>
      <c r="C31" s="806" t="s">
        <v>2135</v>
      </c>
      <c r="D31" s="663" t="s">
        <v>2136</v>
      </c>
      <c r="E31" s="806" t="s">
        <v>2077</v>
      </c>
      <c r="F31" s="663" t="s">
        <v>2087</v>
      </c>
      <c r="G31" s="647">
        <v>60000</v>
      </c>
      <c r="H31" s="647">
        <v>0</v>
      </c>
      <c r="I31" s="807" t="s">
        <v>2088</v>
      </c>
      <c r="J31" s="663" t="s">
        <v>2154</v>
      </c>
    </row>
    <row r="32" spans="1:10">
      <c r="A32" s="806" t="s">
        <v>2083</v>
      </c>
      <c r="B32" s="806" t="s">
        <v>2079</v>
      </c>
      <c r="C32" s="806" t="s">
        <v>2121</v>
      </c>
      <c r="D32" s="663" t="s">
        <v>2140</v>
      </c>
      <c r="E32" s="806" t="s">
        <v>2077</v>
      </c>
      <c r="F32" s="663" t="s">
        <v>2087</v>
      </c>
      <c r="G32" s="647">
        <v>60000</v>
      </c>
      <c r="H32" s="647">
        <v>0</v>
      </c>
      <c r="I32" s="807" t="s">
        <v>2088</v>
      </c>
      <c r="J32" s="663" t="s">
        <v>2155</v>
      </c>
    </row>
    <row r="33" spans="1:10">
      <c r="A33" s="806" t="s">
        <v>2083</v>
      </c>
      <c r="B33" s="806" t="s">
        <v>2079</v>
      </c>
      <c r="C33" s="806" t="s">
        <v>2121</v>
      </c>
      <c r="D33" s="663" t="s">
        <v>2140</v>
      </c>
      <c r="E33" s="806" t="s">
        <v>2077</v>
      </c>
      <c r="F33" s="663" t="s">
        <v>2087</v>
      </c>
      <c r="G33" s="647">
        <v>60000</v>
      </c>
      <c r="H33" s="647">
        <v>0</v>
      </c>
      <c r="I33" s="807" t="s">
        <v>2088</v>
      </c>
      <c r="J33" s="663" t="s">
        <v>2156</v>
      </c>
    </row>
    <row r="34" spans="1:10">
      <c r="A34" s="806" t="s">
        <v>2083</v>
      </c>
      <c r="B34" s="806" t="s">
        <v>2079</v>
      </c>
      <c r="C34" s="806" t="s">
        <v>2151</v>
      </c>
      <c r="D34" s="663" t="s">
        <v>2152</v>
      </c>
      <c r="E34" s="806" t="s">
        <v>2077</v>
      </c>
      <c r="F34" s="663" t="s">
        <v>2087</v>
      </c>
      <c r="G34" s="647">
        <v>60000</v>
      </c>
      <c r="H34" s="647">
        <v>0</v>
      </c>
      <c r="I34" s="807" t="s">
        <v>2088</v>
      </c>
      <c r="J34" s="663" t="s">
        <v>2153</v>
      </c>
    </row>
    <row r="35" spans="1:10">
      <c r="A35" s="808" t="s">
        <v>2157</v>
      </c>
    </row>
    <row r="36" spans="1:10">
      <c r="A36" s="806" t="s">
        <v>2158</v>
      </c>
      <c r="B36" s="806" t="s">
        <v>2067</v>
      </c>
      <c r="C36" s="806" t="s">
        <v>2109</v>
      </c>
      <c r="D36" s="663" t="s">
        <v>2146</v>
      </c>
      <c r="E36" s="806" t="s">
        <v>2077</v>
      </c>
      <c r="F36" s="663" t="s">
        <v>2087</v>
      </c>
      <c r="G36" s="647">
        <v>78144</v>
      </c>
      <c r="H36" s="647">
        <v>0</v>
      </c>
      <c r="I36" s="699"/>
      <c r="J36" s="663" t="s">
        <v>2159</v>
      </c>
    </row>
    <row r="37" spans="1:10">
      <c r="A37" s="806" t="s">
        <v>2158</v>
      </c>
      <c r="B37" s="806" t="s">
        <v>2067</v>
      </c>
      <c r="C37" s="806" t="s">
        <v>2121</v>
      </c>
      <c r="D37" s="663" t="s">
        <v>2140</v>
      </c>
      <c r="E37" s="806" t="s">
        <v>2077</v>
      </c>
      <c r="F37" s="663" t="s">
        <v>2087</v>
      </c>
      <c r="G37" s="647">
        <v>13024</v>
      </c>
      <c r="H37" s="647">
        <v>0</v>
      </c>
      <c r="I37" s="807" t="s">
        <v>2088</v>
      </c>
      <c r="J37" s="663" t="s">
        <v>2160</v>
      </c>
    </row>
    <row r="38" spans="1:10">
      <c r="A38" s="806" t="s">
        <v>2158</v>
      </c>
      <c r="B38" s="806" t="s">
        <v>2052</v>
      </c>
      <c r="C38" s="806" t="s">
        <v>2148</v>
      </c>
      <c r="D38" s="663" t="s">
        <v>2149</v>
      </c>
      <c r="E38" s="806" t="s">
        <v>2077</v>
      </c>
      <c r="F38" s="663" t="s">
        <v>2087</v>
      </c>
      <c r="G38" s="647">
        <v>1159136</v>
      </c>
      <c r="H38" s="647">
        <v>0</v>
      </c>
      <c r="I38" s="807" t="s">
        <v>2088</v>
      </c>
      <c r="J38" s="663" t="s">
        <v>2161</v>
      </c>
    </row>
    <row r="39" spans="1:10">
      <c r="A39" s="806" t="s">
        <v>2158</v>
      </c>
      <c r="B39" s="806" t="s">
        <v>2052</v>
      </c>
      <c r="C39" s="806" t="s">
        <v>2121</v>
      </c>
      <c r="D39" s="663" t="s">
        <v>2140</v>
      </c>
      <c r="E39" s="806" t="s">
        <v>2077</v>
      </c>
      <c r="F39" s="663" t="s">
        <v>2087</v>
      </c>
      <c r="G39" s="647">
        <v>13024</v>
      </c>
      <c r="H39" s="647">
        <v>0</v>
      </c>
      <c r="I39" s="807" t="s">
        <v>2088</v>
      </c>
      <c r="J39" s="663" t="s">
        <v>2162</v>
      </c>
    </row>
    <row r="40" spans="1:10">
      <c r="A40" s="806" t="s">
        <v>2158</v>
      </c>
      <c r="B40" s="806" t="s">
        <v>2052</v>
      </c>
      <c r="C40" s="806" t="s">
        <v>2151</v>
      </c>
      <c r="D40" s="663" t="s">
        <v>2152</v>
      </c>
      <c r="E40" s="806" t="s">
        <v>2077</v>
      </c>
      <c r="F40" s="663" t="s">
        <v>2087</v>
      </c>
      <c r="G40" s="647">
        <v>221408</v>
      </c>
      <c r="H40" s="647">
        <v>0</v>
      </c>
      <c r="I40" s="807" t="s">
        <v>2088</v>
      </c>
      <c r="J40" s="663" t="s">
        <v>2163</v>
      </c>
    </row>
    <row r="41" spans="1:10">
      <c r="A41" s="806"/>
      <c r="B41" s="806"/>
      <c r="C41" s="806"/>
      <c r="D41" s="663"/>
      <c r="E41" s="806"/>
      <c r="F41" s="663"/>
      <c r="G41" s="647"/>
      <c r="H41" s="647"/>
      <c r="I41" s="807"/>
      <c r="J41" s="663"/>
    </row>
    <row r="42" spans="1:10">
      <c r="A42" s="806" t="s">
        <v>2164</v>
      </c>
      <c r="B42" s="806" t="s">
        <v>2084</v>
      </c>
      <c r="C42" s="806" t="s">
        <v>2090</v>
      </c>
      <c r="D42" s="663" t="s">
        <v>2091</v>
      </c>
      <c r="E42" s="806" t="s">
        <v>2077</v>
      </c>
      <c r="F42" s="663" t="s">
        <v>2087</v>
      </c>
      <c r="G42" s="647">
        <v>96867</v>
      </c>
      <c r="H42" s="647">
        <v>0</v>
      </c>
      <c r="I42" s="807" t="s">
        <v>2088</v>
      </c>
      <c r="J42" s="663" t="s">
        <v>2165</v>
      </c>
    </row>
    <row r="43" spans="1:10">
      <c r="A43" s="806" t="s">
        <v>2164</v>
      </c>
      <c r="B43" s="806" t="s">
        <v>2084</v>
      </c>
      <c r="C43" s="806" t="s">
        <v>2093</v>
      </c>
      <c r="D43" s="663" t="s">
        <v>2094</v>
      </c>
      <c r="E43" s="806" t="s">
        <v>2077</v>
      </c>
      <c r="F43" s="663" t="s">
        <v>2087</v>
      </c>
      <c r="G43" s="647">
        <v>21526</v>
      </c>
      <c r="H43" s="647">
        <v>0</v>
      </c>
      <c r="I43" s="807" t="s">
        <v>2088</v>
      </c>
      <c r="J43" s="663" t="s">
        <v>2166</v>
      </c>
    </row>
    <row r="44" spans="1:10">
      <c r="A44" s="806" t="s">
        <v>2164</v>
      </c>
      <c r="B44" s="806" t="s">
        <v>2125</v>
      </c>
      <c r="C44" s="806" t="s">
        <v>2115</v>
      </c>
      <c r="D44" s="663" t="s">
        <v>2116</v>
      </c>
      <c r="E44" s="806" t="s">
        <v>2077</v>
      </c>
      <c r="F44" s="663" t="s">
        <v>2087</v>
      </c>
      <c r="G44" s="647">
        <v>65120</v>
      </c>
      <c r="H44" s="647">
        <v>0</v>
      </c>
      <c r="I44" s="807" t="s">
        <v>2088</v>
      </c>
      <c r="J44" s="663" t="s">
        <v>2167</v>
      </c>
    </row>
    <row r="45" spans="1:10">
      <c r="A45" s="806" t="s">
        <v>2164</v>
      </c>
      <c r="B45" s="806" t="s">
        <v>2125</v>
      </c>
      <c r="C45" s="806" t="s">
        <v>2126</v>
      </c>
      <c r="D45" s="663" t="s">
        <v>2127</v>
      </c>
      <c r="E45" s="806" t="s">
        <v>2077</v>
      </c>
      <c r="F45" s="663" t="s">
        <v>2087</v>
      </c>
      <c r="G45" s="647">
        <v>78144</v>
      </c>
      <c r="H45" s="647">
        <v>0</v>
      </c>
      <c r="I45" s="807" t="s">
        <v>2088</v>
      </c>
      <c r="J45" s="663" t="s">
        <v>2168</v>
      </c>
    </row>
    <row r="46" spans="1:10">
      <c r="A46" s="806" t="s">
        <v>2164</v>
      </c>
      <c r="B46" s="806" t="s">
        <v>2079</v>
      </c>
      <c r="C46" s="806" t="s">
        <v>2135</v>
      </c>
      <c r="D46" s="663" t="s">
        <v>2136</v>
      </c>
      <c r="E46" s="806" t="s">
        <v>2077</v>
      </c>
      <c r="F46" s="663" t="s">
        <v>2087</v>
      </c>
      <c r="G46" s="647">
        <v>65120</v>
      </c>
      <c r="H46" s="647">
        <v>0</v>
      </c>
      <c r="I46" s="807" t="s">
        <v>2088</v>
      </c>
      <c r="J46" s="663" t="s">
        <v>2169</v>
      </c>
    </row>
    <row r="47" spans="1:10">
      <c r="A47" s="806" t="s">
        <v>2164</v>
      </c>
      <c r="B47" s="806" t="s">
        <v>2079</v>
      </c>
      <c r="C47" s="806" t="s">
        <v>2121</v>
      </c>
      <c r="D47" s="663" t="s">
        <v>2140</v>
      </c>
      <c r="E47" s="806" t="s">
        <v>2077</v>
      </c>
      <c r="F47" s="663" t="s">
        <v>2087</v>
      </c>
      <c r="G47" s="647">
        <v>13024</v>
      </c>
      <c r="H47" s="647">
        <v>0</v>
      </c>
      <c r="I47" s="807" t="s">
        <v>2088</v>
      </c>
      <c r="J47" s="663" t="s">
        <v>2170</v>
      </c>
    </row>
    <row r="48" spans="1:10">
      <c r="A48" s="806" t="s">
        <v>2164</v>
      </c>
      <c r="B48" s="806" t="s">
        <v>2079</v>
      </c>
      <c r="C48" s="806" t="s">
        <v>2151</v>
      </c>
      <c r="D48" s="663" t="s">
        <v>2152</v>
      </c>
      <c r="E48" s="806" t="s">
        <v>2077</v>
      </c>
      <c r="F48" s="663" t="s">
        <v>2087</v>
      </c>
      <c r="G48" s="647">
        <v>16048</v>
      </c>
      <c r="H48" s="647">
        <v>0</v>
      </c>
      <c r="I48" s="807" t="s">
        <v>2088</v>
      </c>
      <c r="J48" s="663" t="s">
        <v>2163</v>
      </c>
    </row>
    <row r="49" spans="1:10">
      <c r="A49" s="806" t="s">
        <v>2164</v>
      </c>
      <c r="B49" s="806" t="s">
        <v>2079</v>
      </c>
      <c r="C49" s="806" t="s">
        <v>2121</v>
      </c>
      <c r="D49" s="663" t="s">
        <v>2140</v>
      </c>
      <c r="E49" s="806" t="s">
        <v>2077</v>
      </c>
      <c r="F49" s="663" t="s">
        <v>2087</v>
      </c>
      <c r="G49" s="647">
        <v>13024</v>
      </c>
      <c r="H49" s="647">
        <v>0</v>
      </c>
      <c r="I49" s="807" t="s">
        <v>2088</v>
      </c>
      <c r="J49" s="663" t="s">
        <v>2171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pageSetUpPr fitToPage="1"/>
  </sheetPr>
  <dimension ref="A1:J31"/>
  <sheetViews>
    <sheetView topLeftCell="A4" workbookViewId="0">
      <selection activeCell="E15" sqref="E15:E17"/>
    </sheetView>
  </sheetViews>
  <sheetFormatPr defaultColWidth="9.109375" defaultRowHeight="15.6"/>
  <cols>
    <col min="1" max="1" width="5.33203125" style="238" customWidth="1"/>
    <col min="2" max="2" width="33.109375" style="238" customWidth="1"/>
    <col min="3" max="3" width="25.88671875" style="238" customWidth="1"/>
    <col min="4" max="4" width="19.88671875" style="238" customWidth="1"/>
    <col min="5" max="5" width="19" style="238" customWidth="1"/>
    <col min="6" max="6" width="17.6640625" style="238" customWidth="1"/>
    <col min="7" max="7" width="11" style="238" customWidth="1"/>
    <col min="8" max="8" width="16.109375" style="238" hidden="1" customWidth="1"/>
    <col min="9" max="9" width="11.44140625" style="238" hidden="1" customWidth="1"/>
    <col min="10" max="16384" width="9.109375" style="238"/>
  </cols>
  <sheetData>
    <row r="1" spans="1:10" ht="14.25" customHeight="1">
      <c r="F1" s="245" t="s">
        <v>151</v>
      </c>
    </row>
    <row r="2" spans="1:10" ht="33.75" customHeight="1">
      <c r="B2" s="1216" t="str">
        <f>""&amp;(Шаблон!B1)&amp;"нинг "&amp;(Шаблон!B2)&amp;" шахар "&amp;(Шаблон!B3)&amp;" филиали бўйича "&amp;(Шаблон!B15)&amp;" ҳолатига солиқ тўлови ҳисоби тўғрисида"</f>
        <v>АТ "Халқ банк"нинг Фаргона вилояти шахар Бешариқ филиали филиали бўйича 2024 йил 1 январ ҳолатига солиқ тўлови ҳисоби тўғрисида</v>
      </c>
      <c r="C2" s="1216"/>
      <c r="D2" s="1216"/>
      <c r="E2" s="1216"/>
      <c r="F2" s="358"/>
    </row>
    <row r="3" spans="1:10" ht="15.75" customHeight="1">
      <c r="B3" s="1216" t="s">
        <v>385</v>
      </c>
      <c r="C3" s="1216"/>
      <c r="D3" s="1216"/>
      <c r="E3" s="1216"/>
      <c r="F3" s="345"/>
    </row>
    <row r="4" spans="1:10" ht="16.2" thickBot="1">
      <c r="F4" s="245" t="s">
        <v>248</v>
      </c>
    </row>
    <row r="5" spans="1:10" ht="21" customHeight="1">
      <c r="A5" s="1220" t="s">
        <v>228</v>
      </c>
      <c r="B5" s="1220" t="s">
        <v>118</v>
      </c>
      <c r="C5" s="1202" t="s">
        <v>152</v>
      </c>
      <c r="D5" s="1202" t="s">
        <v>153</v>
      </c>
      <c r="E5" s="348" t="s">
        <v>384</v>
      </c>
      <c r="F5" s="1202" t="s">
        <v>295</v>
      </c>
    </row>
    <row r="6" spans="1:10" ht="15.75" customHeight="1" thickBot="1">
      <c r="A6" s="1221"/>
      <c r="B6" s="1221"/>
      <c r="C6" s="1222"/>
      <c r="D6" s="1222"/>
      <c r="E6" s="349" t="s">
        <v>119</v>
      </c>
      <c r="F6" s="1222"/>
    </row>
    <row r="7" spans="1:10" ht="11.25" customHeight="1">
      <c r="A7" s="350" t="s">
        <v>208</v>
      </c>
      <c r="B7" s="351" t="s">
        <v>209</v>
      </c>
      <c r="C7" s="352">
        <v>1</v>
      </c>
      <c r="D7" s="352">
        <v>2</v>
      </c>
      <c r="E7" s="351">
        <v>3</v>
      </c>
      <c r="F7" s="353">
        <v>4</v>
      </c>
    </row>
    <row r="8" spans="1:10" s="592" customFormat="1">
      <c r="A8" s="664">
        <v>1</v>
      </c>
      <c r="B8" s="665" t="s">
        <v>120</v>
      </c>
      <c r="C8" s="666">
        <v>1185.7</v>
      </c>
      <c r="D8" s="666">
        <f>+C8</f>
        <v>1185.7</v>
      </c>
      <c r="E8" s="667">
        <f>D8-C8</f>
        <v>0</v>
      </c>
      <c r="F8" s="1217"/>
      <c r="H8" s="668"/>
    </row>
    <row r="9" spans="1:10" s="592" customFormat="1">
      <c r="A9" s="664">
        <v>2</v>
      </c>
      <c r="B9" s="665" t="s">
        <v>121</v>
      </c>
      <c r="C9" s="666">
        <v>0</v>
      </c>
      <c r="D9" s="666">
        <v>0</v>
      </c>
      <c r="E9" s="667">
        <f t="shared" ref="E9:E17" si="0">D9-C9</f>
        <v>0</v>
      </c>
      <c r="F9" s="1218"/>
      <c r="H9" s="668"/>
    </row>
    <row r="10" spans="1:10" s="592" customFormat="1">
      <c r="A10" s="664">
        <v>3</v>
      </c>
      <c r="B10" s="665" t="s">
        <v>122</v>
      </c>
      <c r="C10" s="666">
        <v>2765</v>
      </c>
      <c r="D10" s="666">
        <f>+C10</f>
        <v>2765</v>
      </c>
      <c r="E10" s="667">
        <f t="shared" si="0"/>
        <v>0</v>
      </c>
      <c r="F10" s="1218"/>
      <c r="H10" s="668"/>
    </row>
    <row r="11" spans="1:10" s="592" customFormat="1">
      <c r="A11" s="664">
        <v>4</v>
      </c>
      <c r="B11" s="665" t="s">
        <v>537</v>
      </c>
      <c r="C11" s="666">
        <v>1000.5</v>
      </c>
      <c r="D11" s="666">
        <v>1000.5</v>
      </c>
      <c r="E11" s="667">
        <f>D11-C11</f>
        <v>0</v>
      </c>
      <c r="F11" s="1218"/>
      <c r="H11" s="668"/>
    </row>
    <row r="12" spans="1:10" s="592" customFormat="1">
      <c r="A12" s="669">
        <v>5</v>
      </c>
      <c r="B12" s="670" t="s">
        <v>100</v>
      </c>
      <c r="C12" s="666">
        <v>1400</v>
      </c>
      <c r="D12" s="666">
        <v>1400</v>
      </c>
      <c r="E12" s="667">
        <f t="shared" si="0"/>
        <v>0</v>
      </c>
      <c r="F12" s="1218"/>
      <c r="H12" s="668"/>
    </row>
    <row r="13" spans="1:10" s="592" customFormat="1">
      <c r="A13" s="664">
        <v>6</v>
      </c>
      <c r="B13" s="665" t="s">
        <v>123</v>
      </c>
      <c r="C13" s="666">
        <v>1500</v>
      </c>
      <c r="D13" s="666">
        <v>1500</v>
      </c>
      <c r="E13" s="667">
        <f t="shared" si="0"/>
        <v>0</v>
      </c>
      <c r="F13" s="1218"/>
      <c r="H13" s="668"/>
      <c r="J13" s="668"/>
    </row>
    <row r="14" spans="1:10">
      <c r="A14" s="517">
        <v>7</v>
      </c>
      <c r="B14" s="518" t="s">
        <v>154</v>
      </c>
      <c r="C14" s="519">
        <f>SUM(C15:C18)</f>
        <v>85936.1</v>
      </c>
      <c r="D14" s="519">
        <f>SUM(D15:D18)</f>
        <v>86467.5</v>
      </c>
      <c r="E14" s="520">
        <f t="shared" si="0"/>
        <v>531.39999999999418</v>
      </c>
      <c r="F14" s="1218"/>
      <c r="G14" s="346"/>
      <c r="H14" s="346"/>
    </row>
    <row r="15" spans="1:10" s="675" customFormat="1">
      <c r="A15" s="671" t="s">
        <v>124</v>
      </c>
      <c r="B15" s="672" t="s">
        <v>538</v>
      </c>
      <c r="C15" s="673">
        <v>4473.1000000000004</v>
      </c>
      <c r="D15" s="673">
        <v>4454</v>
      </c>
      <c r="E15" s="674">
        <f t="shared" si="0"/>
        <v>-19.100000000000364</v>
      </c>
      <c r="F15" s="1218"/>
      <c r="H15" s="676"/>
    </row>
    <row r="16" spans="1:10" s="675" customFormat="1">
      <c r="A16" s="671" t="s">
        <v>125</v>
      </c>
      <c r="B16" s="672" t="s">
        <v>96</v>
      </c>
      <c r="C16" s="673">
        <v>12422.6</v>
      </c>
      <c r="D16" s="673">
        <v>12319.8</v>
      </c>
      <c r="E16" s="674">
        <f t="shared" si="0"/>
        <v>-102.80000000000109</v>
      </c>
      <c r="F16" s="1218"/>
      <c r="H16" s="676"/>
      <c r="J16" s="676"/>
    </row>
    <row r="17" spans="1:10" s="675" customFormat="1">
      <c r="A17" s="671" t="s">
        <v>126</v>
      </c>
      <c r="B17" s="672" t="s">
        <v>97</v>
      </c>
      <c r="C17" s="673">
        <v>14197.2</v>
      </c>
      <c r="D17" s="673">
        <v>14051.2</v>
      </c>
      <c r="E17" s="674">
        <f t="shared" si="0"/>
        <v>-146</v>
      </c>
      <c r="F17" s="1218"/>
      <c r="H17" s="676"/>
      <c r="J17" s="676"/>
    </row>
    <row r="18" spans="1:10" s="675" customFormat="1">
      <c r="A18" s="354" t="s">
        <v>127</v>
      </c>
      <c r="B18" s="672" t="s">
        <v>1031</v>
      </c>
      <c r="C18" s="673">
        <v>54843.199999999997</v>
      </c>
      <c r="D18" s="673">
        <v>55642.5</v>
      </c>
      <c r="E18" s="674">
        <f>D18-C18</f>
        <v>799.30000000000291</v>
      </c>
      <c r="F18" s="1219"/>
      <c r="H18" s="676"/>
      <c r="J18" s="676"/>
    </row>
    <row r="19" spans="1:10" ht="16.2" thickBot="1">
      <c r="A19" s="355"/>
      <c r="B19" s="314" t="s">
        <v>186</v>
      </c>
      <c r="C19" s="356">
        <f>SUM(C8:C14)</f>
        <v>93787.3</v>
      </c>
      <c r="D19" s="356">
        <f>SUM(D8:D14)</f>
        <v>94318.7</v>
      </c>
      <c r="E19" s="356">
        <f>SUM(E8:E14)</f>
        <v>531.39999999999418</v>
      </c>
      <c r="F19" s="357"/>
    </row>
    <row r="20" spans="1:10">
      <c r="C20" s="346"/>
      <c r="E20" s="346"/>
      <c r="H20" s="346"/>
    </row>
    <row r="21" spans="1:10">
      <c r="A21" s="347"/>
      <c r="B21" s="6" t="str">
        <f>""&amp;(Шаблон!B1)&amp;"нинг Ички Аудит"</f>
        <v>АТ "Халқ банк"нинг Ички Аудит</v>
      </c>
      <c r="C21" s="1"/>
      <c r="D21" s="1"/>
      <c r="E21" s="1"/>
      <c r="F21" s="6"/>
    </row>
    <row r="22" spans="1:10" ht="15" customHeight="1">
      <c r="B22" s="6" t="s">
        <v>493</v>
      </c>
      <c r="C22" s="1"/>
      <c r="D22" s="1"/>
      <c r="E22" s="6" t="str">
        <f>Шаблон!B13</f>
        <v>А.Ҳазратқулов</v>
      </c>
    </row>
    <row r="23" spans="1:10">
      <c r="B23" s="6"/>
      <c r="C23" s="1"/>
      <c r="D23" s="1"/>
      <c r="E23" s="6"/>
    </row>
    <row r="24" spans="1:10">
      <c r="B24" s="6" t="str">
        <f>""&amp;(Шаблон!B1)&amp;" "&amp;(Шаблон!B2)&amp;" вилояти"</f>
        <v>АТ "Халқ банк" Фаргона вилояти вилояти</v>
      </c>
      <c r="C24" s="1"/>
      <c r="D24" s="1"/>
      <c r="E24" s="1"/>
    </row>
    <row r="25" spans="1:10">
      <c r="B25" s="6" t="str">
        <f>""&amp;(Шаблон!B3)&amp;" филиал бошқарувчиси:"</f>
        <v>Бешариқ филиали филиал бошқарувчиси:</v>
      </c>
      <c r="C25" s="1"/>
      <c r="D25" s="1"/>
      <c r="E25" s="6" t="str">
        <f>Шаблон!B5</f>
        <v>_____________</v>
      </c>
    </row>
    <row r="26" spans="1:10">
      <c r="B26" s="6"/>
      <c r="C26" s="1"/>
      <c r="D26" s="1"/>
      <c r="E26" s="1"/>
    </row>
    <row r="27" spans="1:10">
      <c r="B27" s="105" t="s">
        <v>323</v>
      </c>
      <c r="C27" s="1"/>
      <c r="D27" s="1"/>
      <c r="E27" s="6" t="str">
        <f>Шаблон!B8</f>
        <v>_____________</v>
      </c>
    </row>
    <row r="28" spans="1:10">
      <c r="B28" s="27"/>
      <c r="C28" s="27"/>
      <c r="D28" s="27"/>
      <c r="E28" s="27"/>
      <c r="F28" s="27"/>
    </row>
    <row r="30" spans="1:10">
      <c r="H30" s="393" t="s">
        <v>535</v>
      </c>
      <c r="I30" s="393"/>
    </row>
    <row r="31" spans="1:10">
      <c r="H31" s="393" t="s">
        <v>529</v>
      </c>
      <c r="I31" s="393">
        <f>+'17.смета'!E10</f>
        <v>15887074.465800002</v>
      </c>
    </row>
  </sheetData>
  <mergeCells count="8">
    <mergeCell ref="B2:E2"/>
    <mergeCell ref="B3:E3"/>
    <mergeCell ref="F8:F18"/>
    <mergeCell ref="A5:A6"/>
    <mergeCell ref="B5:B6"/>
    <mergeCell ref="F5:F6"/>
    <mergeCell ref="D5:D6"/>
    <mergeCell ref="C5:C6"/>
  </mergeCells>
  <phoneticPr fontId="41" type="noConversion"/>
  <pageMargins left="0.70866141732283472" right="0.70866141732283472" top="0.74803149606299213" bottom="0.74803149606299213" header="0.31496062992125984" footer="0.31496062992125984"/>
  <pageSetup paperSize="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FF00"/>
    <pageSetUpPr fitToPage="1"/>
  </sheetPr>
  <dimension ref="A1:I56"/>
  <sheetViews>
    <sheetView zoomScale="83" zoomScaleNormal="83" workbookViewId="0">
      <selection activeCell="D5" sqref="D5"/>
    </sheetView>
  </sheetViews>
  <sheetFormatPr defaultColWidth="9.109375" defaultRowHeight="13.2"/>
  <cols>
    <col min="1" max="1" width="4.33203125" style="196" customWidth="1"/>
    <col min="2" max="2" width="25.33203125" style="196" customWidth="1"/>
    <col min="3" max="3" width="26.44140625" style="197" customWidth="1"/>
    <col min="4" max="4" width="17.6640625" style="196" bestFit="1" customWidth="1"/>
    <col min="5" max="5" width="17.33203125" style="196" customWidth="1"/>
    <col min="6" max="6" width="17.44140625" style="196" customWidth="1"/>
    <col min="7" max="7" width="44.109375" style="196" customWidth="1"/>
    <col min="8" max="8" width="19.6640625" style="196" customWidth="1"/>
    <col min="9" max="16384" width="9.109375" style="196"/>
  </cols>
  <sheetData>
    <row r="1" spans="1:8">
      <c r="H1" s="245" t="s">
        <v>155</v>
      </c>
    </row>
    <row r="2" spans="1:8" ht="34.5" customHeight="1">
      <c r="B2" s="1193" t="str">
        <f>""&amp;(Шаблон!B1)&amp;"нинг "&amp;(Шаблон!B2)&amp;" вилоят бошқармаси "&amp;(Шаблон!B3)&amp;" филиалида аудит текшируви давомида картотека-2 ҳужжатлари билан 90963 ҳисоб рақами қолдиғи мутаносиблиги солиштирилиши тўғрисида"</f>
        <v>АТ "Халқ банк"нинг Фаргона вилояти вилоят бошқармаси Бешариқ филиали филиалида аудит текшируви давомида картотека-2 ҳужжатлари билан 90963 ҳисоб рақами қолдиғи мутаносиблиги солиштирилиши тўғрисида</v>
      </c>
      <c r="C2" s="1193"/>
      <c r="D2" s="1193"/>
      <c r="E2" s="1193"/>
      <c r="F2" s="1193"/>
      <c r="G2" s="1193"/>
      <c r="H2" s="1193"/>
    </row>
    <row r="3" spans="1:8" ht="13.5" customHeight="1">
      <c r="B3" s="1223" t="s">
        <v>385</v>
      </c>
      <c r="C3" s="1223"/>
      <c r="D3" s="1223"/>
      <c r="E3" s="1223"/>
      <c r="F3" s="1223"/>
      <c r="G3" s="1223"/>
      <c r="H3" s="1223"/>
    </row>
    <row r="4" spans="1:8" ht="13.8" thickBot="1">
      <c r="H4" s="245" t="s">
        <v>248</v>
      </c>
    </row>
    <row r="5" spans="1:8" ht="50.25" customHeight="1" thickBot="1">
      <c r="A5" s="198" t="s">
        <v>237</v>
      </c>
      <c r="B5" s="198" t="s">
        <v>390</v>
      </c>
      <c r="C5" s="199" t="s">
        <v>302</v>
      </c>
      <c r="D5" s="198" t="s">
        <v>465</v>
      </c>
      <c r="E5" s="198" t="s">
        <v>466</v>
      </c>
      <c r="F5" s="198" t="s">
        <v>300</v>
      </c>
      <c r="G5" s="198" t="s">
        <v>303</v>
      </c>
      <c r="H5" s="198" t="s">
        <v>295</v>
      </c>
    </row>
    <row r="6" spans="1:8" ht="13.5" customHeight="1">
      <c r="A6" s="208" t="s">
        <v>208</v>
      </c>
      <c r="B6" s="210"/>
      <c r="C6" s="209" t="s">
        <v>380</v>
      </c>
      <c r="D6" s="210">
        <v>1</v>
      </c>
      <c r="E6" s="210">
        <v>2</v>
      </c>
      <c r="F6" s="210">
        <v>3</v>
      </c>
      <c r="G6" s="210">
        <v>4</v>
      </c>
      <c r="H6" s="211">
        <v>5</v>
      </c>
    </row>
    <row r="7" spans="1:8" ht="15.6">
      <c r="A7" s="212">
        <v>1</v>
      </c>
      <c r="B7" s="372" t="s">
        <v>464</v>
      </c>
      <c r="C7" s="200" t="s">
        <v>463</v>
      </c>
      <c r="D7" s="468">
        <v>252919.4</v>
      </c>
      <c r="E7" s="202">
        <v>253003.7</v>
      </c>
      <c r="F7" s="203">
        <f>+D7-E7</f>
        <v>-84.300000000017462</v>
      </c>
      <c r="G7" s="372"/>
      <c r="H7" s="402"/>
    </row>
    <row r="8" spans="1:8" ht="15.6">
      <c r="A8" s="212">
        <f>+A7+1</f>
        <v>2</v>
      </c>
      <c r="B8" s="372"/>
      <c r="C8" s="200" t="s">
        <v>467</v>
      </c>
      <c r="D8" s="201"/>
      <c r="E8" s="202"/>
      <c r="F8" s="203"/>
      <c r="G8" s="372"/>
      <c r="H8" s="402"/>
    </row>
    <row r="9" spans="1:8" ht="15.6">
      <c r="A9" s="212">
        <f t="shared" ref="A9:A42" si="0">+A8+1</f>
        <v>3</v>
      </c>
      <c r="B9" s="372"/>
      <c r="C9" s="200"/>
      <c r="D9" s="201"/>
      <c r="E9" s="202"/>
      <c r="F9" s="203"/>
      <c r="G9" s="372"/>
      <c r="H9" s="402"/>
    </row>
    <row r="10" spans="1:8" ht="15.6">
      <c r="A10" s="212">
        <f t="shared" si="0"/>
        <v>4</v>
      </c>
      <c r="B10" s="372"/>
      <c r="C10" s="200"/>
      <c r="D10" s="201"/>
      <c r="E10" s="202"/>
      <c r="F10" s="203"/>
      <c r="G10" s="372"/>
      <c r="H10" s="402"/>
    </row>
    <row r="11" spans="1:8" ht="15.6">
      <c r="A11" s="212">
        <f t="shared" si="0"/>
        <v>5</v>
      </c>
      <c r="B11" s="372"/>
      <c r="C11" s="200"/>
      <c r="D11" s="201"/>
      <c r="E11" s="202"/>
      <c r="F11" s="203"/>
      <c r="G11" s="372"/>
      <c r="H11" s="402"/>
    </row>
    <row r="12" spans="1:8" ht="15.6">
      <c r="A12" s="212">
        <f t="shared" si="0"/>
        <v>6</v>
      </c>
      <c r="B12" s="372"/>
      <c r="C12" s="200"/>
      <c r="D12" s="201"/>
      <c r="E12" s="202"/>
      <c r="F12" s="203"/>
      <c r="G12" s="372"/>
      <c r="H12" s="402"/>
    </row>
    <row r="13" spans="1:8" ht="15.6">
      <c r="A13" s="212">
        <f t="shared" si="0"/>
        <v>7</v>
      </c>
      <c r="B13" s="372"/>
      <c r="C13" s="200"/>
      <c r="D13" s="201"/>
      <c r="E13" s="202"/>
      <c r="F13" s="203"/>
      <c r="G13" s="372"/>
      <c r="H13" s="402"/>
    </row>
    <row r="14" spans="1:8" ht="15.6">
      <c r="A14" s="212">
        <f t="shared" si="0"/>
        <v>8</v>
      </c>
      <c r="B14" s="372"/>
      <c r="C14" s="200"/>
      <c r="D14" s="201"/>
      <c r="E14" s="202"/>
      <c r="F14" s="203"/>
      <c r="G14" s="372"/>
      <c r="H14" s="402"/>
    </row>
    <row r="15" spans="1:8" ht="15.6">
      <c r="A15" s="212">
        <f t="shared" si="0"/>
        <v>9</v>
      </c>
      <c r="B15" s="372"/>
      <c r="C15" s="200"/>
      <c r="D15" s="201"/>
      <c r="E15" s="202"/>
      <c r="F15" s="203"/>
      <c r="G15" s="372"/>
      <c r="H15" s="402"/>
    </row>
    <row r="16" spans="1:8" ht="15.6">
      <c r="A16" s="212">
        <f t="shared" si="0"/>
        <v>10</v>
      </c>
      <c r="B16" s="372"/>
      <c r="C16" s="200"/>
      <c r="D16" s="201"/>
      <c r="E16" s="202"/>
      <c r="F16" s="203"/>
      <c r="G16" s="372"/>
      <c r="H16" s="402"/>
    </row>
    <row r="17" spans="1:8" ht="15.6">
      <c r="A17" s="212">
        <f t="shared" si="0"/>
        <v>11</v>
      </c>
      <c r="B17" s="372"/>
      <c r="C17" s="200"/>
      <c r="D17" s="201"/>
      <c r="E17" s="202"/>
      <c r="F17" s="203"/>
      <c r="G17" s="372"/>
      <c r="H17" s="402"/>
    </row>
    <row r="18" spans="1:8" ht="15.6">
      <c r="A18" s="212">
        <f t="shared" si="0"/>
        <v>12</v>
      </c>
      <c r="B18" s="372"/>
      <c r="C18" s="200"/>
      <c r="D18" s="201"/>
      <c r="E18" s="202"/>
      <c r="F18" s="203"/>
      <c r="G18" s="372"/>
      <c r="H18" s="402"/>
    </row>
    <row r="19" spans="1:8" ht="15.6">
      <c r="A19" s="212">
        <f t="shared" si="0"/>
        <v>13</v>
      </c>
      <c r="B19" s="372"/>
      <c r="C19" s="200"/>
      <c r="D19" s="201"/>
      <c r="E19" s="202"/>
      <c r="F19" s="203"/>
      <c r="G19" s="372"/>
      <c r="H19" s="402"/>
    </row>
    <row r="20" spans="1:8" ht="15.6">
      <c r="A20" s="212">
        <f t="shared" si="0"/>
        <v>14</v>
      </c>
      <c r="B20" s="372"/>
      <c r="C20" s="200"/>
      <c r="D20" s="201"/>
      <c r="E20" s="202"/>
      <c r="F20" s="203"/>
      <c r="G20" s="372"/>
      <c r="H20" s="402"/>
    </row>
    <row r="21" spans="1:8" ht="15.6">
      <c r="A21" s="212">
        <f t="shared" si="0"/>
        <v>15</v>
      </c>
      <c r="B21" s="372"/>
      <c r="C21" s="200"/>
      <c r="D21" s="201"/>
      <c r="E21" s="202"/>
      <c r="F21" s="203"/>
      <c r="G21" s="372"/>
      <c r="H21" s="402"/>
    </row>
    <row r="22" spans="1:8" ht="15.6">
      <c r="A22" s="212">
        <f t="shared" si="0"/>
        <v>16</v>
      </c>
      <c r="B22" s="372"/>
      <c r="C22" s="200"/>
      <c r="D22" s="201"/>
      <c r="E22" s="202"/>
      <c r="F22" s="203"/>
      <c r="G22" s="372"/>
      <c r="H22" s="402"/>
    </row>
    <row r="23" spans="1:8" ht="15.6">
      <c r="A23" s="212">
        <f t="shared" si="0"/>
        <v>17</v>
      </c>
      <c r="B23" s="372"/>
      <c r="C23" s="200"/>
      <c r="D23" s="201"/>
      <c r="E23" s="202"/>
      <c r="F23" s="203"/>
      <c r="G23" s="372"/>
      <c r="H23" s="402"/>
    </row>
    <row r="24" spans="1:8" ht="15.6">
      <c r="A24" s="212">
        <f t="shared" si="0"/>
        <v>18</v>
      </c>
      <c r="B24" s="372"/>
      <c r="C24" s="200"/>
      <c r="D24" s="201"/>
      <c r="E24" s="202"/>
      <c r="F24" s="203"/>
      <c r="G24" s="372"/>
      <c r="H24" s="402"/>
    </row>
    <row r="25" spans="1:8" ht="15.6">
      <c r="A25" s="212">
        <f t="shared" si="0"/>
        <v>19</v>
      </c>
      <c r="B25" s="372"/>
      <c r="C25" s="200"/>
      <c r="D25" s="201"/>
      <c r="E25" s="202"/>
      <c r="F25" s="203"/>
      <c r="G25" s="372"/>
      <c r="H25" s="402"/>
    </row>
    <row r="26" spans="1:8" ht="15.6">
      <c r="A26" s="212">
        <f t="shared" si="0"/>
        <v>20</v>
      </c>
      <c r="B26" s="372"/>
      <c r="C26" s="200"/>
      <c r="D26" s="201"/>
      <c r="E26" s="202"/>
      <c r="F26" s="203"/>
      <c r="G26" s="372"/>
      <c r="H26" s="402"/>
    </row>
    <row r="27" spans="1:8" ht="15.6">
      <c r="A27" s="212">
        <f t="shared" si="0"/>
        <v>21</v>
      </c>
      <c r="B27" s="372"/>
      <c r="C27" s="200"/>
      <c r="D27" s="201"/>
      <c r="E27" s="202"/>
      <c r="F27" s="203"/>
      <c r="G27" s="372"/>
      <c r="H27" s="402"/>
    </row>
    <row r="28" spans="1:8" ht="15.6">
      <c r="A28" s="212">
        <f t="shared" si="0"/>
        <v>22</v>
      </c>
      <c r="B28" s="372"/>
      <c r="C28" s="200"/>
      <c r="D28" s="201"/>
      <c r="E28" s="202"/>
      <c r="F28" s="203"/>
      <c r="G28" s="372"/>
      <c r="H28" s="402"/>
    </row>
    <row r="29" spans="1:8" ht="15.6">
      <c r="A29" s="212">
        <f t="shared" si="0"/>
        <v>23</v>
      </c>
      <c r="B29" s="372"/>
      <c r="C29" s="200"/>
      <c r="D29" s="201"/>
      <c r="E29" s="202"/>
      <c r="F29" s="203"/>
      <c r="G29" s="372"/>
      <c r="H29" s="402"/>
    </row>
    <row r="30" spans="1:8" ht="15.6">
      <c r="A30" s="212">
        <f t="shared" si="0"/>
        <v>24</v>
      </c>
      <c r="B30" s="372"/>
      <c r="C30" s="200"/>
      <c r="D30" s="201"/>
      <c r="E30" s="202"/>
      <c r="F30" s="203"/>
      <c r="G30" s="372"/>
      <c r="H30" s="402"/>
    </row>
    <row r="31" spans="1:8" ht="15.6">
      <c r="A31" s="212">
        <f t="shared" si="0"/>
        <v>25</v>
      </c>
      <c r="B31" s="372"/>
      <c r="C31" s="200"/>
      <c r="D31" s="201"/>
      <c r="E31" s="202"/>
      <c r="F31" s="203"/>
      <c r="G31" s="372"/>
      <c r="H31" s="402"/>
    </row>
    <row r="32" spans="1:8" ht="15.6">
      <c r="A32" s="212">
        <f t="shared" si="0"/>
        <v>26</v>
      </c>
      <c r="B32" s="372"/>
      <c r="C32" s="200"/>
      <c r="D32" s="201"/>
      <c r="E32" s="202"/>
      <c r="F32" s="203"/>
      <c r="G32" s="372"/>
      <c r="H32" s="402"/>
    </row>
    <row r="33" spans="1:9" ht="15.6">
      <c r="A33" s="212">
        <f t="shared" si="0"/>
        <v>27</v>
      </c>
      <c r="B33" s="372"/>
      <c r="C33" s="200"/>
      <c r="D33" s="201"/>
      <c r="E33" s="202"/>
      <c r="F33" s="203"/>
      <c r="G33" s="372"/>
      <c r="H33" s="402"/>
    </row>
    <row r="34" spans="1:9" ht="15.6">
      <c r="A34" s="212">
        <f t="shared" si="0"/>
        <v>28</v>
      </c>
      <c r="B34" s="372"/>
      <c r="C34" s="200"/>
      <c r="D34" s="201"/>
      <c r="E34" s="202"/>
      <c r="F34" s="203"/>
      <c r="G34" s="372"/>
      <c r="H34" s="402"/>
    </row>
    <row r="35" spans="1:9" ht="15.6">
      <c r="A35" s="212">
        <f t="shared" si="0"/>
        <v>29</v>
      </c>
      <c r="B35" s="372"/>
      <c r="C35" s="200"/>
      <c r="D35" s="201"/>
      <c r="E35" s="202"/>
      <c r="F35" s="203"/>
      <c r="G35" s="372"/>
      <c r="H35" s="402"/>
    </row>
    <row r="36" spans="1:9" ht="15.6">
      <c r="A36" s="212">
        <f t="shared" si="0"/>
        <v>30</v>
      </c>
      <c r="B36" s="372"/>
      <c r="C36" s="200"/>
      <c r="D36" s="201"/>
      <c r="E36" s="202"/>
      <c r="F36" s="203"/>
      <c r="G36" s="372"/>
      <c r="H36" s="402"/>
    </row>
    <row r="37" spans="1:9" ht="15.6">
      <c r="A37" s="212">
        <f t="shared" si="0"/>
        <v>31</v>
      </c>
      <c r="B37" s="372"/>
      <c r="C37" s="200"/>
      <c r="D37" s="201"/>
      <c r="E37" s="202"/>
      <c r="F37" s="203"/>
      <c r="G37" s="372"/>
      <c r="H37" s="402"/>
    </row>
    <row r="38" spans="1:9" ht="15.6">
      <c r="A38" s="212">
        <f t="shared" si="0"/>
        <v>32</v>
      </c>
      <c r="B38" s="372"/>
      <c r="C38" s="200"/>
      <c r="D38" s="201"/>
      <c r="E38" s="202"/>
      <c r="F38" s="203"/>
      <c r="G38" s="372"/>
      <c r="H38" s="402"/>
    </row>
    <row r="39" spans="1:9" ht="15.6">
      <c r="A39" s="212">
        <f t="shared" si="0"/>
        <v>33</v>
      </c>
      <c r="B39" s="372"/>
      <c r="C39" s="200"/>
      <c r="D39" s="201"/>
      <c r="E39" s="202"/>
      <c r="F39" s="203"/>
      <c r="G39" s="372"/>
      <c r="H39" s="402"/>
    </row>
    <row r="40" spans="1:9" ht="15.6">
      <c r="A40" s="212">
        <f t="shared" si="0"/>
        <v>34</v>
      </c>
      <c r="B40" s="372"/>
      <c r="C40" s="200"/>
      <c r="D40" s="201"/>
      <c r="E40" s="202"/>
      <c r="F40" s="203"/>
      <c r="G40" s="372"/>
      <c r="H40" s="402"/>
    </row>
    <row r="41" spans="1:9" ht="15.6">
      <c r="A41" s="212">
        <f t="shared" si="0"/>
        <v>35</v>
      </c>
      <c r="B41" s="372"/>
      <c r="C41" s="200"/>
      <c r="D41" s="201"/>
      <c r="E41" s="204"/>
      <c r="F41" s="203">
        <f>+D41-E41</f>
        <v>0</v>
      </c>
      <c r="G41" s="372"/>
      <c r="H41" s="402"/>
    </row>
    <row r="42" spans="1:9" ht="15.6">
      <c r="A42" s="212">
        <f t="shared" si="0"/>
        <v>36</v>
      </c>
      <c r="B42" s="372"/>
      <c r="C42" s="200"/>
      <c r="D42" s="201"/>
      <c r="E42" s="205"/>
      <c r="F42" s="203">
        <f>+D42-E42</f>
        <v>0</v>
      </c>
      <c r="G42" s="372"/>
      <c r="H42" s="402"/>
    </row>
    <row r="43" spans="1:9" ht="16.2" thickBot="1">
      <c r="A43" s="213"/>
      <c r="B43" s="218" t="s">
        <v>216</v>
      </c>
      <c r="C43" s="214"/>
      <c r="D43" s="215">
        <f>SUM(D7:D42)</f>
        <v>252919.4</v>
      </c>
      <c r="E43" s="215">
        <f>SUM(E7:E42)</f>
        <v>253003.7</v>
      </c>
      <c r="F43" s="215">
        <f>SUM(F7:F42)</f>
        <v>-84.300000000017462</v>
      </c>
      <c r="G43" s="216"/>
      <c r="H43" s="217"/>
    </row>
    <row r="46" spans="1:9" ht="13.8">
      <c r="H46" s="145"/>
      <c r="I46" s="185"/>
    </row>
    <row r="47" spans="1:9" ht="13.8">
      <c r="H47" s="145"/>
    </row>
    <row r="48" spans="1:9" ht="13.8">
      <c r="B48" s="105" t="str">
        <f>""&amp;(Шаблон!B1)&amp;"нинг Ички Аудит"</f>
        <v>АТ "Халқ банк"нинг Ички Аудит</v>
      </c>
      <c r="C48" s="196"/>
      <c r="F48" s="145"/>
      <c r="G48" s="145"/>
      <c r="H48" s="145"/>
    </row>
    <row r="49" spans="1:7" ht="13.8">
      <c r="B49" s="6" t="s">
        <v>493</v>
      </c>
      <c r="C49" s="196"/>
      <c r="F49" s="145"/>
      <c r="G49" s="105" t="str">
        <f>Шаблон!B13</f>
        <v>А.Ҳазратқулов</v>
      </c>
    </row>
    <row r="50" spans="1:7" ht="13.8">
      <c r="B50" s="105"/>
      <c r="C50" s="196"/>
      <c r="F50" s="145"/>
      <c r="G50" s="105"/>
    </row>
    <row r="51" spans="1:7" ht="13.8">
      <c r="B51" s="105" t="str">
        <f>""&amp;(Шаблон!B1)&amp;" "&amp;(Шаблон!B2)&amp;" вилоят бошқармаси"</f>
        <v>АТ "Халқ банк" Фаргона вилояти вилоят бошқармаси</v>
      </c>
      <c r="C51" s="196"/>
      <c r="F51" s="145"/>
      <c r="G51" s="145"/>
    </row>
    <row r="52" spans="1:7" s="145" customFormat="1" ht="13.8">
      <c r="A52" s="105"/>
      <c r="B52" s="105" t="str">
        <f>""&amp;(Шаблон!B3)&amp;" филиал бошқарувчиси в.в.б.:"</f>
        <v>Бешариқ филиали филиал бошқарувчиси в.в.б.:</v>
      </c>
      <c r="C52" s="196"/>
      <c r="D52" s="196"/>
      <c r="E52" s="196"/>
      <c r="G52" s="105" t="str">
        <f>Шаблон!B5</f>
        <v>_____________</v>
      </c>
    </row>
    <row r="53" spans="1:7" ht="13.8">
      <c r="B53" s="105"/>
      <c r="C53" s="196"/>
      <c r="F53" s="145"/>
      <c r="G53" s="145"/>
    </row>
    <row r="54" spans="1:7" ht="13.8">
      <c r="B54" s="105" t="s">
        <v>4</v>
      </c>
      <c r="C54" s="145"/>
      <c r="D54" s="145"/>
      <c r="E54" s="145"/>
      <c r="F54" s="145"/>
      <c r="G54" s="105" t="str">
        <f>Шаблон!B8</f>
        <v>_____________</v>
      </c>
    </row>
    <row r="55" spans="1:7">
      <c r="C55" s="196"/>
    </row>
    <row r="56" spans="1:7">
      <c r="C56" s="196"/>
    </row>
  </sheetData>
  <mergeCells count="2">
    <mergeCell ref="B2:H2"/>
    <mergeCell ref="B3:H3"/>
  </mergeCells>
  <phoneticPr fontId="41" type="noConversion"/>
  <pageMargins left="0.70866141732283472" right="0.70866141732283472" top="0.74803149606299213" bottom="0.74803149606299213" header="0.31496062992125984" footer="0.31496062992125984"/>
  <pageSetup paperSize="9" scale="5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pageSetUpPr fitToPage="1"/>
  </sheetPr>
  <dimension ref="A1:H246"/>
  <sheetViews>
    <sheetView topLeftCell="A40" zoomScale="73" zoomScaleNormal="73" workbookViewId="0">
      <selection activeCell="F15" sqref="F15"/>
    </sheetView>
  </sheetViews>
  <sheetFormatPr defaultColWidth="9.109375" defaultRowHeight="13.8"/>
  <cols>
    <col min="1" max="1" width="13.44140625" style="145" customWidth="1"/>
    <col min="2" max="7" width="22.88671875" style="145" customWidth="1"/>
    <col min="8" max="8" width="15.88671875" style="145" bestFit="1" customWidth="1"/>
    <col min="9" max="16384" width="9.109375" style="145"/>
  </cols>
  <sheetData>
    <row r="1" spans="1:7">
      <c r="G1" s="82" t="s">
        <v>170</v>
      </c>
    </row>
    <row r="2" spans="1:7" ht="39" customHeight="1">
      <c r="A2" s="1020" t="str">
        <f>""&amp;(Шаблон!B1)&amp;"нинг "&amp;(Шаблон!B2)&amp;" вилоят бошқармаси "&amp;(Шаблон!B3)&amp;" филиалини "&amp;(Шаблон!B15)&amp;" ҳолатидаги балансига ички аудит текшируви натижасида берилган"</f>
        <v>АТ "Халқ банк"нинг Фаргона вилояти вилоят бошқармаси Бешариқ филиали филиалини 2024 йил 1 январ ҳолатидаги балансига ички аудит текшируви натижасида берилган</v>
      </c>
      <c r="B2" s="1020"/>
      <c r="C2" s="1020"/>
      <c r="D2" s="1020"/>
      <c r="E2" s="1020"/>
      <c r="F2" s="1020"/>
      <c r="G2" s="1020"/>
    </row>
    <row r="3" spans="1:7" ht="16.5" customHeight="1">
      <c r="A3" s="1192" t="s">
        <v>296</v>
      </c>
      <c r="B3" s="1192"/>
      <c r="C3" s="1192"/>
      <c r="D3" s="1192"/>
      <c r="E3" s="1192"/>
      <c r="F3" s="1192"/>
      <c r="G3" s="1192"/>
    </row>
    <row r="4" spans="1:7" ht="14.4" thickBot="1"/>
    <row r="5" spans="1:7" s="105" customFormat="1" ht="42" customHeight="1">
      <c r="A5" s="1224" t="s">
        <v>297</v>
      </c>
      <c r="B5" s="1226" t="str">
        <f>""&amp;(Шаблон!B15)&amp;" ҳолатига қолдиқ"</f>
        <v>2024 йил 1 январ ҳолатига қолдиқ</v>
      </c>
      <c r="C5" s="1227"/>
      <c r="D5" s="1226" t="s">
        <v>507</v>
      </c>
      <c r="E5" s="1228"/>
      <c r="F5" s="1226" t="s">
        <v>508</v>
      </c>
      <c r="G5" s="1228"/>
    </row>
    <row r="6" spans="1:7" s="105" customFormat="1" ht="21.75" customHeight="1" thickBot="1">
      <c r="A6" s="1225"/>
      <c r="B6" s="424" t="s">
        <v>505</v>
      </c>
      <c r="C6" s="425" t="s">
        <v>506</v>
      </c>
      <c r="D6" s="424" t="s">
        <v>156</v>
      </c>
      <c r="E6" s="426" t="s">
        <v>157</v>
      </c>
      <c r="F6" s="424" t="s">
        <v>505</v>
      </c>
      <c r="G6" s="426" t="s">
        <v>506</v>
      </c>
    </row>
    <row r="7" spans="1:7">
      <c r="A7" s="427" t="s">
        <v>509</v>
      </c>
      <c r="B7" s="428"/>
      <c r="C7" s="428"/>
      <c r="D7" s="428"/>
      <c r="E7" s="428"/>
      <c r="F7" s="428"/>
      <c r="G7" s="429"/>
    </row>
    <row r="8" spans="1:7">
      <c r="A8" s="469" t="s">
        <v>550</v>
      </c>
      <c r="B8" s="450">
        <v>0</v>
      </c>
      <c r="C8" s="450">
        <v>0</v>
      </c>
      <c r="D8" s="430"/>
      <c r="E8" s="430"/>
      <c r="F8" s="450">
        <v>0</v>
      </c>
      <c r="G8" s="450">
        <v>0</v>
      </c>
    </row>
    <row r="9" spans="1:7">
      <c r="A9" s="469" t="s">
        <v>552</v>
      </c>
      <c r="B9" s="450">
        <v>0</v>
      </c>
      <c r="C9" s="450">
        <v>0</v>
      </c>
      <c r="D9" s="430"/>
      <c r="E9" s="430"/>
      <c r="F9" s="450">
        <v>0</v>
      </c>
      <c r="G9" s="450">
        <v>0</v>
      </c>
    </row>
    <row r="10" spans="1:7">
      <c r="A10" s="469" t="s">
        <v>553</v>
      </c>
      <c r="B10" s="450">
        <v>0</v>
      </c>
      <c r="C10" s="450">
        <v>0</v>
      </c>
      <c r="D10" s="430"/>
      <c r="E10" s="430"/>
      <c r="F10" s="450">
        <v>0</v>
      </c>
      <c r="G10" s="450">
        <v>0</v>
      </c>
    </row>
    <row r="11" spans="1:7">
      <c r="A11" s="469" t="s">
        <v>554</v>
      </c>
      <c r="B11" s="450">
        <v>0</v>
      </c>
      <c r="C11" s="450">
        <v>0</v>
      </c>
      <c r="D11" s="430"/>
      <c r="E11" s="430"/>
      <c r="F11" s="450">
        <v>0</v>
      </c>
      <c r="G11" s="450">
        <v>0</v>
      </c>
    </row>
    <row r="12" spans="1:7">
      <c r="A12" s="469" t="s">
        <v>75</v>
      </c>
      <c r="B12" s="450">
        <v>0</v>
      </c>
      <c r="C12" s="450">
        <v>0</v>
      </c>
      <c r="D12" s="430"/>
      <c r="E12" s="430"/>
      <c r="F12" s="450">
        <v>0</v>
      </c>
      <c r="G12" s="450">
        <v>0</v>
      </c>
    </row>
    <row r="13" spans="1:7">
      <c r="A13" s="469" t="s">
        <v>558</v>
      </c>
      <c r="B13" s="450">
        <v>0</v>
      </c>
      <c r="C13" s="450">
        <v>0</v>
      </c>
      <c r="D13" s="430"/>
      <c r="E13" s="430"/>
      <c r="F13" s="450">
        <v>0</v>
      </c>
      <c r="G13" s="450">
        <v>0</v>
      </c>
    </row>
    <row r="14" spans="1:7">
      <c r="A14" s="469" t="s">
        <v>559</v>
      </c>
      <c r="B14" s="450">
        <v>0</v>
      </c>
      <c r="C14" s="450">
        <v>0</v>
      </c>
      <c r="D14" s="430"/>
      <c r="E14" s="430"/>
      <c r="F14" s="450">
        <v>0</v>
      </c>
      <c r="G14" s="450">
        <v>0</v>
      </c>
    </row>
    <row r="15" spans="1:7">
      <c r="A15" s="469" t="s">
        <v>560</v>
      </c>
      <c r="B15" s="450">
        <v>0</v>
      </c>
      <c r="C15" s="450">
        <v>0</v>
      </c>
      <c r="D15" s="430"/>
      <c r="E15" s="430"/>
      <c r="F15" s="450">
        <v>0</v>
      </c>
      <c r="G15" s="450">
        <v>0</v>
      </c>
    </row>
    <row r="16" spans="1:7">
      <c r="A16" s="469" t="s">
        <v>565</v>
      </c>
      <c r="B16" s="450">
        <v>0</v>
      </c>
      <c r="C16" s="450">
        <v>0</v>
      </c>
      <c r="D16" s="430"/>
      <c r="E16" s="430"/>
      <c r="F16" s="450">
        <v>0</v>
      </c>
      <c r="G16" s="450">
        <v>0</v>
      </c>
    </row>
    <row r="17" spans="1:7">
      <c r="A17" s="469" t="s">
        <v>566</v>
      </c>
      <c r="B17" s="450">
        <v>0</v>
      </c>
      <c r="C17" s="450">
        <v>0</v>
      </c>
      <c r="D17" s="430"/>
      <c r="E17" s="430"/>
      <c r="F17" s="450">
        <v>0</v>
      </c>
      <c r="G17" s="450">
        <v>0</v>
      </c>
    </row>
    <row r="18" spans="1:7">
      <c r="A18" s="469" t="s">
        <v>567</v>
      </c>
      <c r="B18" s="450">
        <v>0</v>
      </c>
      <c r="C18" s="450">
        <v>0</v>
      </c>
      <c r="D18" s="430"/>
      <c r="E18" s="430"/>
      <c r="F18" s="450">
        <v>0</v>
      </c>
      <c r="G18" s="450">
        <v>0</v>
      </c>
    </row>
    <row r="19" spans="1:7">
      <c r="A19" s="469" t="s">
        <v>468</v>
      </c>
      <c r="B19" s="450">
        <v>0</v>
      </c>
      <c r="C19" s="450">
        <v>0</v>
      </c>
      <c r="D19" s="430"/>
      <c r="E19" s="430"/>
      <c r="F19" s="450">
        <v>0</v>
      </c>
      <c r="G19" s="450">
        <v>0</v>
      </c>
    </row>
    <row r="20" spans="1:7">
      <c r="A20" s="469" t="s">
        <v>569</v>
      </c>
      <c r="B20" s="450">
        <v>0</v>
      </c>
      <c r="C20" s="450">
        <v>0</v>
      </c>
      <c r="D20" s="430"/>
      <c r="E20" s="430"/>
      <c r="F20" s="450">
        <v>0</v>
      </c>
      <c r="G20" s="450">
        <v>0</v>
      </c>
    </row>
    <row r="21" spans="1:7">
      <c r="A21" s="469" t="s">
        <v>397</v>
      </c>
      <c r="B21" s="450">
        <v>0</v>
      </c>
      <c r="C21" s="450">
        <v>0</v>
      </c>
      <c r="D21" s="430"/>
      <c r="E21" s="430"/>
      <c r="F21" s="450">
        <v>0</v>
      </c>
      <c r="G21" s="450">
        <v>0</v>
      </c>
    </row>
    <row r="22" spans="1:7">
      <c r="A22" s="469" t="s">
        <v>708</v>
      </c>
      <c r="B22" s="450">
        <v>0</v>
      </c>
      <c r="C22" s="450">
        <v>0</v>
      </c>
      <c r="D22" s="430"/>
      <c r="E22" s="430"/>
      <c r="F22" s="450">
        <v>0</v>
      </c>
      <c r="G22" s="450">
        <v>0</v>
      </c>
    </row>
    <row r="23" spans="1:7">
      <c r="A23" s="469" t="s">
        <v>602</v>
      </c>
      <c r="B23" s="450">
        <v>0</v>
      </c>
      <c r="C23" s="450">
        <v>0</v>
      </c>
      <c r="D23" s="430"/>
      <c r="E23" s="430"/>
      <c r="F23" s="450">
        <v>0</v>
      </c>
      <c r="G23" s="450">
        <v>0</v>
      </c>
    </row>
    <row r="24" spans="1:7">
      <c r="A24" s="469" t="s">
        <v>570</v>
      </c>
      <c r="B24" s="450">
        <v>0</v>
      </c>
      <c r="C24" s="450">
        <v>0</v>
      </c>
      <c r="D24" s="430"/>
      <c r="E24" s="430"/>
      <c r="F24" s="450">
        <v>0</v>
      </c>
      <c r="G24" s="450">
        <v>0</v>
      </c>
    </row>
    <row r="25" spans="1:7">
      <c r="A25" s="469" t="s">
        <v>572</v>
      </c>
      <c r="B25" s="450">
        <v>0</v>
      </c>
      <c r="C25" s="450">
        <v>0</v>
      </c>
      <c r="D25" s="430"/>
      <c r="E25" s="430"/>
      <c r="F25" s="450">
        <v>0</v>
      </c>
      <c r="G25" s="450">
        <v>0</v>
      </c>
    </row>
    <row r="26" spans="1:7">
      <c r="A26" s="469" t="s">
        <v>573</v>
      </c>
      <c r="B26" s="450">
        <v>0</v>
      </c>
      <c r="C26" s="450">
        <v>0</v>
      </c>
      <c r="D26" s="430"/>
      <c r="E26" s="430"/>
      <c r="F26" s="450">
        <v>0</v>
      </c>
      <c r="G26" s="450">
        <v>0</v>
      </c>
    </row>
    <row r="27" spans="1:7">
      <c r="A27" s="469" t="s">
        <v>575</v>
      </c>
      <c r="B27" s="450">
        <v>0</v>
      </c>
      <c r="C27" s="450">
        <v>0</v>
      </c>
      <c r="D27" s="430"/>
      <c r="E27" s="430"/>
      <c r="F27" s="450">
        <v>0</v>
      </c>
      <c r="G27" s="450">
        <v>0</v>
      </c>
    </row>
    <row r="28" spans="1:7">
      <c r="A28" s="469" t="s">
        <v>577</v>
      </c>
      <c r="B28" s="450">
        <v>0</v>
      </c>
      <c r="C28" s="450">
        <v>0</v>
      </c>
      <c r="D28" s="430"/>
      <c r="E28" s="430"/>
      <c r="F28" s="450">
        <v>0</v>
      </c>
      <c r="G28" s="450">
        <v>0</v>
      </c>
    </row>
    <row r="29" spans="1:7">
      <c r="A29" s="469" t="s">
        <v>398</v>
      </c>
      <c r="B29" s="450">
        <v>0</v>
      </c>
      <c r="C29" s="450">
        <v>0</v>
      </c>
      <c r="D29" s="430"/>
      <c r="E29" s="430"/>
      <c r="F29" s="450">
        <v>0</v>
      </c>
      <c r="G29" s="450">
        <v>0</v>
      </c>
    </row>
    <row r="30" spans="1:7">
      <c r="A30" s="469" t="s">
        <v>399</v>
      </c>
      <c r="B30" s="450">
        <v>0</v>
      </c>
      <c r="C30" s="450">
        <v>0</v>
      </c>
      <c r="D30" s="430"/>
      <c r="E30" s="430"/>
      <c r="F30" s="450">
        <v>0</v>
      </c>
      <c r="G30" s="450">
        <v>0</v>
      </c>
    </row>
    <row r="31" spans="1:7">
      <c r="A31" s="469" t="s">
        <v>709</v>
      </c>
      <c r="B31" s="450">
        <v>0</v>
      </c>
      <c r="C31" s="450">
        <v>0</v>
      </c>
      <c r="D31" s="430"/>
      <c r="E31" s="430"/>
      <c r="F31" s="450">
        <v>0</v>
      </c>
      <c r="G31" s="450">
        <v>0</v>
      </c>
    </row>
    <row r="32" spans="1:7">
      <c r="A32" s="469" t="s">
        <v>603</v>
      </c>
      <c r="B32" s="450">
        <v>0</v>
      </c>
      <c r="C32" s="450">
        <v>0</v>
      </c>
      <c r="D32" s="430"/>
      <c r="E32" s="430"/>
      <c r="F32" s="450">
        <v>0</v>
      </c>
      <c r="G32" s="450">
        <v>0</v>
      </c>
    </row>
    <row r="33" spans="1:7">
      <c r="A33" s="469" t="s">
        <v>578</v>
      </c>
      <c r="B33" s="450">
        <v>0</v>
      </c>
      <c r="C33" s="450">
        <v>0</v>
      </c>
      <c r="D33" s="430"/>
      <c r="E33" s="430"/>
      <c r="F33" s="450">
        <v>0</v>
      </c>
      <c r="G33" s="450">
        <v>0</v>
      </c>
    </row>
    <row r="34" spans="1:7">
      <c r="A34" s="469" t="s">
        <v>579</v>
      </c>
      <c r="B34" s="450">
        <v>0</v>
      </c>
      <c r="C34" s="450">
        <v>0</v>
      </c>
      <c r="D34" s="430"/>
      <c r="E34" s="430"/>
      <c r="F34" s="450">
        <v>0</v>
      </c>
      <c r="G34" s="450">
        <v>0</v>
      </c>
    </row>
    <row r="35" spans="1:7">
      <c r="A35" s="469" t="s">
        <v>580</v>
      </c>
      <c r="B35" s="450">
        <v>0</v>
      </c>
      <c r="C35" s="450">
        <v>0</v>
      </c>
      <c r="D35" s="430"/>
      <c r="E35" s="430"/>
      <c r="F35" s="450">
        <v>0</v>
      </c>
      <c r="G35" s="450">
        <v>0</v>
      </c>
    </row>
    <row r="36" spans="1:7">
      <c r="A36" s="469" t="s">
        <v>581</v>
      </c>
      <c r="B36" s="450">
        <v>0</v>
      </c>
      <c r="C36" s="450">
        <v>0</v>
      </c>
      <c r="D36" s="430"/>
      <c r="E36" s="430"/>
      <c r="F36" s="450">
        <v>0</v>
      </c>
      <c r="G36" s="450">
        <v>0</v>
      </c>
    </row>
    <row r="37" spans="1:7">
      <c r="A37" s="469" t="s">
        <v>582</v>
      </c>
      <c r="B37" s="450">
        <v>0</v>
      </c>
      <c r="C37" s="450">
        <v>0</v>
      </c>
      <c r="D37" s="430"/>
      <c r="E37" s="430"/>
      <c r="F37" s="450">
        <v>0</v>
      </c>
      <c r="G37" s="450">
        <v>0</v>
      </c>
    </row>
    <row r="38" spans="1:7">
      <c r="A38" s="469" t="s">
        <v>495</v>
      </c>
      <c r="B38" s="450">
        <v>0</v>
      </c>
      <c r="C38" s="450">
        <v>0</v>
      </c>
      <c r="D38" s="430"/>
      <c r="E38" s="430"/>
      <c r="F38" s="450">
        <v>0</v>
      </c>
      <c r="G38" s="450">
        <v>0</v>
      </c>
    </row>
    <row r="39" spans="1:7">
      <c r="A39" s="469" t="s">
        <v>583</v>
      </c>
      <c r="B39" s="450">
        <v>0</v>
      </c>
      <c r="C39" s="450">
        <v>0</v>
      </c>
      <c r="D39" s="430"/>
      <c r="E39" s="430"/>
      <c r="F39" s="450">
        <v>0</v>
      </c>
      <c r="G39" s="450">
        <v>0</v>
      </c>
    </row>
    <row r="40" spans="1:7">
      <c r="A40" s="469" t="s">
        <v>584</v>
      </c>
      <c r="B40" s="450">
        <v>0</v>
      </c>
      <c r="C40" s="450">
        <v>0</v>
      </c>
      <c r="D40" s="430"/>
      <c r="E40" s="430"/>
      <c r="F40" s="450">
        <v>0</v>
      </c>
      <c r="G40" s="450">
        <v>0</v>
      </c>
    </row>
    <row r="41" spans="1:7">
      <c r="A41" s="469" t="s">
        <v>585</v>
      </c>
      <c r="B41" s="450">
        <v>0</v>
      </c>
      <c r="C41" s="450">
        <v>0</v>
      </c>
      <c r="D41" s="430"/>
      <c r="E41" s="430"/>
      <c r="F41" s="450">
        <v>0</v>
      </c>
      <c r="G41" s="450">
        <v>0</v>
      </c>
    </row>
    <row r="42" spans="1:7">
      <c r="A42" s="469" t="s">
        <v>586</v>
      </c>
      <c r="B42" s="450">
        <v>0</v>
      </c>
      <c r="C42" s="450">
        <v>0</v>
      </c>
      <c r="D42" s="430"/>
      <c r="E42" s="430"/>
      <c r="F42" s="450">
        <v>0</v>
      </c>
      <c r="G42" s="450">
        <v>0</v>
      </c>
    </row>
    <row r="43" spans="1:7">
      <c r="A43" s="469" t="s">
        <v>587</v>
      </c>
      <c r="B43" s="450">
        <v>0</v>
      </c>
      <c r="C43" s="450">
        <v>0</v>
      </c>
      <c r="D43" s="430"/>
      <c r="E43" s="430"/>
      <c r="F43" s="450">
        <v>0</v>
      </c>
      <c r="G43" s="450">
        <v>0</v>
      </c>
    </row>
    <row r="44" spans="1:7">
      <c r="A44" s="469" t="s">
        <v>589</v>
      </c>
      <c r="B44" s="450">
        <v>0</v>
      </c>
      <c r="C44" s="450">
        <v>0</v>
      </c>
      <c r="D44" s="430"/>
      <c r="E44" s="430"/>
      <c r="F44" s="450">
        <v>0</v>
      </c>
      <c r="G44" s="450">
        <v>0</v>
      </c>
    </row>
    <row r="45" spans="1:7">
      <c r="A45" s="469" t="s">
        <v>590</v>
      </c>
      <c r="B45" s="450">
        <v>0</v>
      </c>
      <c r="C45" s="450">
        <v>0</v>
      </c>
      <c r="D45" s="430"/>
      <c r="E45" s="430"/>
      <c r="F45" s="450">
        <v>0</v>
      </c>
      <c r="G45" s="450">
        <v>0</v>
      </c>
    </row>
    <row r="46" spans="1:7">
      <c r="A46" s="469" t="s">
        <v>591</v>
      </c>
      <c r="B46" s="450">
        <v>0</v>
      </c>
      <c r="C46" s="450">
        <v>0</v>
      </c>
      <c r="D46" s="430"/>
      <c r="E46" s="430"/>
      <c r="F46" s="450">
        <v>0</v>
      </c>
      <c r="G46" s="450">
        <v>0</v>
      </c>
    </row>
    <row r="47" spans="1:7">
      <c r="A47" s="469" t="s">
        <v>592</v>
      </c>
      <c r="B47" s="450">
        <v>0</v>
      </c>
      <c r="C47" s="450">
        <v>0</v>
      </c>
      <c r="D47" s="430"/>
      <c r="E47" s="430"/>
      <c r="F47" s="450">
        <v>0</v>
      </c>
      <c r="G47" s="450">
        <v>0</v>
      </c>
    </row>
    <row r="48" spans="1:7">
      <c r="A48" s="469" t="s">
        <v>593</v>
      </c>
      <c r="B48" s="450">
        <v>0</v>
      </c>
      <c r="C48" s="450">
        <v>0</v>
      </c>
      <c r="D48" s="430"/>
      <c r="E48" s="430"/>
      <c r="F48" s="450">
        <v>0</v>
      </c>
      <c r="G48" s="450">
        <v>0</v>
      </c>
    </row>
    <row r="49" spans="1:7">
      <c r="A49" s="469" t="s">
        <v>400</v>
      </c>
      <c r="B49" s="450">
        <v>0</v>
      </c>
      <c r="C49" s="450">
        <v>0</v>
      </c>
      <c r="D49" s="430"/>
      <c r="E49" s="430"/>
      <c r="F49" s="450">
        <v>0</v>
      </c>
      <c r="G49" s="450">
        <v>0</v>
      </c>
    </row>
    <row r="50" spans="1:7">
      <c r="A50" s="469" t="s">
        <v>401</v>
      </c>
      <c r="B50" s="450">
        <v>0</v>
      </c>
      <c r="C50" s="450">
        <v>0</v>
      </c>
      <c r="D50" s="430"/>
      <c r="E50" s="430"/>
      <c r="F50" s="450">
        <v>0</v>
      </c>
      <c r="G50" s="450">
        <v>0</v>
      </c>
    </row>
    <row r="51" spans="1:7">
      <c r="A51" s="469" t="s">
        <v>594</v>
      </c>
      <c r="B51" s="450">
        <v>0</v>
      </c>
      <c r="C51" s="450">
        <v>0</v>
      </c>
      <c r="D51" s="430"/>
      <c r="E51" s="430"/>
      <c r="F51" s="450">
        <v>0</v>
      </c>
      <c r="G51" s="450">
        <v>0</v>
      </c>
    </row>
    <row r="52" spans="1:7">
      <c r="A52" s="469" t="s">
        <v>595</v>
      </c>
      <c r="B52" s="450">
        <v>0</v>
      </c>
      <c r="C52" s="450">
        <v>0</v>
      </c>
      <c r="D52" s="430"/>
      <c r="E52" s="430"/>
      <c r="F52" s="450">
        <v>0</v>
      </c>
      <c r="G52" s="450">
        <v>0</v>
      </c>
    </row>
    <row r="53" spans="1:7">
      <c r="A53" s="469" t="s">
        <v>596</v>
      </c>
      <c r="B53" s="450">
        <v>0</v>
      </c>
      <c r="C53" s="450">
        <v>0</v>
      </c>
      <c r="D53" s="430"/>
      <c r="E53" s="430"/>
      <c r="F53" s="450">
        <v>0</v>
      </c>
      <c r="G53" s="450">
        <v>0</v>
      </c>
    </row>
    <row r="54" spans="1:7">
      <c r="A54" s="469" t="s">
        <v>710</v>
      </c>
      <c r="B54" s="450">
        <v>0</v>
      </c>
      <c r="C54" s="450">
        <v>0</v>
      </c>
      <c r="D54" s="430"/>
      <c r="E54" s="430"/>
      <c r="F54" s="450">
        <v>0</v>
      </c>
      <c r="G54" s="450">
        <v>0</v>
      </c>
    </row>
    <row r="55" spans="1:7">
      <c r="A55" s="469" t="s">
        <v>598</v>
      </c>
      <c r="B55" s="450">
        <v>0</v>
      </c>
      <c r="C55" s="450">
        <v>0</v>
      </c>
      <c r="D55" s="430"/>
      <c r="E55" s="430"/>
      <c r="F55" s="450">
        <v>0</v>
      </c>
      <c r="G55" s="450">
        <v>0</v>
      </c>
    </row>
    <row r="56" spans="1:7">
      <c r="A56" s="469" t="s">
        <v>599</v>
      </c>
      <c r="B56" s="450">
        <v>0</v>
      </c>
      <c r="C56" s="450">
        <v>0</v>
      </c>
      <c r="D56" s="430"/>
      <c r="E56" s="430"/>
      <c r="F56" s="450">
        <v>0</v>
      </c>
      <c r="G56" s="450">
        <v>0</v>
      </c>
    </row>
    <row r="57" spans="1:7">
      <c r="A57" s="469" t="s">
        <v>600</v>
      </c>
      <c r="B57" s="450">
        <v>0</v>
      </c>
      <c r="C57" s="450">
        <v>0</v>
      </c>
      <c r="D57" s="430"/>
      <c r="E57" s="430"/>
      <c r="F57" s="450">
        <v>0</v>
      </c>
      <c r="G57" s="450">
        <v>0</v>
      </c>
    </row>
    <row r="58" spans="1:7">
      <c r="A58" s="469" t="s">
        <v>601</v>
      </c>
      <c r="B58" s="450">
        <v>0</v>
      </c>
      <c r="C58" s="450">
        <v>0</v>
      </c>
      <c r="D58" s="430"/>
      <c r="E58" s="430"/>
      <c r="F58" s="450">
        <v>0</v>
      </c>
      <c r="G58" s="450">
        <v>0</v>
      </c>
    </row>
    <row r="59" spans="1:7">
      <c r="A59" s="469" t="s">
        <v>402</v>
      </c>
      <c r="B59" s="450">
        <v>0</v>
      </c>
      <c r="C59" s="450">
        <v>0</v>
      </c>
      <c r="D59" s="430"/>
      <c r="E59" s="430"/>
      <c r="F59" s="450">
        <v>0</v>
      </c>
      <c r="G59" s="450">
        <v>0</v>
      </c>
    </row>
    <row r="60" spans="1:7">
      <c r="A60" s="469" t="s">
        <v>619</v>
      </c>
      <c r="B60" s="450">
        <v>0</v>
      </c>
      <c r="C60" s="450">
        <v>0</v>
      </c>
      <c r="D60" s="430"/>
      <c r="E60" s="430"/>
      <c r="F60" s="450">
        <v>0</v>
      </c>
      <c r="G60" s="450">
        <v>0</v>
      </c>
    </row>
    <row r="61" spans="1:7">
      <c r="A61" s="469" t="s">
        <v>621</v>
      </c>
      <c r="B61" s="450">
        <v>0</v>
      </c>
      <c r="C61" s="450">
        <v>0</v>
      </c>
      <c r="D61" s="430"/>
      <c r="E61" s="430"/>
      <c r="F61" s="450">
        <v>0</v>
      </c>
      <c r="G61" s="450">
        <v>0</v>
      </c>
    </row>
    <row r="62" spans="1:7">
      <c r="A62" s="469" t="s">
        <v>403</v>
      </c>
      <c r="B62" s="450">
        <v>0</v>
      </c>
      <c r="C62" s="450">
        <v>0</v>
      </c>
      <c r="D62" s="430"/>
      <c r="E62" s="430"/>
      <c r="F62" s="450">
        <v>0</v>
      </c>
      <c r="G62" s="450">
        <v>0</v>
      </c>
    </row>
    <row r="63" spans="1:7">
      <c r="A63" s="469" t="s">
        <v>604</v>
      </c>
      <c r="B63" s="450">
        <v>0</v>
      </c>
      <c r="C63" s="450">
        <v>0</v>
      </c>
      <c r="D63" s="430"/>
      <c r="E63" s="430"/>
      <c r="F63" s="450">
        <v>0</v>
      </c>
      <c r="G63" s="450">
        <v>0</v>
      </c>
    </row>
    <row r="64" spans="1:7">
      <c r="A64" s="469" t="s">
        <v>404</v>
      </c>
      <c r="B64" s="450">
        <v>0</v>
      </c>
      <c r="C64" s="450">
        <v>0</v>
      </c>
      <c r="D64" s="430"/>
      <c r="E64" s="430"/>
      <c r="F64" s="450">
        <v>0</v>
      </c>
      <c r="G64" s="450">
        <v>0</v>
      </c>
    </row>
    <row r="65" spans="1:7" ht="14.4" thickBot="1">
      <c r="A65" s="432" t="s">
        <v>510</v>
      </c>
      <c r="B65" s="433">
        <f t="shared" ref="B65:G65" si="0">SUM(B8:B64)</f>
        <v>0</v>
      </c>
      <c r="C65" s="433">
        <f t="shared" si="0"/>
        <v>0</v>
      </c>
      <c r="D65" s="433">
        <f t="shared" si="0"/>
        <v>0</v>
      </c>
      <c r="E65" s="433">
        <f t="shared" si="0"/>
        <v>0</v>
      </c>
      <c r="F65" s="433">
        <f t="shared" si="0"/>
        <v>0</v>
      </c>
      <c r="G65" s="434">
        <f t="shared" si="0"/>
        <v>0</v>
      </c>
    </row>
    <row r="66" spans="1:7">
      <c r="A66" s="435" t="s">
        <v>511</v>
      </c>
      <c r="B66" s="436"/>
      <c r="C66" s="436"/>
      <c r="D66" s="436"/>
      <c r="E66" s="436"/>
      <c r="F66" s="436"/>
      <c r="G66" s="437"/>
    </row>
    <row r="67" spans="1:7" ht="14.4">
      <c r="A67" s="469" t="s">
        <v>711</v>
      </c>
      <c r="B67" s="450">
        <v>0</v>
      </c>
      <c r="C67" s="450">
        <v>0</v>
      </c>
      <c r="D67" s="430"/>
      <c r="E67" s="430"/>
      <c r="F67" s="466">
        <v>0</v>
      </c>
      <c r="G67" s="450">
        <v>0</v>
      </c>
    </row>
    <row r="68" spans="1:7" ht="14.4">
      <c r="A68" s="469" t="s">
        <v>623</v>
      </c>
      <c r="B68" s="450">
        <v>0</v>
      </c>
      <c r="C68" s="450">
        <v>0</v>
      </c>
      <c r="D68" s="430"/>
      <c r="E68" s="430"/>
      <c r="F68" s="466">
        <v>0</v>
      </c>
      <c r="G68" s="450">
        <v>0</v>
      </c>
    </row>
    <row r="69" spans="1:7" ht="14.4">
      <c r="A69" s="469" t="s">
        <v>624</v>
      </c>
      <c r="B69" s="450">
        <v>0</v>
      </c>
      <c r="C69" s="450">
        <v>0</v>
      </c>
      <c r="D69" s="430"/>
      <c r="E69" s="430"/>
      <c r="F69" s="466">
        <v>0</v>
      </c>
      <c r="G69" s="450">
        <v>0</v>
      </c>
    </row>
    <row r="70" spans="1:7" s="431" customFormat="1" ht="14.4">
      <c r="A70" s="469" t="s">
        <v>626</v>
      </c>
      <c r="B70" s="450">
        <v>0</v>
      </c>
      <c r="C70" s="450">
        <v>0</v>
      </c>
      <c r="D70" s="430"/>
      <c r="E70" s="430"/>
      <c r="F70" s="466">
        <v>0</v>
      </c>
      <c r="G70" s="450">
        <v>0</v>
      </c>
    </row>
    <row r="71" spans="1:7" ht="14.4">
      <c r="A71" s="469" t="s">
        <v>627</v>
      </c>
      <c r="B71" s="450">
        <v>0</v>
      </c>
      <c r="C71" s="450">
        <v>0</v>
      </c>
      <c r="D71" s="430"/>
      <c r="E71" s="430"/>
      <c r="F71" s="466">
        <v>0</v>
      </c>
      <c r="G71" s="450">
        <v>0</v>
      </c>
    </row>
    <row r="72" spans="1:7" s="431" customFormat="1" ht="14.4">
      <c r="A72" s="469" t="s">
        <v>628</v>
      </c>
      <c r="B72" s="450">
        <v>0</v>
      </c>
      <c r="C72" s="450">
        <v>0</v>
      </c>
      <c r="D72" s="430"/>
      <c r="E72" s="430"/>
      <c r="F72" s="466">
        <v>0</v>
      </c>
      <c r="G72" s="450">
        <v>0</v>
      </c>
    </row>
    <row r="73" spans="1:7" ht="14.4">
      <c r="A73" s="469" t="s">
        <v>605</v>
      </c>
      <c r="B73" s="450">
        <v>0</v>
      </c>
      <c r="C73" s="450">
        <v>0</v>
      </c>
      <c r="D73" s="430"/>
      <c r="E73" s="430"/>
      <c r="F73" s="466">
        <v>0</v>
      </c>
      <c r="G73" s="450">
        <v>0</v>
      </c>
    </row>
    <row r="74" spans="1:7" ht="14.4">
      <c r="A74" s="469" t="s">
        <v>629</v>
      </c>
      <c r="B74" s="450">
        <v>0</v>
      </c>
      <c r="C74" s="450">
        <v>0</v>
      </c>
      <c r="D74" s="430"/>
      <c r="E74" s="430"/>
      <c r="F74" s="466">
        <v>0</v>
      </c>
      <c r="G74" s="450">
        <v>0</v>
      </c>
    </row>
    <row r="75" spans="1:7" ht="14.4">
      <c r="A75" s="469" t="s">
        <v>630</v>
      </c>
      <c r="B75" s="450">
        <v>0</v>
      </c>
      <c r="C75" s="450">
        <v>0</v>
      </c>
      <c r="D75" s="430"/>
      <c r="E75" s="430"/>
      <c r="F75" s="466">
        <v>0</v>
      </c>
      <c r="G75" s="450">
        <v>0</v>
      </c>
    </row>
    <row r="76" spans="1:7" ht="14.4">
      <c r="A76" s="469" t="s">
        <v>632</v>
      </c>
      <c r="B76" s="450">
        <v>0</v>
      </c>
      <c r="C76" s="450">
        <v>0</v>
      </c>
      <c r="D76" s="430"/>
      <c r="E76" s="430"/>
      <c r="F76" s="466">
        <v>0</v>
      </c>
      <c r="G76" s="450">
        <v>0</v>
      </c>
    </row>
    <row r="77" spans="1:7" ht="14.4">
      <c r="A77" s="469" t="s">
        <v>634</v>
      </c>
      <c r="B77" s="450">
        <v>0</v>
      </c>
      <c r="C77" s="450">
        <v>0</v>
      </c>
      <c r="D77" s="430"/>
      <c r="E77" s="430"/>
      <c r="F77" s="466">
        <v>0</v>
      </c>
      <c r="G77" s="450">
        <v>0</v>
      </c>
    </row>
    <row r="78" spans="1:7" ht="14.4">
      <c r="A78" s="469" t="s">
        <v>606</v>
      </c>
      <c r="B78" s="450">
        <v>0</v>
      </c>
      <c r="C78" s="450">
        <v>0</v>
      </c>
      <c r="D78" s="430"/>
      <c r="E78" s="430"/>
      <c r="F78" s="466">
        <v>0</v>
      </c>
      <c r="G78" s="450">
        <v>0</v>
      </c>
    </row>
    <row r="79" spans="1:7" ht="14.4">
      <c r="A79" s="469" t="s">
        <v>76</v>
      </c>
      <c r="B79" s="450">
        <v>0</v>
      </c>
      <c r="C79" s="450">
        <v>0</v>
      </c>
      <c r="D79" s="430"/>
      <c r="E79" s="430"/>
      <c r="F79" s="466">
        <v>0</v>
      </c>
      <c r="G79" s="450">
        <v>0</v>
      </c>
    </row>
    <row r="80" spans="1:7" ht="14.4">
      <c r="A80" s="469" t="s">
        <v>607</v>
      </c>
      <c r="B80" s="450">
        <v>0</v>
      </c>
      <c r="C80" s="450">
        <v>0</v>
      </c>
      <c r="D80" s="430"/>
      <c r="E80" s="430"/>
      <c r="F80" s="466">
        <v>0</v>
      </c>
      <c r="G80" s="450">
        <v>0</v>
      </c>
    </row>
    <row r="81" spans="1:7" ht="14.4">
      <c r="A81" s="469" t="s">
        <v>636</v>
      </c>
      <c r="B81" s="450">
        <v>0</v>
      </c>
      <c r="C81" s="450">
        <v>0</v>
      </c>
      <c r="D81" s="430"/>
      <c r="E81" s="430"/>
      <c r="F81" s="466">
        <v>0</v>
      </c>
      <c r="G81" s="450">
        <v>0</v>
      </c>
    </row>
    <row r="82" spans="1:7" ht="14.4">
      <c r="A82" s="469" t="s">
        <v>405</v>
      </c>
      <c r="B82" s="450">
        <v>0</v>
      </c>
      <c r="C82" s="450">
        <v>0</v>
      </c>
      <c r="D82" s="430"/>
      <c r="E82" s="430"/>
      <c r="F82" s="466">
        <v>0</v>
      </c>
      <c r="G82" s="450">
        <v>0</v>
      </c>
    </row>
    <row r="83" spans="1:7" ht="14.4">
      <c r="A83" s="469" t="s">
        <v>637</v>
      </c>
      <c r="B83" s="450">
        <v>0</v>
      </c>
      <c r="C83" s="450">
        <v>0</v>
      </c>
      <c r="D83" s="430"/>
      <c r="E83" s="430"/>
      <c r="F83" s="466">
        <v>0</v>
      </c>
      <c r="G83" s="450">
        <v>0</v>
      </c>
    </row>
    <row r="84" spans="1:7" ht="14.4">
      <c r="A84" s="469" t="s">
        <v>419</v>
      </c>
      <c r="B84" s="450">
        <v>0</v>
      </c>
      <c r="C84" s="450">
        <v>0</v>
      </c>
      <c r="D84" s="430"/>
      <c r="E84" s="430"/>
      <c r="F84" s="466">
        <v>0</v>
      </c>
      <c r="G84" s="450">
        <v>0</v>
      </c>
    </row>
    <row r="85" spans="1:7" ht="14.4">
      <c r="A85" s="469" t="s">
        <v>638</v>
      </c>
      <c r="B85" s="450">
        <v>0</v>
      </c>
      <c r="C85" s="450">
        <v>0</v>
      </c>
      <c r="D85" s="430"/>
      <c r="E85" s="430"/>
      <c r="F85" s="466">
        <v>0</v>
      </c>
      <c r="G85" s="450">
        <v>0</v>
      </c>
    </row>
    <row r="86" spans="1:7" ht="14.4">
      <c r="A86" s="469" t="s">
        <v>406</v>
      </c>
      <c r="B86" s="450">
        <v>0</v>
      </c>
      <c r="C86" s="450">
        <v>0</v>
      </c>
      <c r="D86" s="430"/>
      <c r="E86" s="430"/>
      <c r="F86" s="466">
        <v>0</v>
      </c>
      <c r="G86" s="450">
        <v>0</v>
      </c>
    </row>
    <row r="87" spans="1:7" ht="14.4">
      <c r="A87" s="469" t="s">
        <v>639</v>
      </c>
      <c r="B87" s="450">
        <v>0</v>
      </c>
      <c r="C87" s="450">
        <v>0</v>
      </c>
      <c r="D87" s="430"/>
      <c r="E87" s="430"/>
      <c r="F87" s="466">
        <v>0</v>
      </c>
      <c r="G87" s="450">
        <v>0</v>
      </c>
    </row>
    <row r="88" spans="1:7" ht="14.4">
      <c r="A88" s="469" t="s">
        <v>640</v>
      </c>
      <c r="B88" s="450">
        <v>0</v>
      </c>
      <c r="C88" s="450">
        <v>0</v>
      </c>
      <c r="D88" s="430"/>
      <c r="E88" s="430"/>
      <c r="F88" s="466">
        <v>0</v>
      </c>
      <c r="G88" s="450">
        <v>0</v>
      </c>
    </row>
    <row r="89" spans="1:7" ht="14.4">
      <c r="A89" s="469" t="s">
        <v>641</v>
      </c>
      <c r="B89" s="450">
        <v>0</v>
      </c>
      <c r="C89" s="450">
        <v>0</v>
      </c>
      <c r="D89" s="430"/>
      <c r="E89" s="430"/>
      <c r="F89" s="466">
        <v>0</v>
      </c>
      <c r="G89" s="450">
        <v>0</v>
      </c>
    </row>
    <row r="90" spans="1:7" ht="14.4">
      <c r="A90" s="469" t="s">
        <v>407</v>
      </c>
      <c r="B90" s="450">
        <v>0</v>
      </c>
      <c r="C90" s="450">
        <v>0</v>
      </c>
      <c r="D90" s="430"/>
      <c r="E90" s="430"/>
      <c r="F90" s="466">
        <v>0</v>
      </c>
      <c r="G90" s="450">
        <v>0</v>
      </c>
    </row>
    <row r="91" spans="1:7" ht="14.4">
      <c r="A91" s="469" t="s">
        <v>642</v>
      </c>
      <c r="B91" s="450">
        <v>0</v>
      </c>
      <c r="C91" s="450">
        <v>0</v>
      </c>
      <c r="D91" s="430"/>
      <c r="E91" s="430"/>
      <c r="F91" s="466">
        <v>0</v>
      </c>
      <c r="G91" s="450">
        <v>0</v>
      </c>
    </row>
    <row r="92" spans="1:7" ht="14.4">
      <c r="A92" s="469" t="s">
        <v>643</v>
      </c>
      <c r="B92" s="450">
        <v>0</v>
      </c>
      <c r="C92" s="450">
        <v>0</v>
      </c>
      <c r="D92" s="430"/>
      <c r="E92" s="430"/>
      <c r="F92" s="466">
        <v>0</v>
      </c>
      <c r="G92" s="450">
        <v>0</v>
      </c>
    </row>
    <row r="93" spans="1:7" ht="14.4">
      <c r="A93" s="469" t="s">
        <v>644</v>
      </c>
      <c r="B93" s="450">
        <v>0</v>
      </c>
      <c r="C93" s="450">
        <v>0</v>
      </c>
      <c r="D93" s="430"/>
      <c r="E93" s="430"/>
      <c r="F93" s="466">
        <v>0</v>
      </c>
      <c r="G93" s="450">
        <v>0</v>
      </c>
    </row>
    <row r="94" spans="1:7" ht="14.4">
      <c r="A94" s="469" t="s">
        <v>646</v>
      </c>
      <c r="B94" s="450">
        <v>0</v>
      </c>
      <c r="C94" s="450">
        <v>0</v>
      </c>
      <c r="D94" s="430"/>
      <c r="E94" s="430"/>
      <c r="F94" s="466">
        <v>0</v>
      </c>
      <c r="G94" s="450">
        <v>0</v>
      </c>
    </row>
    <row r="95" spans="1:7" ht="14.4">
      <c r="A95" s="469" t="s">
        <v>648</v>
      </c>
      <c r="B95" s="450">
        <v>0</v>
      </c>
      <c r="C95" s="450">
        <v>0</v>
      </c>
      <c r="D95" s="430"/>
      <c r="E95" s="430"/>
      <c r="F95" s="466">
        <v>0</v>
      </c>
      <c r="G95" s="450">
        <v>0</v>
      </c>
    </row>
    <row r="96" spans="1:7" ht="14.4">
      <c r="A96" s="469" t="s">
        <v>408</v>
      </c>
      <c r="B96" s="450">
        <v>0</v>
      </c>
      <c r="C96" s="450">
        <v>0</v>
      </c>
      <c r="D96" s="430"/>
      <c r="E96" s="430"/>
      <c r="F96" s="466">
        <v>0</v>
      </c>
      <c r="G96" s="450">
        <v>0</v>
      </c>
    </row>
    <row r="97" spans="1:7" ht="14.4">
      <c r="A97" s="469" t="s">
        <v>649</v>
      </c>
      <c r="B97" s="450">
        <v>0</v>
      </c>
      <c r="C97" s="450">
        <v>0</v>
      </c>
      <c r="D97" s="430"/>
      <c r="E97" s="430"/>
      <c r="F97" s="466">
        <v>0</v>
      </c>
      <c r="G97" s="450">
        <v>0</v>
      </c>
    </row>
    <row r="98" spans="1:7" ht="14.4">
      <c r="A98" s="469" t="s">
        <v>650</v>
      </c>
      <c r="B98" s="450">
        <v>0</v>
      </c>
      <c r="C98" s="450">
        <v>0</v>
      </c>
      <c r="D98" s="430"/>
      <c r="E98" s="430"/>
      <c r="F98" s="466">
        <v>0</v>
      </c>
      <c r="G98" s="450">
        <v>0</v>
      </c>
    </row>
    <row r="99" spans="1:7" ht="14.4">
      <c r="A99" s="469" t="s">
        <v>651</v>
      </c>
      <c r="B99" s="450">
        <v>0</v>
      </c>
      <c r="C99" s="450">
        <v>0</v>
      </c>
      <c r="D99" s="430"/>
      <c r="E99" s="430"/>
      <c r="F99" s="466">
        <v>0</v>
      </c>
      <c r="G99" s="450">
        <v>0</v>
      </c>
    </row>
    <row r="100" spans="1:7" ht="14.4">
      <c r="A100" s="469" t="s">
        <v>652</v>
      </c>
      <c r="B100" s="450">
        <v>0</v>
      </c>
      <c r="C100" s="450">
        <v>0</v>
      </c>
      <c r="D100" s="430"/>
      <c r="E100" s="430"/>
      <c r="F100" s="466">
        <v>0</v>
      </c>
      <c r="G100" s="450">
        <v>0</v>
      </c>
    </row>
    <row r="101" spans="1:7" ht="14.4">
      <c r="A101" s="469" t="s">
        <v>653</v>
      </c>
      <c r="B101" s="450">
        <v>0</v>
      </c>
      <c r="C101" s="450">
        <v>0</v>
      </c>
      <c r="D101" s="430"/>
      <c r="E101" s="430"/>
      <c r="F101" s="466">
        <v>0</v>
      </c>
      <c r="G101" s="450">
        <v>0</v>
      </c>
    </row>
    <row r="102" spans="1:7" ht="14.4">
      <c r="A102" s="469" t="s">
        <v>654</v>
      </c>
      <c r="B102" s="450">
        <v>0</v>
      </c>
      <c r="C102" s="450">
        <v>0</v>
      </c>
      <c r="D102" s="430"/>
      <c r="E102" s="430"/>
      <c r="F102" s="466">
        <v>0</v>
      </c>
      <c r="G102" s="450">
        <v>0</v>
      </c>
    </row>
    <row r="103" spans="1:7" ht="14.4">
      <c r="A103" s="469" t="s">
        <v>655</v>
      </c>
      <c r="B103" s="450">
        <v>0</v>
      </c>
      <c r="C103" s="450">
        <v>0</v>
      </c>
      <c r="D103" s="430"/>
      <c r="E103" s="430"/>
      <c r="F103" s="466">
        <v>0</v>
      </c>
      <c r="G103" s="450">
        <v>0</v>
      </c>
    </row>
    <row r="104" spans="1:7" ht="14.4">
      <c r="A104" s="469" t="s">
        <v>409</v>
      </c>
      <c r="B104" s="450">
        <v>0</v>
      </c>
      <c r="C104" s="450">
        <v>0</v>
      </c>
      <c r="D104" s="430"/>
      <c r="E104" s="430"/>
      <c r="F104" s="466">
        <v>0</v>
      </c>
      <c r="G104" s="450">
        <v>0</v>
      </c>
    </row>
    <row r="105" spans="1:7" ht="14.4">
      <c r="A105" s="469" t="s">
        <v>659</v>
      </c>
      <c r="B105" s="450">
        <v>0</v>
      </c>
      <c r="C105" s="450">
        <v>0</v>
      </c>
      <c r="D105" s="430"/>
      <c r="E105" s="430"/>
      <c r="F105" s="466">
        <v>0</v>
      </c>
      <c r="G105" s="450">
        <v>0</v>
      </c>
    </row>
    <row r="106" spans="1:7" ht="14.4">
      <c r="A106" s="469" t="s">
        <v>410</v>
      </c>
      <c r="B106" s="450">
        <v>0</v>
      </c>
      <c r="C106" s="450">
        <v>0</v>
      </c>
      <c r="D106" s="430"/>
      <c r="E106" s="430"/>
      <c r="F106" s="466">
        <v>0</v>
      </c>
      <c r="G106" s="450">
        <v>0</v>
      </c>
    </row>
    <row r="107" spans="1:7" ht="14.4">
      <c r="A107" s="469" t="s">
        <v>660</v>
      </c>
      <c r="B107" s="450">
        <v>0</v>
      </c>
      <c r="C107" s="450">
        <v>0</v>
      </c>
      <c r="D107" s="430"/>
      <c r="E107" s="430"/>
      <c r="F107" s="466">
        <v>0</v>
      </c>
      <c r="G107" s="450">
        <v>0</v>
      </c>
    </row>
    <row r="108" spans="1:7" ht="14.4">
      <c r="A108" s="469" t="s">
        <v>661</v>
      </c>
      <c r="B108" s="450">
        <v>0</v>
      </c>
      <c r="C108" s="450">
        <v>0</v>
      </c>
      <c r="D108" s="430"/>
      <c r="E108" s="430"/>
      <c r="F108" s="466">
        <v>0</v>
      </c>
      <c r="G108" s="450">
        <v>0</v>
      </c>
    </row>
    <row r="109" spans="1:7" ht="14.4">
      <c r="A109" s="469" t="s">
        <v>662</v>
      </c>
      <c r="B109" s="450">
        <v>0</v>
      </c>
      <c r="C109" s="450">
        <v>0</v>
      </c>
      <c r="D109" s="430"/>
      <c r="E109" s="430"/>
      <c r="F109" s="466">
        <v>0</v>
      </c>
      <c r="G109" s="450">
        <v>0</v>
      </c>
    </row>
    <row r="110" spans="1:7" s="431" customFormat="1" ht="14.4">
      <c r="A110" s="469" t="s">
        <v>411</v>
      </c>
      <c r="B110" s="450">
        <v>0</v>
      </c>
      <c r="C110" s="450">
        <v>0</v>
      </c>
      <c r="D110" s="430"/>
      <c r="E110" s="430"/>
      <c r="F110" s="466">
        <v>0</v>
      </c>
      <c r="G110" s="450">
        <v>0</v>
      </c>
    </row>
    <row r="111" spans="1:7" ht="14.4">
      <c r="A111" s="469" t="s">
        <v>0</v>
      </c>
      <c r="B111" s="450">
        <v>0</v>
      </c>
      <c r="C111" s="450">
        <v>0</v>
      </c>
      <c r="D111" s="430"/>
      <c r="E111" s="430"/>
      <c r="F111" s="466">
        <v>0</v>
      </c>
      <c r="G111" s="450">
        <v>0</v>
      </c>
    </row>
    <row r="112" spans="1:7" ht="14.4">
      <c r="A112" s="469" t="s">
        <v>663</v>
      </c>
      <c r="B112" s="450">
        <v>0</v>
      </c>
      <c r="C112" s="450">
        <v>0</v>
      </c>
      <c r="D112" s="430"/>
      <c r="E112" s="430"/>
      <c r="F112" s="466">
        <v>0</v>
      </c>
      <c r="G112" s="450">
        <v>0</v>
      </c>
    </row>
    <row r="113" spans="1:7" ht="14.4">
      <c r="A113" s="469" t="s">
        <v>664</v>
      </c>
      <c r="B113" s="450">
        <v>0</v>
      </c>
      <c r="C113" s="450">
        <v>0</v>
      </c>
      <c r="D113" s="430"/>
      <c r="E113" s="430"/>
      <c r="F113" s="466">
        <v>0</v>
      </c>
      <c r="G113" s="450">
        <v>0</v>
      </c>
    </row>
    <row r="114" spans="1:7" ht="14.4">
      <c r="A114" s="469" t="s">
        <v>608</v>
      </c>
      <c r="B114" s="450">
        <v>0</v>
      </c>
      <c r="C114" s="450">
        <v>0</v>
      </c>
      <c r="D114" s="430"/>
      <c r="E114" s="430"/>
      <c r="F114" s="466">
        <v>0</v>
      </c>
      <c r="G114" s="450">
        <v>0</v>
      </c>
    </row>
    <row r="115" spans="1:7" ht="14.4">
      <c r="A115" s="469" t="s">
        <v>665</v>
      </c>
      <c r="B115" s="450">
        <v>0</v>
      </c>
      <c r="C115" s="450">
        <v>0</v>
      </c>
      <c r="D115" s="430"/>
      <c r="E115" s="430"/>
      <c r="F115" s="466">
        <v>0</v>
      </c>
      <c r="G115" s="450">
        <v>0</v>
      </c>
    </row>
    <row r="116" spans="1:7" ht="14.4">
      <c r="A116" s="469" t="s">
        <v>666</v>
      </c>
      <c r="B116" s="450">
        <v>0</v>
      </c>
      <c r="C116" s="450">
        <v>0</v>
      </c>
      <c r="D116" s="430"/>
      <c r="E116" s="430"/>
      <c r="F116" s="466">
        <v>0</v>
      </c>
      <c r="G116" s="450">
        <v>0</v>
      </c>
    </row>
    <row r="117" spans="1:7" ht="14.4">
      <c r="A117" s="469" t="s">
        <v>668</v>
      </c>
      <c r="B117" s="450">
        <v>0</v>
      </c>
      <c r="C117" s="450">
        <v>0</v>
      </c>
      <c r="D117" s="430"/>
      <c r="E117" s="430"/>
      <c r="F117" s="466">
        <v>0</v>
      </c>
      <c r="G117" s="450">
        <v>0</v>
      </c>
    </row>
    <row r="118" spans="1:7" ht="14.4">
      <c r="A118" s="469" t="s">
        <v>669</v>
      </c>
      <c r="B118" s="450">
        <v>0</v>
      </c>
      <c r="C118" s="450">
        <v>0</v>
      </c>
      <c r="D118" s="430"/>
      <c r="E118" s="430"/>
      <c r="F118" s="466">
        <v>0</v>
      </c>
      <c r="G118" s="450">
        <v>0</v>
      </c>
    </row>
    <row r="119" spans="1:7" ht="14.4">
      <c r="A119" s="469" t="s">
        <v>670</v>
      </c>
      <c r="B119" s="450">
        <v>0</v>
      </c>
      <c r="C119" s="450">
        <v>0</v>
      </c>
      <c r="D119" s="430"/>
      <c r="E119" s="430"/>
      <c r="F119" s="466">
        <v>0</v>
      </c>
      <c r="G119" s="450">
        <v>0</v>
      </c>
    </row>
    <row r="120" spans="1:7" ht="14.4">
      <c r="A120" s="469" t="s">
        <v>672</v>
      </c>
      <c r="B120" s="450">
        <v>0</v>
      </c>
      <c r="C120" s="450">
        <v>0</v>
      </c>
      <c r="D120" s="430"/>
      <c r="E120" s="430"/>
      <c r="F120" s="466">
        <v>0</v>
      </c>
      <c r="G120" s="450">
        <v>0</v>
      </c>
    </row>
    <row r="121" spans="1:7" ht="14.4">
      <c r="A121" s="469" t="s">
        <v>673</v>
      </c>
      <c r="B121" s="450">
        <v>0</v>
      </c>
      <c r="C121" s="450">
        <v>0</v>
      </c>
      <c r="D121" s="430"/>
      <c r="E121" s="430"/>
      <c r="F121" s="466">
        <v>0</v>
      </c>
      <c r="G121" s="450">
        <v>0</v>
      </c>
    </row>
    <row r="122" spans="1:7">
      <c r="A122" s="469" t="s">
        <v>674</v>
      </c>
      <c r="B122" s="450">
        <v>0</v>
      </c>
      <c r="C122" s="450">
        <v>0</v>
      </c>
      <c r="D122" s="430"/>
      <c r="E122" s="430"/>
      <c r="F122" s="450">
        <v>0</v>
      </c>
      <c r="G122" s="450">
        <v>0</v>
      </c>
    </row>
    <row r="123" spans="1:7">
      <c r="A123" s="469" t="s">
        <v>412</v>
      </c>
      <c r="B123" s="450">
        <v>0</v>
      </c>
      <c r="C123" s="450">
        <v>0</v>
      </c>
      <c r="D123" s="430"/>
      <c r="E123" s="430"/>
      <c r="F123" s="450">
        <v>0</v>
      </c>
      <c r="G123" s="450">
        <v>0</v>
      </c>
    </row>
    <row r="124" spans="1:7" ht="14.4">
      <c r="A124" s="469" t="s">
        <v>675</v>
      </c>
      <c r="B124" s="450">
        <v>0</v>
      </c>
      <c r="C124" s="450">
        <v>0</v>
      </c>
      <c r="D124" s="430"/>
      <c r="E124" s="430"/>
      <c r="F124" s="466">
        <v>0</v>
      </c>
      <c r="G124" s="450">
        <v>0</v>
      </c>
    </row>
    <row r="125" spans="1:7" ht="14.4">
      <c r="A125" s="469" t="s">
        <v>676</v>
      </c>
      <c r="B125" s="450">
        <v>0</v>
      </c>
      <c r="C125" s="450">
        <v>0</v>
      </c>
      <c r="D125" s="430"/>
      <c r="E125" s="430"/>
      <c r="F125" s="466">
        <v>0</v>
      </c>
      <c r="G125" s="450">
        <v>0</v>
      </c>
    </row>
    <row r="126" spans="1:7" ht="14.4">
      <c r="A126" s="469" t="s">
        <v>677</v>
      </c>
      <c r="B126" s="450">
        <v>0</v>
      </c>
      <c r="C126" s="450">
        <v>0</v>
      </c>
      <c r="D126" s="430"/>
      <c r="E126" s="430"/>
      <c r="F126" s="466">
        <v>0</v>
      </c>
      <c r="G126" s="450">
        <v>0</v>
      </c>
    </row>
    <row r="127" spans="1:7" ht="14.4">
      <c r="A127" s="469" t="s">
        <v>609</v>
      </c>
      <c r="B127" s="450">
        <v>0</v>
      </c>
      <c r="C127" s="450">
        <v>0</v>
      </c>
      <c r="D127" s="430"/>
      <c r="E127" s="430"/>
      <c r="F127" s="466">
        <v>0</v>
      </c>
      <c r="G127" s="450">
        <v>0</v>
      </c>
    </row>
    <row r="128" spans="1:7" ht="14.4">
      <c r="A128" s="469" t="s">
        <v>678</v>
      </c>
      <c r="B128" s="450">
        <v>0</v>
      </c>
      <c r="C128" s="450">
        <v>0</v>
      </c>
      <c r="D128" s="430"/>
      <c r="E128" s="430"/>
      <c r="F128" s="466">
        <v>0</v>
      </c>
      <c r="G128" s="450">
        <v>0</v>
      </c>
    </row>
    <row r="129" spans="1:7" ht="14.4">
      <c r="A129" s="469" t="s">
        <v>679</v>
      </c>
      <c r="B129" s="450">
        <v>0</v>
      </c>
      <c r="C129" s="450">
        <v>0</v>
      </c>
      <c r="D129" s="430"/>
      <c r="E129" s="430"/>
      <c r="F129" s="466">
        <v>0</v>
      </c>
      <c r="G129" s="450">
        <v>0</v>
      </c>
    </row>
    <row r="130" spans="1:7" ht="14.4" thickBot="1">
      <c r="A130" s="432" t="s">
        <v>512</v>
      </c>
      <c r="B130" s="433">
        <f t="shared" ref="B130:G130" si="1">SUM(B67:B129)</f>
        <v>0</v>
      </c>
      <c r="C130" s="433">
        <f t="shared" si="1"/>
        <v>0</v>
      </c>
      <c r="D130" s="433">
        <f t="shared" si="1"/>
        <v>0</v>
      </c>
      <c r="E130" s="433">
        <f t="shared" si="1"/>
        <v>0</v>
      </c>
      <c r="F130" s="433">
        <f t="shared" si="1"/>
        <v>0</v>
      </c>
      <c r="G130" s="434">
        <f t="shared" si="1"/>
        <v>0</v>
      </c>
    </row>
    <row r="131" spans="1:7">
      <c r="A131" s="435" t="s">
        <v>298</v>
      </c>
      <c r="B131" s="436"/>
      <c r="C131" s="436"/>
      <c r="D131" s="436"/>
      <c r="E131" s="436"/>
      <c r="F131" s="436"/>
      <c r="G131" s="437"/>
    </row>
    <row r="132" spans="1:7">
      <c r="A132" s="469" t="s">
        <v>681</v>
      </c>
      <c r="B132" s="450">
        <v>0</v>
      </c>
      <c r="C132" s="450">
        <v>0</v>
      </c>
      <c r="D132" s="430"/>
      <c r="E132" s="430"/>
      <c r="F132" s="450">
        <v>0</v>
      </c>
      <c r="G132" s="450">
        <v>0</v>
      </c>
    </row>
    <row r="133" spans="1:7">
      <c r="A133" s="469" t="s">
        <v>682</v>
      </c>
      <c r="B133" s="450">
        <v>0</v>
      </c>
      <c r="C133" s="450">
        <v>0</v>
      </c>
      <c r="D133" s="430"/>
      <c r="E133" s="430"/>
      <c r="F133" s="450">
        <v>0</v>
      </c>
      <c r="G133" s="450">
        <v>0</v>
      </c>
    </row>
    <row r="134" spans="1:7">
      <c r="A134" s="469" t="s">
        <v>683</v>
      </c>
      <c r="B134" s="450">
        <v>0</v>
      </c>
      <c r="C134" s="450">
        <v>0</v>
      </c>
      <c r="D134" s="430"/>
      <c r="E134" s="430"/>
      <c r="F134" s="450">
        <v>0</v>
      </c>
      <c r="G134" s="450">
        <v>0</v>
      </c>
    </row>
    <row r="135" spans="1:7">
      <c r="A135" s="469" t="s">
        <v>684</v>
      </c>
      <c r="B135" s="450">
        <v>0</v>
      </c>
      <c r="C135" s="450">
        <v>0</v>
      </c>
      <c r="D135" s="430"/>
      <c r="E135" s="430"/>
      <c r="F135" s="450">
        <v>0</v>
      </c>
      <c r="G135" s="450">
        <v>0</v>
      </c>
    </row>
    <row r="136" spans="1:7">
      <c r="A136" s="469" t="s">
        <v>685</v>
      </c>
      <c r="B136" s="450">
        <v>0</v>
      </c>
      <c r="C136" s="450">
        <v>0</v>
      </c>
      <c r="D136" s="430"/>
      <c r="E136" s="430"/>
      <c r="F136" s="450">
        <v>0</v>
      </c>
      <c r="G136" s="450">
        <v>0</v>
      </c>
    </row>
    <row r="137" spans="1:7">
      <c r="A137" s="469" t="s">
        <v>686</v>
      </c>
      <c r="B137" s="450">
        <v>0</v>
      </c>
      <c r="C137" s="450">
        <v>0</v>
      </c>
      <c r="D137" s="430"/>
      <c r="E137" s="430"/>
      <c r="F137" s="450">
        <v>0</v>
      </c>
      <c r="G137" s="450">
        <v>0</v>
      </c>
    </row>
    <row r="138" spans="1:7">
      <c r="A138" s="469" t="s">
        <v>688</v>
      </c>
      <c r="B138" s="450">
        <v>0</v>
      </c>
      <c r="C138" s="450">
        <v>0</v>
      </c>
      <c r="D138" s="430"/>
      <c r="E138" s="430"/>
      <c r="F138" s="450">
        <v>0</v>
      </c>
      <c r="G138" s="450">
        <v>0</v>
      </c>
    </row>
    <row r="139" spans="1:7" ht="14.4" thickBot="1">
      <c r="A139" s="432" t="s">
        <v>513</v>
      </c>
      <c r="B139" s="433">
        <f t="shared" ref="B139:G139" si="2">SUM(B132:B138)</f>
        <v>0</v>
      </c>
      <c r="C139" s="433">
        <f t="shared" si="2"/>
        <v>0</v>
      </c>
      <c r="D139" s="433">
        <f t="shared" si="2"/>
        <v>0</v>
      </c>
      <c r="E139" s="433">
        <f t="shared" si="2"/>
        <v>0</v>
      </c>
      <c r="F139" s="433">
        <f t="shared" si="2"/>
        <v>0</v>
      </c>
      <c r="G139" s="434">
        <f t="shared" si="2"/>
        <v>0</v>
      </c>
    </row>
    <row r="140" spans="1:7">
      <c r="A140" s="435" t="s">
        <v>514</v>
      </c>
      <c r="B140" s="436"/>
      <c r="C140" s="436"/>
      <c r="D140" s="436"/>
      <c r="E140" s="436"/>
      <c r="F140" s="436"/>
      <c r="G140" s="437"/>
    </row>
    <row r="141" spans="1:7">
      <c r="A141" s="469" t="s">
        <v>1</v>
      </c>
      <c r="B141" s="450">
        <v>0</v>
      </c>
      <c r="C141" s="450">
        <v>0</v>
      </c>
      <c r="D141" s="430"/>
      <c r="E141" s="430"/>
      <c r="F141" s="450">
        <v>0</v>
      </c>
      <c r="G141" s="450">
        <v>0</v>
      </c>
    </row>
    <row r="142" spans="1:7">
      <c r="A142" s="469" t="s">
        <v>694</v>
      </c>
      <c r="B142" s="450">
        <v>0</v>
      </c>
      <c r="C142" s="450">
        <v>0</v>
      </c>
      <c r="D142" s="430"/>
      <c r="E142" s="430"/>
      <c r="F142" s="450">
        <v>0</v>
      </c>
      <c r="G142" s="450">
        <v>0</v>
      </c>
    </row>
    <row r="143" spans="1:7">
      <c r="A143" s="469" t="s">
        <v>695</v>
      </c>
      <c r="B143" s="450">
        <v>0</v>
      </c>
      <c r="C143" s="450">
        <v>0</v>
      </c>
      <c r="D143" s="430"/>
      <c r="E143" s="430"/>
      <c r="F143" s="450">
        <v>0</v>
      </c>
      <c r="G143" s="450">
        <v>0</v>
      </c>
    </row>
    <row r="144" spans="1:7">
      <c r="A144" s="469" t="s">
        <v>696</v>
      </c>
      <c r="B144" s="450">
        <v>0</v>
      </c>
      <c r="C144" s="450">
        <v>0</v>
      </c>
      <c r="D144" s="430"/>
      <c r="E144" s="430"/>
      <c r="F144" s="450">
        <v>0</v>
      </c>
      <c r="G144" s="450">
        <v>0</v>
      </c>
    </row>
    <row r="145" spans="1:7">
      <c r="A145" s="469" t="s">
        <v>610</v>
      </c>
      <c r="B145" s="450">
        <v>0</v>
      </c>
      <c r="C145" s="450">
        <v>0</v>
      </c>
      <c r="D145" s="430"/>
      <c r="E145" s="430"/>
      <c r="F145" s="450">
        <v>0</v>
      </c>
      <c r="G145" s="450">
        <v>0</v>
      </c>
    </row>
    <row r="146" spans="1:7" s="431" customFormat="1" ht="14.4">
      <c r="A146" s="469" t="s">
        <v>698</v>
      </c>
      <c r="B146" s="450">
        <v>0</v>
      </c>
      <c r="C146" s="450">
        <v>0</v>
      </c>
      <c r="D146" s="430"/>
      <c r="E146" s="430"/>
      <c r="F146" s="450">
        <v>0</v>
      </c>
      <c r="G146" s="450">
        <v>0</v>
      </c>
    </row>
    <row r="147" spans="1:7">
      <c r="A147" s="469" t="s">
        <v>700</v>
      </c>
      <c r="B147" s="450">
        <v>0</v>
      </c>
      <c r="C147" s="450">
        <v>0</v>
      </c>
      <c r="D147" s="430"/>
      <c r="E147" s="430"/>
      <c r="F147" s="450">
        <v>0</v>
      </c>
      <c r="G147" s="450">
        <v>0</v>
      </c>
    </row>
    <row r="148" spans="1:7">
      <c r="A148" s="469" t="s">
        <v>702</v>
      </c>
      <c r="B148" s="450">
        <v>0</v>
      </c>
      <c r="C148" s="450">
        <v>0</v>
      </c>
      <c r="D148" s="430"/>
      <c r="E148" s="430"/>
      <c r="F148" s="450">
        <v>0</v>
      </c>
      <c r="G148" s="450">
        <v>0</v>
      </c>
    </row>
    <row r="149" spans="1:7">
      <c r="A149" s="469" t="s">
        <v>703</v>
      </c>
      <c r="B149" s="450">
        <v>0</v>
      </c>
      <c r="C149" s="450">
        <v>0</v>
      </c>
      <c r="D149" s="430"/>
      <c r="E149" s="430"/>
      <c r="F149" s="450">
        <v>0</v>
      </c>
      <c r="G149" s="450">
        <v>0</v>
      </c>
    </row>
    <row r="150" spans="1:7">
      <c r="A150" s="469" t="s">
        <v>2</v>
      </c>
      <c r="B150" s="450">
        <v>0</v>
      </c>
      <c r="C150" s="450">
        <v>0</v>
      </c>
      <c r="D150" s="430"/>
      <c r="E150" s="430"/>
      <c r="F150" s="450">
        <v>0</v>
      </c>
      <c r="G150" s="450">
        <v>0</v>
      </c>
    </row>
    <row r="151" spans="1:7">
      <c r="A151" s="469" t="s">
        <v>413</v>
      </c>
      <c r="B151" s="450">
        <v>0</v>
      </c>
      <c r="C151" s="450">
        <v>0</v>
      </c>
      <c r="D151" s="430"/>
      <c r="E151" s="430"/>
      <c r="F151" s="450">
        <v>0</v>
      </c>
      <c r="G151" s="450">
        <v>0</v>
      </c>
    </row>
    <row r="152" spans="1:7">
      <c r="A152" s="469" t="s">
        <v>704</v>
      </c>
      <c r="B152" s="450">
        <v>0</v>
      </c>
      <c r="C152" s="450">
        <v>0</v>
      </c>
      <c r="D152" s="430"/>
      <c r="E152" s="430"/>
      <c r="F152" s="450">
        <v>0</v>
      </c>
      <c r="G152" s="450">
        <v>0</v>
      </c>
    </row>
    <row r="153" spans="1:7">
      <c r="A153" s="469" t="s">
        <v>705</v>
      </c>
      <c r="B153" s="450">
        <v>0</v>
      </c>
      <c r="C153" s="450">
        <v>0</v>
      </c>
      <c r="D153" s="430"/>
      <c r="E153" s="430"/>
      <c r="F153" s="450">
        <v>0</v>
      </c>
      <c r="G153" s="450">
        <v>0</v>
      </c>
    </row>
    <row r="154" spans="1:7">
      <c r="A154" s="469" t="s">
        <v>706</v>
      </c>
      <c r="B154" s="450">
        <v>0</v>
      </c>
      <c r="C154" s="450">
        <v>0</v>
      </c>
      <c r="D154" s="430"/>
      <c r="E154" s="430"/>
      <c r="F154" s="450">
        <v>0</v>
      </c>
      <c r="G154" s="450">
        <v>0</v>
      </c>
    </row>
    <row r="155" spans="1:7">
      <c r="A155" s="469" t="s">
        <v>707</v>
      </c>
      <c r="B155" s="450">
        <v>0</v>
      </c>
      <c r="C155" s="450">
        <v>0</v>
      </c>
      <c r="D155" s="430"/>
      <c r="E155" s="430"/>
      <c r="F155" s="450">
        <v>0</v>
      </c>
      <c r="G155" s="450">
        <v>0</v>
      </c>
    </row>
    <row r="156" spans="1:7">
      <c r="A156" s="469" t="s">
        <v>8</v>
      </c>
      <c r="B156" s="450">
        <v>0</v>
      </c>
      <c r="C156" s="450">
        <v>0</v>
      </c>
      <c r="D156" s="430"/>
      <c r="E156" s="430"/>
      <c r="F156" s="450">
        <v>0</v>
      </c>
      <c r="G156" s="450">
        <v>0</v>
      </c>
    </row>
    <row r="157" spans="1:7">
      <c r="A157" s="469" t="s">
        <v>10</v>
      </c>
      <c r="B157" s="450">
        <v>0</v>
      </c>
      <c r="C157" s="450">
        <v>0</v>
      </c>
      <c r="D157" s="430"/>
      <c r="E157" s="430"/>
      <c r="F157" s="450">
        <v>0</v>
      </c>
      <c r="G157" s="450">
        <v>0</v>
      </c>
    </row>
    <row r="158" spans="1:7">
      <c r="A158" s="469" t="s">
        <v>11</v>
      </c>
      <c r="B158" s="450">
        <v>0</v>
      </c>
      <c r="C158" s="450">
        <v>0</v>
      </c>
      <c r="D158" s="430"/>
      <c r="E158" s="430"/>
      <c r="F158" s="450">
        <v>0</v>
      </c>
      <c r="G158" s="450">
        <v>0</v>
      </c>
    </row>
    <row r="159" spans="1:7">
      <c r="A159" s="469" t="s">
        <v>12</v>
      </c>
      <c r="B159" s="450">
        <v>0</v>
      </c>
      <c r="C159" s="450">
        <v>0</v>
      </c>
      <c r="D159" s="430"/>
      <c r="E159" s="430"/>
      <c r="F159" s="450">
        <v>0</v>
      </c>
      <c r="G159" s="450">
        <v>0</v>
      </c>
    </row>
    <row r="160" spans="1:7" ht="14.4" thickBot="1">
      <c r="A160" s="432" t="s">
        <v>515</v>
      </c>
      <c r="B160" s="433">
        <f t="shared" ref="B160:G160" si="3">SUM(B141:B159)</f>
        <v>0</v>
      </c>
      <c r="C160" s="433">
        <f t="shared" si="3"/>
        <v>0</v>
      </c>
      <c r="D160" s="433">
        <f t="shared" si="3"/>
        <v>0</v>
      </c>
      <c r="E160" s="433">
        <f t="shared" si="3"/>
        <v>0</v>
      </c>
      <c r="F160" s="433">
        <f t="shared" si="3"/>
        <v>0</v>
      </c>
      <c r="G160" s="434">
        <f t="shared" si="3"/>
        <v>0</v>
      </c>
    </row>
    <row r="161" spans="1:8">
      <c r="A161" s="435" t="s">
        <v>516</v>
      </c>
      <c r="B161" s="436"/>
      <c r="C161" s="436"/>
      <c r="D161" s="436"/>
      <c r="E161" s="436"/>
      <c r="F161" s="436"/>
      <c r="G161" s="437"/>
      <c r="H161" s="457"/>
    </row>
    <row r="162" spans="1:8">
      <c r="A162" s="469" t="s">
        <v>14</v>
      </c>
      <c r="B162" s="450">
        <v>0</v>
      </c>
      <c r="C162" s="450">
        <v>0</v>
      </c>
      <c r="D162" s="430"/>
      <c r="E162" s="430"/>
      <c r="F162" s="450">
        <v>0</v>
      </c>
      <c r="G162" s="470">
        <v>0</v>
      </c>
    </row>
    <row r="163" spans="1:8">
      <c r="A163" s="469" t="s">
        <v>15</v>
      </c>
      <c r="B163" s="450">
        <v>0</v>
      </c>
      <c r="C163" s="450">
        <v>0</v>
      </c>
      <c r="D163" s="430"/>
      <c r="E163" s="430"/>
      <c r="F163" s="450">
        <v>0</v>
      </c>
      <c r="G163" s="470">
        <v>0</v>
      </c>
    </row>
    <row r="164" spans="1:8">
      <c r="A164" s="469" t="s">
        <v>16</v>
      </c>
      <c r="B164" s="450">
        <v>0</v>
      </c>
      <c r="C164" s="450">
        <v>0</v>
      </c>
      <c r="D164" s="430"/>
      <c r="E164" s="430"/>
      <c r="F164" s="450">
        <v>0</v>
      </c>
      <c r="G164" s="470">
        <v>0</v>
      </c>
    </row>
    <row r="165" spans="1:8">
      <c r="A165" s="469" t="s">
        <v>18</v>
      </c>
      <c r="B165" s="450">
        <v>0</v>
      </c>
      <c r="C165" s="450">
        <v>0</v>
      </c>
      <c r="D165" s="430"/>
      <c r="E165" s="430"/>
      <c r="F165" s="450">
        <v>0</v>
      </c>
      <c r="G165" s="470">
        <v>0</v>
      </c>
    </row>
    <row r="166" spans="1:8">
      <c r="A166" s="469" t="s">
        <v>611</v>
      </c>
      <c r="B166" s="450">
        <v>0</v>
      </c>
      <c r="C166" s="450">
        <v>0</v>
      </c>
      <c r="D166" s="430"/>
      <c r="E166" s="430"/>
      <c r="F166" s="450">
        <v>0</v>
      </c>
      <c r="G166" s="470">
        <v>0</v>
      </c>
    </row>
    <row r="167" spans="1:8">
      <c r="A167" s="469" t="s">
        <v>20</v>
      </c>
      <c r="B167" s="450">
        <v>0</v>
      </c>
      <c r="C167" s="450">
        <v>0</v>
      </c>
      <c r="D167" s="430"/>
      <c r="E167" s="430"/>
      <c r="F167" s="450">
        <v>0</v>
      </c>
      <c r="G167" s="470">
        <v>0</v>
      </c>
    </row>
    <row r="168" spans="1:8">
      <c r="A168" s="469" t="s">
        <v>414</v>
      </c>
      <c r="B168" s="450">
        <v>0</v>
      </c>
      <c r="C168" s="450">
        <v>0</v>
      </c>
      <c r="D168" s="430"/>
      <c r="E168" s="430"/>
      <c r="F168" s="450">
        <v>0</v>
      </c>
      <c r="G168" s="470">
        <v>0</v>
      </c>
    </row>
    <row r="169" spans="1:8">
      <c r="A169" s="469" t="s">
        <v>21</v>
      </c>
      <c r="B169" s="450">
        <v>0</v>
      </c>
      <c r="C169" s="450">
        <v>0</v>
      </c>
      <c r="D169" s="430"/>
      <c r="E169" s="430"/>
      <c r="F169" s="450">
        <v>0</v>
      </c>
      <c r="G169" s="470">
        <v>0</v>
      </c>
    </row>
    <row r="170" spans="1:8">
      <c r="A170" s="469" t="s">
        <v>22</v>
      </c>
      <c r="B170" s="450">
        <v>0</v>
      </c>
      <c r="C170" s="450">
        <v>0</v>
      </c>
      <c r="D170" s="430"/>
      <c r="E170" s="430"/>
      <c r="F170" s="450">
        <v>0</v>
      </c>
      <c r="G170" s="470">
        <v>0</v>
      </c>
    </row>
    <row r="171" spans="1:8">
      <c r="A171" s="469" t="s">
        <v>23</v>
      </c>
      <c r="B171" s="450">
        <v>0</v>
      </c>
      <c r="C171" s="450">
        <v>0</v>
      </c>
      <c r="D171" s="430"/>
      <c r="E171" s="430"/>
      <c r="F171" s="450">
        <v>0</v>
      </c>
      <c r="G171" s="470">
        <v>0</v>
      </c>
    </row>
    <row r="172" spans="1:8">
      <c r="A172" s="469" t="s">
        <v>77</v>
      </c>
      <c r="B172" s="450">
        <v>0</v>
      </c>
      <c r="C172" s="450">
        <v>0</v>
      </c>
      <c r="D172" s="430"/>
      <c r="E172" s="430"/>
      <c r="F172" s="450">
        <v>0</v>
      </c>
      <c r="G172" s="470">
        <v>0</v>
      </c>
    </row>
    <row r="173" spans="1:8">
      <c r="A173" s="469" t="s">
        <v>24</v>
      </c>
      <c r="B173" s="450">
        <v>0</v>
      </c>
      <c r="C173" s="450">
        <v>0</v>
      </c>
      <c r="D173" s="430"/>
      <c r="E173" s="430"/>
      <c r="F173" s="450">
        <v>0</v>
      </c>
      <c r="G173" s="470">
        <v>0</v>
      </c>
    </row>
    <row r="174" spans="1:8">
      <c r="A174" s="469" t="s">
        <v>25</v>
      </c>
      <c r="B174" s="450">
        <v>0</v>
      </c>
      <c r="C174" s="450">
        <v>0</v>
      </c>
      <c r="D174" s="430"/>
      <c r="E174" s="430"/>
      <c r="F174" s="450">
        <v>0</v>
      </c>
      <c r="G174" s="470">
        <v>0</v>
      </c>
    </row>
    <row r="175" spans="1:8">
      <c r="A175" s="469" t="s">
        <v>27</v>
      </c>
      <c r="B175" s="450">
        <v>0</v>
      </c>
      <c r="C175" s="450">
        <v>0</v>
      </c>
      <c r="D175" s="430"/>
      <c r="E175" s="430"/>
      <c r="F175" s="450">
        <v>0</v>
      </c>
      <c r="G175" s="470">
        <v>0</v>
      </c>
    </row>
    <row r="176" spans="1:8">
      <c r="A176" s="469" t="s">
        <v>29</v>
      </c>
      <c r="B176" s="450">
        <v>0</v>
      </c>
      <c r="C176" s="450">
        <v>0</v>
      </c>
      <c r="D176" s="430"/>
      <c r="E176" s="430"/>
      <c r="F176" s="450">
        <v>0</v>
      </c>
      <c r="G176" s="470">
        <v>0</v>
      </c>
    </row>
    <row r="177" spans="1:7">
      <c r="A177" s="469" t="s">
        <v>30</v>
      </c>
      <c r="B177" s="450">
        <v>0</v>
      </c>
      <c r="C177" s="450">
        <v>0</v>
      </c>
      <c r="D177" s="430"/>
      <c r="E177" s="430"/>
      <c r="F177" s="450">
        <v>0</v>
      </c>
      <c r="G177" s="470">
        <v>0</v>
      </c>
    </row>
    <row r="178" spans="1:7">
      <c r="A178" s="469" t="s">
        <v>32</v>
      </c>
      <c r="B178" s="450">
        <v>0</v>
      </c>
      <c r="C178" s="450">
        <v>0</v>
      </c>
      <c r="D178" s="430"/>
      <c r="E178" s="430"/>
      <c r="F178" s="450">
        <v>0</v>
      </c>
      <c r="G178" s="470">
        <v>0</v>
      </c>
    </row>
    <row r="179" spans="1:7">
      <c r="A179" s="469" t="s">
        <v>34</v>
      </c>
      <c r="B179" s="450">
        <v>0</v>
      </c>
      <c r="C179" s="450">
        <v>0</v>
      </c>
      <c r="D179" s="430"/>
      <c r="E179" s="430"/>
      <c r="F179" s="450">
        <v>0</v>
      </c>
      <c r="G179" s="470">
        <v>0</v>
      </c>
    </row>
    <row r="180" spans="1:7">
      <c r="A180" s="469" t="s">
        <v>35</v>
      </c>
      <c r="B180" s="450">
        <v>0</v>
      </c>
      <c r="C180" s="450">
        <v>0</v>
      </c>
      <c r="D180" s="430"/>
      <c r="E180" s="430"/>
      <c r="F180" s="450">
        <v>0</v>
      </c>
      <c r="G180" s="470">
        <v>0</v>
      </c>
    </row>
    <row r="181" spans="1:7">
      <c r="A181" s="469" t="s">
        <v>37</v>
      </c>
      <c r="B181" s="450">
        <v>0</v>
      </c>
      <c r="C181" s="450">
        <v>0</v>
      </c>
      <c r="D181" s="430"/>
      <c r="E181" s="430"/>
      <c r="F181" s="450">
        <v>0</v>
      </c>
      <c r="G181" s="470">
        <v>0</v>
      </c>
    </row>
    <row r="182" spans="1:7">
      <c r="A182" s="469" t="s">
        <v>38</v>
      </c>
      <c r="B182" s="450">
        <v>0</v>
      </c>
      <c r="C182" s="450">
        <v>0</v>
      </c>
      <c r="D182" s="430"/>
      <c r="E182" s="430"/>
      <c r="F182" s="450">
        <v>0</v>
      </c>
      <c r="G182" s="470">
        <v>0</v>
      </c>
    </row>
    <row r="183" spans="1:7">
      <c r="A183" s="469" t="s">
        <v>39</v>
      </c>
      <c r="B183" s="450">
        <v>0</v>
      </c>
      <c r="C183" s="450">
        <v>0</v>
      </c>
      <c r="D183" s="430"/>
      <c r="E183" s="430"/>
      <c r="F183" s="450">
        <v>0</v>
      </c>
      <c r="G183" s="470">
        <v>0</v>
      </c>
    </row>
    <row r="184" spans="1:7">
      <c r="A184" s="469" t="s">
        <v>40</v>
      </c>
      <c r="B184" s="450">
        <v>0</v>
      </c>
      <c r="C184" s="450">
        <v>0</v>
      </c>
      <c r="D184" s="430"/>
      <c r="E184" s="430"/>
      <c r="F184" s="450">
        <v>0</v>
      </c>
      <c r="G184" s="470">
        <v>0</v>
      </c>
    </row>
    <row r="185" spans="1:7">
      <c r="A185" s="469" t="s">
        <v>41</v>
      </c>
      <c r="B185" s="450">
        <v>0</v>
      </c>
      <c r="C185" s="450">
        <v>0</v>
      </c>
      <c r="D185" s="430"/>
      <c r="E185" s="430"/>
      <c r="F185" s="450">
        <v>0</v>
      </c>
      <c r="G185" s="470">
        <v>0</v>
      </c>
    </row>
    <row r="186" spans="1:7">
      <c r="A186" s="469" t="s">
        <v>42</v>
      </c>
      <c r="B186" s="450">
        <v>0</v>
      </c>
      <c r="C186" s="450">
        <v>0</v>
      </c>
      <c r="D186" s="430"/>
      <c r="E186" s="430"/>
      <c r="F186" s="450">
        <v>0</v>
      </c>
      <c r="G186" s="470">
        <v>0</v>
      </c>
    </row>
    <row r="187" spans="1:7">
      <c r="A187" s="469" t="s">
        <v>43</v>
      </c>
      <c r="B187" s="450">
        <v>0</v>
      </c>
      <c r="C187" s="450">
        <v>0</v>
      </c>
      <c r="D187" s="430"/>
      <c r="E187" s="430"/>
      <c r="F187" s="450">
        <v>0</v>
      </c>
      <c r="G187" s="470">
        <v>0</v>
      </c>
    </row>
    <row r="188" spans="1:7">
      <c r="A188" s="469" t="s">
        <v>44</v>
      </c>
      <c r="B188" s="450">
        <v>0</v>
      </c>
      <c r="C188" s="450">
        <v>0</v>
      </c>
      <c r="D188" s="430"/>
      <c r="E188" s="430"/>
      <c r="F188" s="450">
        <v>0</v>
      </c>
      <c r="G188" s="470">
        <v>0</v>
      </c>
    </row>
    <row r="189" spans="1:7">
      <c r="A189" s="469" t="s">
        <v>45</v>
      </c>
      <c r="B189" s="450">
        <v>0</v>
      </c>
      <c r="C189" s="450">
        <v>0</v>
      </c>
      <c r="D189" s="430"/>
      <c r="E189" s="430"/>
      <c r="F189" s="450">
        <v>0</v>
      </c>
      <c r="G189" s="470">
        <v>0</v>
      </c>
    </row>
    <row r="190" spans="1:7">
      <c r="A190" s="469" t="s">
        <v>47</v>
      </c>
      <c r="B190" s="450">
        <v>0</v>
      </c>
      <c r="C190" s="450">
        <v>0</v>
      </c>
      <c r="D190" s="430"/>
      <c r="E190" s="430"/>
      <c r="F190" s="450">
        <v>0</v>
      </c>
      <c r="G190" s="470">
        <v>0</v>
      </c>
    </row>
    <row r="191" spans="1:7">
      <c r="A191" s="469" t="s">
        <v>52</v>
      </c>
      <c r="B191" s="450">
        <v>0</v>
      </c>
      <c r="C191" s="450">
        <v>0</v>
      </c>
      <c r="D191" s="430"/>
      <c r="E191" s="430"/>
      <c r="F191" s="450">
        <v>0</v>
      </c>
      <c r="G191" s="470">
        <v>0</v>
      </c>
    </row>
    <row r="192" spans="1:7">
      <c r="A192" s="469" t="s">
        <v>415</v>
      </c>
      <c r="B192" s="450">
        <v>0</v>
      </c>
      <c r="C192" s="450">
        <v>0</v>
      </c>
      <c r="D192" s="430"/>
      <c r="E192" s="430"/>
      <c r="F192" s="450">
        <v>0</v>
      </c>
      <c r="G192" s="470">
        <v>0</v>
      </c>
    </row>
    <row r="193" spans="1:7">
      <c r="A193" s="469" t="s">
        <v>53</v>
      </c>
      <c r="B193" s="450">
        <v>0</v>
      </c>
      <c r="C193" s="450">
        <v>0</v>
      </c>
      <c r="D193" s="430"/>
      <c r="E193" s="430"/>
      <c r="F193" s="450">
        <v>0</v>
      </c>
      <c r="G193" s="470">
        <v>0</v>
      </c>
    </row>
    <row r="194" spans="1:7">
      <c r="A194" s="469" t="s">
        <v>54</v>
      </c>
      <c r="B194" s="450">
        <v>0</v>
      </c>
      <c r="C194" s="450">
        <v>0</v>
      </c>
      <c r="D194" s="430"/>
      <c r="E194" s="430"/>
      <c r="F194" s="450">
        <v>0</v>
      </c>
      <c r="G194" s="470">
        <v>0</v>
      </c>
    </row>
    <row r="195" spans="1:7">
      <c r="A195" s="469" t="s">
        <v>416</v>
      </c>
      <c r="B195" s="450">
        <v>0</v>
      </c>
      <c r="C195" s="450">
        <v>0</v>
      </c>
      <c r="D195" s="430"/>
      <c r="E195" s="430"/>
      <c r="F195" s="450">
        <v>0</v>
      </c>
      <c r="G195" s="470">
        <v>0</v>
      </c>
    </row>
    <row r="196" spans="1:7">
      <c r="A196" s="469" t="s">
        <v>55</v>
      </c>
      <c r="B196" s="450">
        <v>0</v>
      </c>
      <c r="C196" s="450">
        <v>0</v>
      </c>
      <c r="D196" s="430"/>
      <c r="E196" s="430"/>
      <c r="F196" s="450">
        <v>0</v>
      </c>
      <c r="G196" s="470">
        <v>0</v>
      </c>
    </row>
    <row r="197" spans="1:7">
      <c r="A197" s="469" t="s">
        <v>56</v>
      </c>
      <c r="B197" s="450">
        <v>0</v>
      </c>
      <c r="C197" s="450">
        <v>0</v>
      </c>
      <c r="D197" s="430"/>
      <c r="E197" s="430"/>
      <c r="F197" s="450">
        <v>0</v>
      </c>
      <c r="G197" s="470">
        <v>0</v>
      </c>
    </row>
    <row r="198" spans="1:7">
      <c r="A198" s="469" t="s">
        <v>57</v>
      </c>
      <c r="B198" s="450">
        <v>0</v>
      </c>
      <c r="C198" s="450">
        <v>0</v>
      </c>
      <c r="D198" s="430"/>
      <c r="E198" s="430"/>
      <c r="F198" s="450">
        <v>0</v>
      </c>
      <c r="G198" s="470">
        <v>0</v>
      </c>
    </row>
    <row r="199" spans="1:7">
      <c r="A199" s="469" t="s">
        <v>59</v>
      </c>
      <c r="B199" s="450">
        <v>0</v>
      </c>
      <c r="C199" s="450">
        <v>0</v>
      </c>
      <c r="D199" s="430"/>
      <c r="E199" s="430"/>
      <c r="F199" s="450">
        <v>0</v>
      </c>
      <c r="G199" s="470">
        <v>0</v>
      </c>
    </row>
    <row r="200" spans="1:7">
      <c r="A200" s="471" t="s">
        <v>60</v>
      </c>
      <c r="B200" s="450">
        <v>0</v>
      </c>
      <c r="C200" s="472">
        <v>0</v>
      </c>
      <c r="D200" s="473"/>
      <c r="E200" s="473"/>
      <c r="F200" s="450">
        <v>0</v>
      </c>
      <c r="G200" s="474">
        <v>0</v>
      </c>
    </row>
    <row r="201" spans="1:7" ht="14.4" thickBot="1">
      <c r="A201" s="432" t="s">
        <v>517</v>
      </c>
      <c r="B201" s="433">
        <f t="shared" ref="B201:G201" si="4">SUM(B162:B200)</f>
        <v>0</v>
      </c>
      <c r="C201" s="433">
        <f t="shared" si="4"/>
        <v>0</v>
      </c>
      <c r="D201" s="433">
        <f t="shared" si="4"/>
        <v>0</v>
      </c>
      <c r="E201" s="433">
        <f t="shared" si="4"/>
        <v>0</v>
      </c>
      <c r="F201" s="433">
        <f t="shared" si="4"/>
        <v>0</v>
      </c>
      <c r="G201" s="433">
        <f t="shared" si="4"/>
        <v>0</v>
      </c>
    </row>
    <row r="202" spans="1:7">
      <c r="A202" s="438" t="s">
        <v>518</v>
      </c>
      <c r="B202" s="439">
        <f t="shared" ref="B202:G202" si="5">+B65+B130+B139+B160+B201</f>
        <v>0</v>
      </c>
      <c r="C202" s="439">
        <f t="shared" si="5"/>
        <v>0</v>
      </c>
      <c r="D202" s="439">
        <f t="shared" si="5"/>
        <v>0</v>
      </c>
      <c r="E202" s="439">
        <f t="shared" si="5"/>
        <v>0</v>
      </c>
      <c r="F202" s="439">
        <f t="shared" si="5"/>
        <v>0</v>
      </c>
      <c r="G202" s="440">
        <f t="shared" si="5"/>
        <v>0</v>
      </c>
    </row>
    <row r="203" spans="1:7">
      <c r="A203" s="441" t="s">
        <v>520</v>
      </c>
      <c r="B203" s="442"/>
      <c r="C203" s="442"/>
      <c r="D203" s="442"/>
      <c r="E203" s="442"/>
      <c r="F203" s="442"/>
      <c r="G203" s="443"/>
    </row>
    <row r="204" spans="1:7">
      <c r="A204" s="469" t="s">
        <v>612</v>
      </c>
      <c r="B204" s="450">
        <v>0</v>
      </c>
      <c r="C204" s="450">
        <v>0</v>
      </c>
      <c r="D204" s="430"/>
      <c r="E204" s="430"/>
      <c r="F204" s="450">
        <v>0</v>
      </c>
      <c r="G204" s="450">
        <v>0</v>
      </c>
    </row>
    <row r="205" spans="1:7">
      <c r="A205" s="469" t="s">
        <v>61</v>
      </c>
      <c r="B205" s="450">
        <v>0</v>
      </c>
      <c r="C205" s="450">
        <v>0</v>
      </c>
      <c r="D205" s="430"/>
      <c r="E205" s="430"/>
      <c r="F205" s="450">
        <v>0</v>
      </c>
      <c r="G205" s="450">
        <v>0</v>
      </c>
    </row>
    <row r="206" spans="1:7">
      <c r="A206" s="469" t="s">
        <v>62</v>
      </c>
      <c r="B206" s="450">
        <v>0</v>
      </c>
      <c r="C206" s="450">
        <v>0</v>
      </c>
      <c r="D206" s="430"/>
      <c r="E206" s="430"/>
      <c r="F206" s="450">
        <v>0</v>
      </c>
      <c r="G206" s="450">
        <v>0</v>
      </c>
    </row>
    <row r="207" spans="1:7">
      <c r="A207" s="469" t="s">
        <v>63</v>
      </c>
      <c r="B207" s="450">
        <v>0</v>
      </c>
      <c r="C207" s="450">
        <v>0</v>
      </c>
      <c r="D207" s="430"/>
      <c r="E207" s="430"/>
      <c r="F207" s="450">
        <v>0</v>
      </c>
      <c r="G207" s="450">
        <v>0</v>
      </c>
    </row>
    <row r="208" spans="1:7">
      <c r="A208" s="469" t="s">
        <v>64</v>
      </c>
      <c r="B208" s="450">
        <v>0</v>
      </c>
      <c r="C208" s="450">
        <v>0</v>
      </c>
      <c r="D208" s="430"/>
      <c r="E208" s="430"/>
      <c r="F208" s="450">
        <v>0</v>
      </c>
      <c r="G208" s="450">
        <v>0</v>
      </c>
    </row>
    <row r="209" spans="1:7">
      <c r="A209" s="469" t="s">
        <v>417</v>
      </c>
      <c r="B209" s="450">
        <v>0</v>
      </c>
      <c r="C209" s="450">
        <v>0</v>
      </c>
      <c r="D209" s="430"/>
      <c r="E209" s="430"/>
      <c r="F209" s="450">
        <v>0</v>
      </c>
      <c r="G209" s="450">
        <v>0</v>
      </c>
    </row>
    <row r="210" spans="1:7">
      <c r="A210" s="469" t="s">
        <v>3</v>
      </c>
      <c r="B210" s="450">
        <v>0</v>
      </c>
      <c r="C210" s="450">
        <v>0</v>
      </c>
      <c r="D210" s="430"/>
      <c r="E210" s="430"/>
      <c r="F210" s="450">
        <v>0</v>
      </c>
      <c r="G210" s="450">
        <v>0</v>
      </c>
    </row>
    <row r="211" spans="1:7">
      <c r="A211" s="469" t="s">
        <v>613</v>
      </c>
      <c r="B211" s="450">
        <v>0</v>
      </c>
      <c r="C211" s="450">
        <v>0</v>
      </c>
      <c r="D211" s="430"/>
      <c r="E211" s="430"/>
      <c r="F211" s="450">
        <v>0</v>
      </c>
      <c r="G211" s="450">
        <v>0</v>
      </c>
    </row>
    <row r="212" spans="1:7">
      <c r="A212" s="469" t="s">
        <v>66</v>
      </c>
      <c r="B212" s="450">
        <v>0</v>
      </c>
      <c r="C212" s="450">
        <v>0</v>
      </c>
      <c r="D212" s="430"/>
      <c r="E212" s="430"/>
      <c r="F212" s="450">
        <v>0</v>
      </c>
      <c r="G212" s="450">
        <v>0</v>
      </c>
    </row>
    <row r="213" spans="1:7">
      <c r="A213" s="469" t="s">
        <v>68</v>
      </c>
      <c r="B213" s="450">
        <v>0</v>
      </c>
      <c r="C213" s="450">
        <v>0</v>
      </c>
      <c r="D213" s="430"/>
      <c r="E213" s="430"/>
      <c r="F213" s="450">
        <v>0</v>
      </c>
      <c r="G213" s="450">
        <v>0</v>
      </c>
    </row>
    <row r="214" spans="1:7">
      <c r="A214" s="469" t="s">
        <v>69</v>
      </c>
      <c r="B214" s="450">
        <v>0</v>
      </c>
      <c r="C214" s="450">
        <v>0</v>
      </c>
      <c r="D214" s="430"/>
      <c r="E214" s="430"/>
      <c r="F214" s="450">
        <v>0</v>
      </c>
      <c r="G214" s="450">
        <v>0</v>
      </c>
    </row>
    <row r="215" spans="1:7">
      <c r="A215" s="469" t="s">
        <v>614</v>
      </c>
      <c r="B215" s="450">
        <v>0</v>
      </c>
      <c r="C215" s="450">
        <v>0</v>
      </c>
      <c r="D215" s="430"/>
      <c r="E215" s="430"/>
      <c r="F215" s="450">
        <v>0</v>
      </c>
      <c r="G215" s="450">
        <v>0</v>
      </c>
    </row>
    <row r="216" spans="1:7">
      <c r="A216" s="469" t="s">
        <v>70</v>
      </c>
      <c r="B216" s="450">
        <v>0</v>
      </c>
      <c r="C216" s="450">
        <v>0</v>
      </c>
      <c r="D216" s="430"/>
      <c r="E216" s="430"/>
      <c r="F216" s="450">
        <v>0</v>
      </c>
      <c r="G216" s="450">
        <v>0</v>
      </c>
    </row>
    <row r="217" spans="1:7">
      <c r="A217" s="469" t="s">
        <v>72</v>
      </c>
      <c r="B217" s="450">
        <v>0</v>
      </c>
      <c r="C217" s="450">
        <v>0</v>
      </c>
      <c r="D217" s="430"/>
      <c r="E217" s="430"/>
      <c r="F217" s="450">
        <v>0</v>
      </c>
      <c r="G217" s="450">
        <v>0</v>
      </c>
    </row>
    <row r="218" spans="1:7">
      <c r="A218" s="469" t="s">
        <v>74</v>
      </c>
      <c r="B218" s="450">
        <v>0</v>
      </c>
      <c r="C218" s="450">
        <v>0</v>
      </c>
      <c r="D218" s="430"/>
      <c r="E218" s="430"/>
      <c r="F218" s="450">
        <v>0</v>
      </c>
      <c r="G218" s="450">
        <v>0</v>
      </c>
    </row>
    <row r="219" spans="1:7">
      <c r="A219" s="469" t="s">
        <v>615</v>
      </c>
      <c r="B219" s="450">
        <v>0</v>
      </c>
      <c r="C219" s="450">
        <v>0</v>
      </c>
      <c r="D219" s="430"/>
      <c r="E219" s="430"/>
      <c r="F219" s="450">
        <v>0</v>
      </c>
      <c r="G219" s="450">
        <v>0</v>
      </c>
    </row>
    <row r="220" spans="1:7">
      <c r="A220" s="469" t="s">
        <v>78</v>
      </c>
      <c r="B220" s="450">
        <v>0</v>
      </c>
      <c r="C220" s="450">
        <v>0</v>
      </c>
      <c r="D220" s="430"/>
      <c r="E220" s="430"/>
      <c r="F220" s="450">
        <v>0</v>
      </c>
      <c r="G220" s="450">
        <v>0</v>
      </c>
    </row>
    <row r="221" spans="1:7">
      <c r="A221" s="469" t="s">
        <v>80</v>
      </c>
      <c r="B221" s="450">
        <v>0</v>
      </c>
      <c r="C221" s="450">
        <v>0</v>
      </c>
      <c r="D221" s="430"/>
      <c r="E221" s="430"/>
      <c r="F221" s="450">
        <v>0</v>
      </c>
      <c r="G221" s="450">
        <v>0</v>
      </c>
    </row>
    <row r="222" spans="1:7">
      <c r="A222" s="469" t="s">
        <v>82</v>
      </c>
      <c r="B222" s="450">
        <v>0</v>
      </c>
      <c r="C222" s="450">
        <v>0</v>
      </c>
      <c r="D222" s="430"/>
      <c r="E222" s="430"/>
      <c r="F222" s="450">
        <v>0</v>
      </c>
      <c r="G222" s="450">
        <v>0</v>
      </c>
    </row>
    <row r="223" spans="1:7">
      <c r="A223" s="469" t="s">
        <v>616</v>
      </c>
      <c r="B223" s="450">
        <v>0</v>
      </c>
      <c r="C223" s="450">
        <v>0</v>
      </c>
      <c r="D223" s="430"/>
      <c r="E223" s="430"/>
      <c r="F223" s="450">
        <v>0</v>
      </c>
      <c r="G223" s="450">
        <v>0</v>
      </c>
    </row>
    <row r="224" spans="1:7">
      <c r="A224" s="469" t="s">
        <v>617</v>
      </c>
      <c r="B224" s="450">
        <v>0</v>
      </c>
      <c r="C224" s="450">
        <v>0</v>
      </c>
      <c r="D224" s="430"/>
      <c r="E224" s="430"/>
      <c r="F224" s="450">
        <v>0</v>
      </c>
      <c r="G224" s="450">
        <v>0</v>
      </c>
    </row>
    <row r="225" spans="1:7">
      <c r="A225" s="469" t="s">
        <v>84</v>
      </c>
      <c r="B225" s="450">
        <v>0</v>
      </c>
      <c r="C225" s="450">
        <v>0</v>
      </c>
      <c r="D225" s="430"/>
      <c r="E225" s="430"/>
      <c r="F225" s="450">
        <v>0</v>
      </c>
      <c r="G225" s="450">
        <v>0</v>
      </c>
    </row>
    <row r="226" spans="1:7">
      <c r="A226" s="469" t="s">
        <v>85</v>
      </c>
      <c r="B226" s="450">
        <v>0</v>
      </c>
      <c r="C226" s="450">
        <v>0</v>
      </c>
      <c r="D226" s="430"/>
      <c r="E226" s="430"/>
      <c r="F226" s="450">
        <v>0</v>
      </c>
      <c r="G226" s="450">
        <v>0</v>
      </c>
    </row>
    <row r="227" spans="1:7">
      <c r="A227" s="469" t="s">
        <v>86</v>
      </c>
      <c r="B227" s="450">
        <v>0</v>
      </c>
      <c r="C227" s="450">
        <v>0</v>
      </c>
      <c r="D227" s="430"/>
      <c r="E227" s="430"/>
      <c r="F227" s="450">
        <v>0</v>
      </c>
      <c r="G227" s="450">
        <v>0</v>
      </c>
    </row>
    <row r="228" spans="1:7">
      <c r="A228" s="469" t="s">
        <v>87</v>
      </c>
      <c r="B228" s="450">
        <v>0</v>
      </c>
      <c r="C228" s="450">
        <v>0</v>
      </c>
      <c r="D228" s="430"/>
      <c r="E228" s="430"/>
      <c r="F228" s="450">
        <v>0</v>
      </c>
      <c r="G228" s="450">
        <v>0</v>
      </c>
    </row>
    <row r="229" spans="1:7">
      <c r="A229" s="469" t="s">
        <v>88</v>
      </c>
      <c r="B229" s="450">
        <v>0</v>
      </c>
      <c r="C229" s="450">
        <v>0</v>
      </c>
      <c r="D229" s="430"/>
      <c r="E229" s="430"/>
      <c r="F229" s="450">
        <v>0</v>
      </c>
      <c r="G229" s="450">
        <v>0</v>
      </c>
    </row>
    <row r="230" spans="1:7">
      <c r="A230" s="469" t="s">
        <v>89</v>
      </c>
      <c r="B230" s="450">
        <v>0</v>
      </c>
      <c r="C230" s="450">
        <v>0</v>
      </c>
      <c r="D230" s="430"/>
      <c r="E230" s="430"/>
      <c r="F230" s="450">
        <v>0</v>
      </c>
      <c r="G230" s="450">
        <v>0</v>
      </c>
    </row>
    <row r="231" spans="1:7" s="431" customFormat="1" ht="14.4">
      <c r="A231" s="469" t="s">
        <v>90</v>
      </c>
      <c r="B231" s="450">
        <v>0</v>
      </c>
      <c r="C231" s="450">
        <v>0</v>
      </c>
      <c r="D231" s="430"/>
      <c r="E231" s="430"/>
      <c r="F231" s="450">
        <v>0</v>
      </c>
      <c r="G231" s="450">
        <v>0</v>
      </c>
    </row>
    <row r="232" spans="1:7">
      <c r="A232" s="469" t="s">
        <v>91</v>
      </c>
      <c r="B232" s="450">
        <v>0</v>
      </c>
      <c r="C232" s="450">
        <v>0</v>
      </c>
      <c r="D232" s="430"/>
      <c r="E232" s="430"/>
      <c r="F232" s="450">
        <v>0</v>
      </c>
      <c r="G232" s="450">
        <v>0</v>
      </c>
    </row>
    <row r="233" spans="1:7">
      <c r="A233" s="469" t="s">
        <v>618</v>
      </c>
      <c r="B233" s="450">
        <v>0</v>
      </c>
      <c r="C233" s="450">
        <v>0</v>
      </c>
      <c r="D233" s="430"/>
      <c r="E233" s="430"/>
      <c r="F233" s="450">
        <v>0</v>
      </c>
      <c r="G233" s="450">
        <v>0</v>
      </c>
    </row>
    <row r="234" spans="1:7">
      <c r="A234" s="469" t="s">
        <v>92</v>
      </c>
      <c r="B234" s="450">
        <v>0</v>
      </c>
      <c r="C234" s="450">
        <v>0</v>
      </c>
      <c r="D234" s="430"/>
      <c r="E234" s="430"/>
      <c r="F234" s="450">
        <v>0</v>
      </c>
      <c r="G234" s="450">
        <v>0</v>
      </c>
    </row>
    <row r="235" spans="1:7">
      <c r="A235" s="469" t="s">
        <v>93</v>
      </c>
      <c r="B235" s="450">
        <v>0</v>
      </c>
      <c r="C235" s="450">
        <v>0</v>
      </c>
      <c r="D235" s="430"/>
      <c r="E235" s="430"/>
      <c r="F235" s="450">
        <v>0</v>
      </c>
      <c r="G235" s="450">
        <v>0</v>
      </c>
    </row>
    <row r="236" spans="1:7">
      <c r="A236" s="469" t="s">
        <v>95</v>
      </c>
      <c r="B236" s="450">
        <v>0</v>
      </c>
      <c r="C236" s="450">
        <v>0</v>
      </c>
      <c r="D236" s="430"/>
      <c r="E236" s="430"/>
      <c r="F236" s="450">
        <v>0</v>
      </c>
      <c r="G236" s="450">
        <v>0</v>
      </c>
    </row>
    <row r="237" spans="1:7" ht="14.4" thickBot="1">
      <c r="A237" s="444" t="s">
        <v>519</v>
      </c>
      <c r="B237" s="433">
        <f t="shared" ref="B237:G237" si="6">SUM(B204:B236)</f>
        <v>0</v>
      </c>
      <c r="C237" s="433">
        <f t="shared" si="6"/>
        <v>0</v>
      </c>
      <c r="D237" s="433">
        <f t="shared" si="6"/>
        <v>0</v>
      </c>
      <c r="E237" s="433">
        <f t="shared" si="6"/>
        <v>0</v>
      </c>
      <c r="F237" s="433">
        <f t="shared" si="6"/>
        <v>0</v>
      </c>
      <c r="G237" s="434">
        <f t="shared" si="6"/>
        <v>0</v>
      </c>
    </row>
    <row r="238" spans="1:7" ht="14.4" thickBot="1">
      <c r="A238" s="445" t="s">
        <v>186</v>
      </c>
      <c r="B238" s="446">
        <f t="shared" ref="B238:G238" si="7">+B202+B237</f>
        <v>0</v>
      </c>
      <c r="C238" s="446">
        <f t="shared" si="7"/>
        <v>0</v>
      </c>
      <c r="D238" s="446">
        <f t="shared" si="7"/>
        <v>0</v>
      </c>
      <c r="E238" s="446">
        <f t="shared" si="7"/>
        <v>0</v>
      </c>
      <c r="F238" s="446">
        <f t="shared" si="7"/>
        <v>0</v>
      </c>
      <c r="G238" s="447">
        <f t="shared" si="7"/>
        <v>0</v>
      </c>
    </row>
    <row r="239" spans="1:7">
      <c r="A239" s="324"/>
      <c r="B239" s="448"/>
      <c r="C239" s="448"/>
      <c r="D239" s="449"/>
      <c r="E239" s="449"/>
      <c r="F239" s="448"/>
      <c r="G239" s="448"/>
    </row>
    <row r="240" spans="1:7">
      <c r="A240" s="324"/>
      <c r="B240" s="448"/>
      <c r="C240" s="448"/>
      <c r="E240" s="457"/>
      <c r="F240" s="448"/>
      <c r="G240" s="448"/>
    </row>
    <row r="241" spans="2:7">
      <c r="B241" s="105" t="s">
        <v>299</v>
      </c>
      <c r="C241" s="449"/>
      <c r="F241" s="105"/>
      <c r="G241" s="449"/>
    </row>
    <row r="242" spans="2:7">
      <c r="B242" s="6" t="s">
        <v>494</v>
      </c>
      <c r="C242" s="449"/>
      <c r="F242" s="105" t="s">
        <v>475</v>
      </c>
      <c r="G242" s="449"/>
    </row>
    <row r="243" spans="2:7">
      <c r="F243" s="105"/>
    </row>
    <row r="244" spans="2:7">
      <c r="F244" s="105" t="s">
        <v>477</v>
      </c>
    </row>
    <row r="246" spans="2:7">
      <c r="F246" s="105"/>
    </row>
  </sheetData>
  <mergeCells count="6">
    <mergeCell ref="A2:G2"/>
    <mergeCell ref="A3:G3"/>
    <mergeCell ref="A5:A6"/>
    <mergeCell ref="B5:C5"/>
    <mergeCell ref="D5:E5"/>
    <mergeCell ref="F5:G5"/>
  </mergeCells>
  <phoneticPr fontId="41" type="noConversion"/>
  <printOptions horizontalCentered="1"/>
  <pageMargins left="0.70866141732283472" right="0.19" top="0.18" bottom="0.3" header="0.19" footer="0.31496062992125984"/>
  <pageSetup paperSize="9" scale="45" fitToHeight="2"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pageSetUpPr fitToPage="1"/>
  </sheetPr>
  <dimension ref="A1:K21"/>
  <sheetViews>
    <sheetView workbookViewId="0">
      <selection activeCell="G16" sqref="G16"/>
    </sheetView>
  </sheetViews>
  <sheetFormatPr defaultColWidth="9.109375" defaultRowHeight="15.6"/>
  <cols>
    <col min="1" max="1" width="4.109375" style="238" customWidth="1"/>
    <col min="2" max="2" width="18.109375" style="238" bestFit="1" customWidth="1"/>
    <col min="3" max="10" width="11.5546875" style="238" customWidth="1"/>
    <col min="11" max="11" width="12.44140625" style="238" customWidth="1"/>
    <col min="12" max="16384" width="9.109375" style="238"/>
  </cols>
  <sheetData>
    <row r="1" spans="1:11">
      <c r="K1" s="245" t="s">
        <v>158</v>
      </c>
    </row>
    <row r="2" spans="1:11" ht="36" customHeight="1">
      <c r="A2" s="1216" t="str">
        <f>""&amp;(Шаблон!B1)&amp;"нинг "&amp;(Шаблон!B2)&amp;" вилоят  бошқармаси "&amp;(Шаблон!B3)&amp;" филиалида ўтказилган аудит текшируви натижалари бўйича ўтган 2010 йил ва 2011 йилда аниқланган камчиликлар сони тўғрисида"</f>
        <v>АТ "Халқ банк"нинг Фаргона вилояти вилоят  бошқармаси Бешариқ филиали филиалида ўтказилган аудит текшируви натижалари бўйича ўтган 2010 йил ва 2011 йилда аниқланган камчиликлар сони тўғрисида</v>
      </c>
      <c r="B2" s="1216"/>
      <c r="C2" s="1216"/>
      <c r="D2" s="1216"/>
      <c r="E2" s="1216"/>
      <c r="F2" s="1216"/>
      <c r="G2" s="1216"/>
      <c r="H2" s="1216"/>
      <c r="I2" s="1216"/>
      <c r="J2" s="1216"/>
      <c r="K2" s="1216"/>
    </row>
    <row r="3" spans="1:11">
      <c r="B3" s="1194" t="s">
        <v>385</v>
      </c>
      <c r="C3" s="1194"/>
      <c r="D3" s="1194"/>
      <c r="E3" s="1194"/>
      <c r="F3" s="1194"/>
      <c r="G3" s="1194"/>
      <c r="H3" s="1194"/>
      <c r="I3" s="1194"/>
      <c r="J3" s="1194"/>
    </row>
    <row r="4" spans="1:11" ht="16.2" thickBot="1"/>
    <row r="5" spans="1:11" ht="12.75" customHeight="1">
      <c r="A5" s="1202" t="s">
        <v>245</v>
      </c>
      <c r="B5" s="1229" t="s">
        <v>214</v>
      </c>
      <c r="C5" s="1197" t="s">
        <v>128</v>
      </c>
      <c r="D5" s="1201"/>
      <c r="E5" s="1201"/>
      <c r="F5" s="1199"/>
      <c r="G5" s="1200" t="s">
        <v>420</v>
      </c>
      <c r="H5" s="1201"/>
      <c r="I5" s="1201"/>
      <c r="J5" s="1199"/>
      <c r="K5" s="1235" t="s">
        <v>129</v>
      </c>
    </row>
    <row r="6" spans="1:11" ht="21.75" customHeight="1">
      <c r="A6" s="1222"/>
      <c r="B6" s="1230"/>
      <c r="C6" s="1231"/>
      <c r="D6" s="1232"/>
      <c r="E6" s="1232"/>
      <c r="F6" s="1233"/>
      <c r="G6" s="1234"/>
      <c r="H6" s="1232"/>
      <c r="I6" s="1232"/>
      <c r="J6" s="1233"/>
      <c r="K6" s="1236"/>
    </row>
    <row r="7" spans="1:11" ht="51.75" customHeight="1" thickBot="1">
      <c r="A7" s="1222"/>
      <c r="B7" s="1230"/>
      <c r="C7" s="224" t="s">
        <v>130</v>
      </c>
      <c r="D7" s="225" t="s">
        <v>131</v>
      </c>
      <c r="E7" s="225" t="s">
        <v>132</v>
      </c>
      <c r="F7" s="226" t="s">
        <v>216</v>
      </c>
      <c r="G7" s="227" t="s">
        <v>130</v>
      </c>
      <c r="H7" s="225" t="s">
        <v>131</v>
      </c>
      <c r="I7" s="225" t="s">
        <v>132</v>
      </c>
      <c r="J7" s="226" t="s">
        <v>216</v>
      </c>
      <c r="K7" s="1236"/>
    </row>
    <row r="8" spans="1:11" s="92" customFormat="1" ht="10.5" customHeight="1">
      <c r="A8" s="160" t="s">
        <v>208</v>
      </c>
      <c r="B8" s="161" t="s">
        <v>209</v>
      </c>
      <c r="C8" s="192">
        <v>1</v>
      </c>
      <c r="D8" s="192">
        <v>2</v>
      </c>
      <c r="E8" s="192">
        <v>3</v>
      </c>
      <c r="F8" s="192">
        <v>4</v>
      </c>
      <c r="G8" s="192">
        <v>5</v>
      </c>
      <c r="H8" s="192">
        <v>6</v>
      </c>
      <c r="I8" s="192">
        <v>7</v>
      </c>
      <c r="J8" s="192">
        <v>8</v>
      </c>
      <c r="K8" s="162">
        <v>9</v>
      </c>
    </row>
    <row r="9" spans="1:11">
      <c r="A9" s="308">
        <v>1</v>
      </c>
      <c r="B9" s="309" t="str">
        <f>""&amp;(Шаблон!B3)&amp;""</f>
        <v>Бешариқ филиали</v>
      </c>
      <c r="C9" s="399"/>
      <c r="D9" s="399"/>
      <c r="E9" s="399"/>
      <c r="F9" s="310">
        <f>+E9+D9+C9</f>
        <v>0</v>
      </c>
      <c r="G9" s="401"/>
      <c r="H9" s="401"/>
      <c r="I9" s="401"/>
      <c r="J9" s="310">
        <f>+I9+H9+G9</f>
        <v>0</v>
      </c>
      <c r="K9" s="311">
        <f>+J9-F9</f>
        <v>0</v>
      </c>
    </row>
    <row r="10" spans="1:11">
      <c r="A10" s="312">
        <v>2</v>
      </c>
      <c r="B10" s="237"/>
      <c r="C10" s="399"/>
      <c r="D10" s="399"/>
      <c r="E10" s="399"/>
      <c r="F10" s="310">
        <f>+E10+D10+C10</f>
        <v>0</v>
      </c>
      <c r="G10" s="401"/>
      <c r="H10" s="401"/>
      <c r="I10" s="401"/>
      <c r="J10" s="310">
        <f>+I10+H10+G10</f>
        <v>0</v>
      </c>
      <c r="K10" s="311">
        <f>+J10-F10</f>
        <v>0</v>
      </c>
    </row>
    <row r="11" spans="1:11">
      <c r="A11" s="312">
        <v>3</v>
      </c>
      <c r="B11" s="237"/>
      <c r="C11" s="400"/>
      <c r="D11" s="400"/>
      <c r="E11" s="400"/>
      <c r="F11" s="310">
        <f>+E11+D11+C11</f>
        <v>0</v>
      </c>
      <c r="G11" s="400"/>
      <c r="H11" s="400"/>
      <c r="I11" s="400"/>
      <c r="J11" s="310">
        <f>+I11+H11+G11</f>
        <v>0</v>
      </c>
      <c r="K11" s="311">
        <f>+J11-F11</f>
        <v>0</v>
      </c>
    </row>
    <row r="12" spans="1:11" ht="16.2" thickBot="1">
      <c r="A12" s="313"/>
      <c r="B12" s="314" t="s">
        <v>186</v>
      </c>
      <c r="C12" s="315">
        <f>SUM(C9:C11)</f>
        <v>0</v>
      </c>
      <c r="D12" s="315">
        <f>SUM(D9:D11)</f>
        <v>0</v>
      </c>
      <c r="E12" s="315">
        <f>SUM(E9:E11)</f>
        <v>0</v>
      </c>
      <c r="F12" s="315">
        <f>C12+D12+E12</f>
        <v>0</v>
      </c>
      <c r="G12" s="315">
        <f>SUM(G9:G11)</f>
        <v>0</v>
      </c>
      <c r="H12" s="315">
        <f>SUM(H9:H11)</f>
        <v>0</v>
      </c>
      <c r="I12" s="315">
        <f>SUM(I9:I11)</f>
        <v>0</v>
      </c>
      <c r="J12" s="315">
        <f>G12+H12+I12</f>
        <v>0</v>
      </c>
      <c r="K12" s="316">
        <f>J12-F12</f>
        <v>0</v>
      </c>
    </row>
    <row r="15" spans="1:11">
      <c r="B15" s="105" t="str">
        <f>""&amp;(Шаблон!B1)&amp;"нинг Ички Аудит"</f>
        <v>АТ "Халқ банк"нинг Ички Аудит</v>
      </c>
      <c r="C15" s="196"/>
      <c r="D15" s="145"/>
      <c r="E15" s="145"/>
      <c r="F15" s="145"/>
      <c r="G15" s="105"/>
      <c r="H15" s="235"/>
      <c r="I15" s="235"/>
    </row>
    <row r="16" spans="1:11">
      <c r="B16" s="6" t="s">
        <v>494</v>
      </c>
      <c r="C16" s="196"/>
      <c r="D16" s="145"/>
      <c r="E16" s="145"/>
      <c r="F16" s="145"/>
      <c r="G16" s="105">
        <f>Шаблон!B14</f>
        <v>0</v>
      </c>
      <c r="H16" s="236"/>
      <c r="J16" s="317"/>
    </row>
    <row r="17" spans="2:7">
      <c r="B17" s="105"/>
      <c r="C17" s="196"/>
      <c r="D17" s="145"/>
      <c r="E17" s="145"/>
      <c r="F17" s="145"/>
      <c r="G17" s="105"/>
    </row>
    <row r="18" spans="2:7">
      <c r="B18" s="105"/>
      <c r="C18" s="196"/>
      <c r="D18" s="145"/>
      <c r="E18" s="145"/>
      <c r="F18" s="145"/>
      <c r="G18" s="105" t="str">
        <f>Шаблон!B13</f>
        <v>А.Ҳазратқулов</v>
      </c>
    </row>
    <row r="19" spans="2:7">
      <c r="B19" s="105"/>
      <c r="C19" s="196"/>
      <c r="D19" s="145"/>
      <c r="E19" s="145"/>
      <c r="F19" s="145"/>
      <c r="G19" s="105"/>
    </row>
    <row r="20" spans="2:7">
      <c r="B20" s="105"/>
      <c r="C20" s="196"/>
      <c r="D20" s="145"/>
      <c r="E20" s="145"/>
      <c r="F20" s="145"/>
      <c r="G20" s="145"/>
    </row>
    <row r="21" spans="2:7">
      <c r="B21" s="105"/>
      <c r="C21" s="145"/>
      <c r="D21" s="145"/>
      <c r="E21" s="145"/>
      <c r="F21" s="145"/>
      <c r="G21" s="105"/>
    </row>
  </sheetData>
  <mergeCells count="7">
    <mergeCell ref="A2:K2"/>
    <mergeCell ref="B3:J3"/>
    <mergeCell ref="A5:A7"/>
    <mergeCell ref="B5:B7"/>
    <mergeCell ref="C5:F6"/>
    <mergeCell ref="G5:J6"/>
    <mergeCell ref="K5:K7"/>
  </mergeCells>
  <phoneticPr fontId="41" type="noConversion"/>
  <pageMargins left="0.70866141732283472" right="0.70866141732283472" top="0.74803149606299213" bottom="0.74803149606299213" header="0.31496062992125984" footer="0.31496062992125984"/>
  <pageSetup paperSize="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15"/>
  <sheetViews>
    <sheetView workbookViewId="0">
      <selection activeCell="D8" sqref="D8"/>
    </sheetView>
  </sheetViews>
  <sheetFormatPr defaultColWidth="9.109375" defaultRowHeight="15.6"/>
  <cols>
    <col min="1" max="1" width="5.5546875" style="238" customWidth="1"/>
    <col min="2" max="2" width="13.109375" style="238" customWidth="1"/>
    <col min="3" max="3" width="12.33203125" style="238" customWidth="1"/>
    <col min="4" max="4" width="10.6640625" style="238" customWidth="1"/>
    <col min="5" max="5" width="13.44140625" style="238" customWidth="1"/>
    <col min="6" max="6" width="13" style="238" customWidth="1"/>
    <col min="7" max="7" width="11.88671875" style="238" customWidth="1"/>
    <col min="8" max="8" width="12.6640625" style="238" customWidth="1"/>
    <col min="9" max="9" width="17.44140625" style="238" customWidth="1"/>
    <col min="10" max="10" width="11.33203125" style="238" customWidth="1"/>
    <col min="11" max="11" width="10.33203125" style="238" customWidth="1"/>
    <col min="12" max="12" width="11.5546875" style="238" customWidth="1"/>
    <col min="13" max="13" width="11.6640625" style="238" customWidth="1"/>
    <col min="14" max="14" width="10" style="238" customWidth="1"/>
    <col min="15" max="15" width="10.88671875" style="238" customWidth="1"/>
    <col min="16" max="16384" width="9.109375" style="238"/>
  </cols>
  <sheetData>
    <row r="1" spans="1:16">
      <c r="A1" s="1194" t="s">
        <v>739</v>
      </c>
      <c r="B1" s="1194"/>
      <c r="C1" s="1194"/>
      <c r="D1" s="1194"/>
      <c r="E1" s="1194"/>
      <c r="F1" s="1194"/>
      <c r="G1" s="1194"/>
      <c r="H1" s="1194"/>
      <c r="I1" s="1194"/>
      <c r="J1" s="1194"/>
      <c r="K1" s="1194"/>
      <c r="L1" s="1194"/>
      <c r="M1" s="1194"/>
      <c r="N1" s="1194"/>
      <c r="O1" s="1194"/>
      <c r="P1" s="1194"/>
    </row>
    <row r="2" spans="1:16">
      <c r="A2" s="1194" t="s">
        <v>740</v>
      </c>
      <c r="B2" s="1194"/>
      <c r="C2" s="1194"/>
      <c r="D2" s="1194"/>
      <c r="E2" s="1194"/>
      <c r="F2" s="1194"/>
      <c r="G2" s="1194"/>
      <c r="H2" s="1194"/>
      <c r="I2" s="1194"/>
      <c r="J2" s="1194"/>
      <c r="K2" s="1194"/>
      <c r="L2" s="1194"/>
      <c r="M2" s="1194"/>
      <c r="N2" s="1194"/>
      <c r="O2" s="1194"/>
      <c r="P2" s="1194"/>
    </row>
    <row r="3" spans="1:16">
      <c r="A3" s="1237" t="s">
        <v>197</v>
      </c>
      <c r="B3" s="1237"/>
      <c r="C3" s="1237"/>
      <c r="D3" s="1237"/>
      <c r="E3" s="1237"/>
      <c r="F3" s="1237"/>
      <c r="G3" s="1237"/>
      <c r="H3" s="1237"/>
      <c r="I3" s="1237"/>
      <c r="J3" s="1237"/>
      <c r="K3" s="1237"/>
      <c r="L3" s="1237"/>
      <c r="M3" s="1237"/>
      <c r="N3" s="1237"/>
      <c r="O3" s="1237"/>
      <c r="P3" s="1237"/>
    </row>
    <row r="4" spans="1:16" ht="16.2" thickBot="1">
      <c r="A4" s="498"/>
      <c r="B4" s="498"/>
      <c r="C4" s="498"/>
      <c r="D4" s="498"/>
      <c r="E4" s="498"/>
      <c r="F4" s="498"/>
      <c r="G4" s="498"/>
      <c r="H4" s="498"/>
      <c r="I4" s="498"/>
      <c r="J4" s="498"/>
      <c r="K4" s="498"/>
      <c r="L4" s="498"/>
      <c r="M4" s="498"/>
      <c r="N4" s="498"/>
      <c r="O4" s="498"/>
      <c r="P4" s="499" t="s">
        <v>248</v>
      </c>
    </row>
    <row r="5" spans="1:16">
      <c r="A5" s="1202" t="s">
        <v>228</v>
      </c>
      <c r="B5" s="1202" t="s">
        <v>214</v>
      </c>
      <c r="C5" s="1202" t="s">
        <v>478</v>
      </c>
      <c r="D5" s="1202" t="s">
        <v>479</v>
      </c>
      <c r="E5" s="1202" t="s">
        <v>480</v>
      </c>
      <c r="F5" s="1202" t="s">
        <v>481</v>
      </c>
      <c r="G5" s="1202" t="s">
        <v>482</v>
      </c>
      <c r="H5" s="1202" t="s">
        <v>483</v>
      </c>
      <c r="I5" s="1202" t="s">
        <v>484</v>
      </c>
      <c r="J5" s="1202" t="s">
        <v>485</v>
      </c>
      <c r="K5" s="1202" t="s">
        <v>486</v>
      </c>
      <c r="L5" s="1202" t="s">
        <v>487</v>
      </c>
      <c r="M5" s="1202" t="s">
        <v>488</v>
      </c>
      <c r="N5" s="1202" t="s">
        <v>489</v>
      </c>
      <c r="O5" s="1202" t="s">
        <v>490</v>
      </c>
      <c r="P5" s="1202" t="s">
        <v>216</v>
      </c>
    </row>
    <row r="6" spans="1:16" ht="131.25" customHeight="1" thickBot="1">
      <c r="A6" s="1222"/>
      <c r="B6" s="1222"/>
      <c r="C6" s="1222"/>
      <c r="D6" s="1222"/>
      <c r="E6" s="1222"/>
      <c r="F6" s="1222"/>
      <c r="G6" s="1222"/>
      <c r="H6" s="1222"/>
      <c r="I6" s="1222"/>
      <c r="J6" s="1222"/>
      <c r="K6" s="1222"/>
      <c r="L6" s="1222"/>
      <c r="M6" s="1222"/>
      <c r="N6" s="1222"/>
      <c r="O6" s="1222"/>
      <c r="P6" s="1222"/>
    </row>
    <row r="7" spans="1:16" s="92" customFormat="1" ht="10.199999999999999">
      <c r="A7" s="500" t="s">
        <v>208</v>
      </c>
      <c r="B7" s="501" t="s">
        <v>209</v>
      </c>
      <c r="C7" s="501">
        <v>1</v>
      </c>
      <c r="D7" s="501">
        <f>+C7+1</f>
        <v>2</v>
      </c>
      <c r="E7" s="501">
        <f>+D7+1</f>
        <v>3</v>
      </c>
      <c r="F7" s="501">
        <f t="shared" ref="F7:P7" si="0">+E7+1</f>
        <v>4</v>
      </c>
      <c r="G7" s="501">
        <f t="shared" si="0"/>
        <v>5</v>
      </c>
      <c r="H7" s="501">
        <f t="shared" si="0"/>
        <v>6</v>
      </c>
      <c r="I7" s="501">
        <f t="shared" si="0"/>
        <v>7</v>
      </c>
      <c r="J7" s="501">
        <f t="shared" si="0"/>
        <v>8</v>
      </c>
      <c r="K7" s="501">
        <f t="shared" si="0"/>
        <v>9</v>
      </c>
      <c r="L7" s="501">
        <f t="shared" si="0"/>
        <v>10</v>
      </c>
      <c r="M7" s="501">
        <f t="shared" si="0"/>
        <v>11</v>
      </c>
      <c r="N7" s="501">
        <f t="shared" si="0"/>
        <v>12</v>
      </c>
      <c r="O7" s="501">
        <f t="shared" si="0"/>
        <v>13</v>
      </c>
      <c r="P7" s="502">
        <f t="shared" si="0"/>
        <v>14</v>
      </c>
    </row>
    <row r="8" spans="1:16">
      <c r="A8" s="308">
        <v>1</v>
      </c>
      <c r="B8" s="309" t="s">
        <v>733</v>
      </c>
      <c r="C8" s="503"/>
      <c r="D8" s="503"/>
      <c r="E8" s="503"/>
      <c r="F8" s="503"/>
      <c r="G8" s="504"/>
      <c r="H8" s="503"/>
      <c r="I8" s="503"/>
      <c r="J8" s="503"/>
      <c r="K8" s="503"/>
      <c r="L8" s="503"/>
      <c r="M8" s="503"/>
      <c r="N8" s="503"/>
      <c r="O8" s="503"/>
      <c r="P8" s="505">
        <f>SUM(C8:O8)</f>
        <v>0</v>
      </c>
    </row>
    <row r="9" spans="1:16" ht="16.2" thickBot="1">
      <c r="A9" s="313"/>
      <c r="B9" s="314" t="s">
        <v>186</v>
      </c>
      <c r="C9" s="315">
        <v>0</v>
      </c>
      <c r="D9" s="315">
        <v>0</v>
      </c>
      <c r="E9" s="315">
        <v>0</v>
      </c>
      <c r="F9" s="315">
        <v>0</v>
      </c>
      <c r="G9" s="315">
        <f>+G8</f>
        <v>0</v>
      </c>
      <c r="H9" s="315">
        <v>0</v>
      </c>
      <c r="I9" s="315">
        <v>0</v>
      </c>
      <c r="J9" s="315">
        <v>0</v>
      </c>
      <c r="K9" s="315">
        <f>+K8</f>
        <v>0</v>
      </c>
      <c r="L9" s="315">
        <v>0</v>
      </c>
      <c r="M9" s="315">
        <v>0</v>
      </c>
      <c r="N9" s="315">
        <v>0</v>
      </c>
      <c r="O9" s="315">
        <v>0</v>
      </c>
      <c r="P9" s="316">
        <f>SUM(P8:P8)</f>
        <v>0</v>
      </c>
    </row>
    <row r="12" spans="1:16">
      <c r="B12" s="506" t="str">
        <f>""&amp;([2]Шаблон!B1)&amp;" Ички аудит"</f>
        <v>"Агробанк" ОАТБ Ички аудит</v>
      </c>
      <c r="C12" s="235"/>
      <c r="D12" s="235"/>
      <c r="E12" s="317"/>
      <c r="F12" s="317"/>
      <c r="G12" s="317"/>
      <c r="H12" s="235"/>
    </row>
    <row r="13" spans="1:16">
      <c r="B13" s="506" t="s">
        <v>494</v>
      </c>
      <c r="C13" s="235"/>
      <c r="D13" s="235"/>
      <c r="E13" s="317"/>
      <c r="F13" s="317"/>
      <c r="G13" s="235"/>
      <c r="H13" s="105" t="s">
        <v>720</v>
      </c>
      <c r="I13" s="317"/>
    </row>
    <row r="14" spans="1:16">
      <c r="H14" s="145"/>
    </row>
    <row r="15" spans="1:16">
      <c r="H15" s="105" t="s">
        <v>475</v>
      </c>
    </row>
  </sheetData>
  <mergeCells count="19">
    <mergeCell ref="A1:P1"/>
    <mergeCell ref="A2:P2"/>
    <mergeCell ref="A3:P3"/>
    <mergeCell ref="A5:A6"/>
    <mergeCell ref="B5:B6"/>
    <mergeCell ref="C5:C6"/>
    <mergeCell ref="D5:D6"/>
    <mergeCell ref="E5:E6"/>
    <mergeCell ref="F5:F6"/>
    <mergeCell ref="G5:G6"/>
    <mergeCell ref="N5:N6"/>
    <mergeCell ref="O5:O6"/>
    <mergeCell ref="P5:P6"/>
    <mergeCell ref="H5:H6"/>
    <mergeCell ref="I5:I6"/>
    <mergeCell ref="J5:J6"/>
    <mergeCell ref="K5:K6"/>
    <mergeCell ref="L5:L6"/>
    <mergeCell ref="M5:M6"/>
  </mergeCells>
  <phoneticPr fontId="41" type="noConversion"/>
  <pageMargins left="0.38" right="0.19" top="0.74803149606299213" bottom="0.74803149606299213" header="0.31496062992125984" footer="0.31496062992125984"/>
  <pageSetup paperSize="9" scale="78" orientation="landscape"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indexed="11"/>
    <pageSetUpPr fitToPage="1"/>
  </sheetPr>
  <dimension ref="A1:L29"/>
  <sheetViews>
    <sheetView workbookViewId="0">
      <selection activeCell="A2" sqref="A2:H2"/>
    </sheetView>
  </sheetViews>
  <sheetFormatPr defaultColWidth="9.109375" defaultRowHeight="15.6"/>
  <cols>
    <col min="1" max="1" width="4.44140625" style="236" customWidth="1"/>
    <col min="2" max="2" width="60.33203125" style="236" customWidth="1"/>
    <col min="3" max="5" width="16.44140625" style="235" customWidth="1"/>
    <col min="6" max="6" width="15.44140625" style="235" customWidth="1"/>
    <col min="7" max="7" width="14.88671875" style="235" customWidth="1"/>
    <col min="8" max="8" width="21.88671875" style="235" customWidth="1"/>
    <col min="9" max="9" width="19.33203125" style="235" customWidth="1"/>
    <col min="10" max="10" width="29.44140625" style="235" customWidth="1"/>
    <col min="11" max="11" width="12.33203125" style="235" hidden="1" customWidth="1"/>
    <col min="12" max="12" width="13.5546875" style="235" hidden="1" customWidth="1"/>
    <col min="13" max="16384" width="9.109375" style="235"/>
  </cols>
  <sheetData>
    <row r="1" spans="1:12">
      <c r="H1" s="319" t="s">
        <v>159</v>
      </c>
    </row>
    <row r="2" spans="1:12" s="236" customFormat="1">
      <c r="A2" s="1246" t="str">
        <f>""&amp;(Шаблон!B1)&amp;"нинг "&amp;(Шаблон!B2)&amp;" шахар "&amp;(Шаблон!B3)&amp;" филиалида "&amp;(Шаблон!B15)&amp;" ҳолатига ўтказилган"</f>
        <v>АТ "Халқ банк"нинг Фаргона вилояти шахар Бешариқ филиали филиалида 2024 йил 1 январ ҳолатига ўтказилган</v>
      </c>
      <c r="B2" s="1246"/>
      <c r="C2" s="1246"/>
      <c r="D2" s="1246"/>
      <c r="E2" s="1246"/>
      <c r="F2" s="1246"/>
      <c r="G2" s="1246"/>
      <c r="H2" s="1246"/>
      <c r="I2" s="318"/>
      <c r="J2" s="318"/>
      <c r="K2" s="318"/>
      <c r="L2" s="318"/>
    </row>
    <row r="3" spans="1:12" s="236" customFormat="1">
      <c r="A3" s="1246" t="s">
        <v>133</v>
      </c>
      <c r="B3" s="1246"/>
      <c r="C3" s="1246"/>
      <c r="D3" s="1246"/>
      <c r="E3" s="1246"/>
      <c r="F3" s="1246"/>
      <c r="G3" s="1246"/>
      <c r="H3" s="1246"/>
      <c r="I3" s="318"/>
      <c r="J3" s="318"/>
      <c r="K3" s="318"/>
      <c r="L3" s="318"/>
    </row>
    <row r="4" spans="1:12" s="236" customFormat="1">
      <c r="A4" s="1246" t="s">
        <v>160</v>
      </c>
      <c r="B4" s="1246"/>
      <c r="C4" s="1246"/>
      <c r="D4" s="1246"/>
      <c r="E4" s="1246"/>
      <c r="F4" s="1246"/>
      <c r="G4" s="1246"/>
      <c r="H4" s="1246"/>
      <c r="I4" s="318"/>
      <c r="J4" s="318"/>
      <c r="K4" s="318"/>
      <c r="L4" s="318"/>
    </row>
    <row r="5" spans="1:12" s="236" customFormat="1">
      <c r="A5" s="1246" t="s">
        <v>385</v>
      </c>
      <c r="B5" s="1246"/>
      <c r="C5" s="1246"/>
      <c r="D5" s="1246"/>
      <c r="E5" s="1246"/>
      <c r="F5" s="1246"/>
      <c r="G5" s="1246"/>
      <c r="H5" s="1246"/>
      <c r="I5" s="318"/>
      <c r="J5" s="318"/>
      <c r="K5" s="318"/>
      <c r="L5" s="318"/>
    </row>
    <row r="6" spans="1:12" ht="16.2" thickBot="1">
      <c r="H6" s="373" t="s">
        <v>248</v>
      </c>
    </row>
    <row r="7" spans="1:12" ht="37.5" customHeight="1">
      <c r="A7" s="1240" t="s">
        <v>213</v>
      </c>
      <c r="B7" s="1240" t="s">
        <v>523</v>
      </c>
      <c r="C7" s="1238" t="s">
        <v>741</v>
      </c>
      <c r="D7" s="1244" t="s">
        <v>539</v>
      </c>
      <c r="E7" s="1245"/>
      <c r="F7" s="1238" t="s">
        <v>742</v>
      </c>
      <c r="G7" s="1240" t="s">
        <v>524</v>
      </c>
      <c r="H7" s="1242" t="s">
        <v>295</v>
      </c>
    </row>
    <row r="8" spans="1:12" ht="18.75" customHeight="1" thickBot="1">
      <c r="A8" s="1241"/>
      <c r="B8" s="1241"/>
      <c r="C8" s="1239"/>
      <c r="D8" s="396" t="s">
        <v>156</v>
      </c>
      <c r="E8" s="397" t="s">
        <v>157</v>
      </c>
      <c r="F8" s="1239"/>
      <c r="G8" s="1241"/>
      <c r="H8" s="1243"/>
    </row>
    <row r="9" spans="1:12" ht="9.75" customHeight="1">
      <c r="A9" s="384" t="s">
        <v>208</v>
      </c>
      <c r="B9" s="385" t="s">
        <v>209</v>
      </c>
      <c r="C9" s="385">
        <v>1</v>
      </c>
      <c r="D9" s="385">
        <v>2</v>
      </c>
      <c r="E9" s="385">
        <v>3</v>
      </c>
      <c r="F9" s="385">
        <v>4</v>
      </c>
      <c r="G9" s="385">
        <v>5</v>
      </c>
      <c r="H9" s="386">
        <v>6</v>
      </c>
    </row>
    <row r="10" spans="1:12" ht="22.5" customHeight="1">
      <c r="A10" s="374">
        <v>1</v>
      </c>
      <c r="B10" s="376" t="s">
        <v>525</v>
      </c>
      <c r="C10" s="380">
        <v>0</v>
      </c>
      <c r="D10" s="380">
        <v>0</v>
      </c>
      <c r="E10" s="380">
        <v>0</v>
      </c>
      <c r="F10" s="380">
        <f>C10+D10-E10</f>
        <v>0</v>
      </c>
      <c r="G10" s="380">
        <f>+F10-C10</f>
        <v>0</v>
      </c>
      <c r="H10" s="381"/>
    </row>
    <row r="11" spans="1:12" ht="22.5" customHeight="1">
      <c r="A11" s="374">
        <f>+A10+1</f>
        <v>2</v>
      </c>
      <c r="B11" s="376" t="s">
        <v>134</v>
      </c>
      <c r="C11" s="380">
        <v>0</v>
      </c>
      <c r="D11" s="380">
        <v>0</v>
      </c>
      <c r="E11" s="380">
        <v>0</v>
      </c>
      <c r="F11" s="380">
        <f>C11+D11-E11</f>
        <v>0</v>
      </c>
      <c r="G11" s="380">
        <f t="shared" ref="G11:G17" si="0">+F11-C11</f>
        <v>0</v>
      </c>
      <c r="H11" s="381"/>
    </row>
    <row r="12" spans="1:12" ht="22.5" customHeight="1">
      <c r="A12" s="374">
        <f>+A11+1</f>
        <v>3</v>
      </c>
      <c r="B12" s="376" t="s">
        <v>555</v>
      </c>
      <c r="C12" s="380">
        <v>0</v>
      </c>
      <c r="D12" s="380">
        <v>0</v>
      </c>
      <c r="E12" s="380">
        <v>0</v>
      </c>
      <c r="F12" s="380">
        <f>+C12-E12</f>
        <v>0</v>
      </c>
      <c r="G12" s="380">
        <f>+F12-C12</f>
        <v>0</v>
      </c>
      <c r="H12" s="381"/>
    </row>
    <row r="13" spans="1:12" ht="22.5" customHeight="1">
      <c r="A13" s="374">
        <f>+A12+1</f>
        <v>4</v>
      </c>
      <c r="B13" s="376" t="s">
        <v>547</v>
      </c>
      <c r="C13" s="388">
        <f>SUM(SUMIF('тек.даври айланма баланси'!$B:$B,16700,'тек.даври айланма баланси'!$C:$C)/1000,0)</f>
        <v>0</v>
      </c>
      <c r="D13" s="388">
        <f>SUM(SUMIF('тек.даври айланма баланси'!$B:$B,16700,'тек.даври айланма баланси'!$E:$E)/1000,0)</f>
        <v>0</v>
      </c>
      <c r="E13" s="388">
        <f>SUM(SUMIF('тек.даври айланма баланси'!$B:$B,16700,'тек.даври айланма баланси'!$F:$F)/1000,0)</f>
        <v>0</v>
      </c>
      <c r="F13" s="388">
        <f>SUM(SUMIF('тек.даври айланма баланси'!$B:$B,16700,'тек.даври айланма баланси'!$G:$G)/1000,0)</f>
        <v>0</v>
      </c>
      <c r="G13" s="380">
        <f t="shared" si="0"/>
        <v>0</v>
      </c>
      <c r="H13" s="381"/>
      <c r="I13" s="394"/>
      <c r="J13" s="394"/>
    </row>
    <row r="14" spans="1:12" ht="22.5" customHeight="1">
      <c r="A14" s="374">
        <f t="shared" ref="A14:A23" si="1">+A13+1</f>
        <v>5</v>
      </c>
      <c r="B14" s="376" t="s">
        <v>541</v>
      </c>
      <c r="C14" s="388">
        <f>SUM(SUMIF('тек.даври айланма баланси'!$B:$B,16300,'тек.даври айланма баланси'!$C:$C)/1000,0)</f>
        <v>0</v>
      </c>
      <c r="D14" s="388">
        <f>SUM(SUMIF('тек.даври айланма баланси'!$B:$B,16300,'тек.даври айланма баланси'!$E:$E)/1000,0)</f>
        <v>0</v>
      </c>
      <c r="E14" s="388">
        <f>SUM(SUMIF('тек.даври айланма баланси'!$B:$B,16300,'тек.даври айланма баланси'!$F:$F)/1000,0)</f>
        <v>0</v>
      </c>
      <c r="F14" s="388">
        <f>SUM(SUMIF('тек.даври айланма баланси'!$B:$B,16300,'тек.даври айланма баланси'!$G:$G)/1000,0)</f>
        <v>0</v>
      </c>
      <c r="G14" s="380">
        <f t="shared" si="0"/>
        <v>0</v>
      </c>
      <c r="H14" s="381"/>
      <c r="I14" s="394"/>
    </row>
    <row r="15" spans="1:12" ht="22.5" customHeight="1">
      <c r="A15" s="374">
        <f t="shared" si="1"/>
        <v>6</v>
      </c>
      <c r="B15" s="376" t="s">
        <v>542</v>
      </c>
      <c r="C15" s="388">
        <f>SUM(SUMIF('тек.даври айланма баланси'!$B:$B,16400,'тек.даври айланма баланси'!$C:$C)/1000,0)</f>
        <v>0</v>
      </c>
      <c r="D15" s="388">
        <f>SUM(SUMIF('тек.даври айланма баланси'!$B:$B,16400,'тек.даври айланма баланси'!$E:$E)/1000,0)</f>
        <v>0</v>
      </c>
      <c r="E15" s="388">
        <f>SUM(SUMIF('тек.даври айланма баланси'!$B:$B,16400,'тек.даври айланма баланси'!$F:$F)/1000,0)</f>
        <v>0</v>
      </c>
      <c r="F15" s="388">
        <f>SUM(SUMIF('тек.даври айланма баланси'!$A:$A,16401,'тек.даври айланма баланси'!$G:$G)/1000,0)</f>
        <v>0</v>
      </c>
      <c r="G15" s="380">
        <f t="shared" si="0"/>
        <v>0</v>
      </c>
      <c r="H15" s="381"/>
      <c r="K15" s="392" t="s">
        <v>535</v>
      </c>
      <c r="L15" s="392"/>
    </row>
    <row r="16" spans="1:12" ht="22.5" customHeight="1">
      <c r="A16" s="374">
        <f t="shared" si="1"/>
        <v>7</v>
      </c>
      <c r="B16" s="376" t="s">
        <v>135</v>
      </c>
      <c r="C16" s="389">
        <f>SUM(SUMIF('тек.даври айланма баланси'!$A:$A,K16,'тек.даври айланма баланси'!$D:$D)/1000,0)</f>
        <v>0</v>
      </c>
      <c r="D16" s="395" t="s">
        <v>540</v>
      </c>
      <c r="E16" s="395" t="s">
        <v>540</v>
      </c>
      <c r="F16" s="389">
        <f>SUM(SUMIF('тек.даври айланма баланси'!$A:$A,K16,'тек.даври айланма баланси'!$H:$H)/1000,0)</f>
        <v>0</v>
      </c>
      <c r="G16" s="380">
        <f t="shared" si="0"/>
        <v>0</v>
      </c>
      <c r="H16" s="381"/>
      <c r="I16" s="394"/>
      <c r="K16" s="387" t="s">
        <v>533</v>
      </c>
      <c r="L16" s="387"/>
    </row>
    <row r="17" spans="1:12" ht="22.5" customHeight="1">
      <c r="A17" s="374">
        <f t="shared" si="1"/>
        <v>8</v>
      </c>
      <c r="B17" s="376" t="s">
        <v>527</v>
      </c>
      <c r="C17" s="389">
        <f>SUM(SUMIF('тек.даври айланма баланси'!$A:$A,K17,'тек.даври айланма баланси'!$C:$C)/1000,0)</f>
        <v>0</v>
      </c>
      <c r="D17" s="395" t="s">
        <v>540</v>
      </c>
      <c r="E17" s="395" t="s">
        <v>540</v>
      </c>
      <c r="F17" s="389">
        <f>SUM(SUMIF('тек.даври айланма баланси'!$A:$A,K17,'тек.даври айланма баланси'!$G:$G)/1000,0)</f>
        <v>0</v>
      </c>
      <c r="G17" s="380">
        <f t="shared" si="0"/>
        <v>0</v>
      </c>
      <c r="H17" s="381"/>
      <c r="K17" s="387" t="s">
        <v>534</v>
      </c>
      <c r="L17" s="387"/>
    </row>
    <row r="18" spans="1:12" ht="22.5" customHeight="1">
      <c r="A18" s="374">
        <f t="shared" si="1"/>
        <v>9</v>
      </c>
      <c r="B18" s="376" t="s">
        <v>521</v>
      </c>
      <c r="C18" s="380">
        <f>+C16-C17</f>
        <v>0</v>
      </c>
      <c r="D18" s="395" t="s">
        <v>540</v>
      </c>
      <c r="E18" s="395" t="s">
        <v>540</v>
      </c>
      <c r="F18" s="380">
        <f>+F16-F17</f>
        <v>0</v>
      </c>
      <c r="G18" s="380">
        <f t="shared" ref="G18:G23" si="2">+F18-C18</f>
        <v>0</v>
      </c>
      <c r="H18" s="381"/>
      <c r="K18" s="390"/>
      <c r="L18" s="390"/>
    </row>
    <row r="19" spans="1:12" ht="22.5" customHeight="1">
      <c r="A19" s="374">
        <f t="shared" si="1"/>
        <v>10</v>
      </c>
      <c r="B19" s="376" t="s">
        <v>522</v>
      </c>
      <c r="C19" s="380">
        <f>C18-C14-C15</f>
        <v>0</v>
      </c>
      <c r="D19" s="395" t="s">
        <v>540</v>
      </c>
      <c r="E19" s="395" t="s">
        <v>540</v>
      </c>
      <c r="F19" s="380">
        <f>F18-F14-F15</f>
        <v>0</v>
      </c>
      <c r="G19" s="380">
        <f t="shared" si="2"/>
        <v>0</v>
      </c>
      <c r="H19" s="381"/>
      <c r="K19" s="390"/>
      <c r="L19" s="390"/>
    </row>
    <row r="20" spans="1:12" ht="22.5" customHeight="1">
      <c r="A20" s="374">
        <f t="shared" si="1"/>
        <v>11</v>
      </c>
      <c r="B20" s="376" t="s">
        <v>526</v>
      </c>
      <c r="C20" s="388">
        <f>SUM(SUMIF('тек.даври айланма баланси'!$A:$A,95413,'тек.даври айланма баланси'!$C:$C)/1000,0)</f>
        <v>0</v>
      </c>
      <c r="D20" s="388">
        <f>SUM(SUMIF('тек.даври айланма баланси'!$A:$A,95413,'тек.даври айланма баланси'!$E:$E)/1000,0)</f>
        <v>0</v>
      </c>
      <c r="E20" s="388">
        <f>SUM(SUMIF('тек.даври айланма баланси'!$A:$A,95413,'тек.даври айланма баланси'!$F:$F)/1000,0)</f>
        <v>0</v>
      </c>
      <c r="F20" s="388">
        <f>SUM(SUMIF('тек.даври айланма баланси'!$A:$A,95413,'тек.даври айланма баланси'!$G:$G)/1000,0)</f>
        <v>0</v>
      </c>
      <c r="G20" s="380">
        <f t="shared" si="2"/>
        <v>0</v>
      </c>
      <c r="H20" s="381"/>
    </row>
    <row r="21" spans="1:12" ht="32.25" customHeight="1">
      <c r="A21" s="374">
        <f t="shared" si="1"/>
        <v>12</v>
      </c>
      <c r="B21" s="376" t="s">
        <v>528</v>
      </c>
      <c r="C21" s="388">
        <f>SUM(SUMIF('тек.даври айланма баланси'!$B:$B,91500,'тек.даври айланма баланси'!$C:$C)/1000,0)</f>
        <v>0</v>
      </c>
      <c r="D21" s="388">
        <f>SUM(SUMIF('тек.даври айланма баланси'!$B:$B,91500,'тек.даври айланма баланси'!$E:$E)/1000,0)</f>
        <v>0</v>
      </c>
      <c r="E21" s="388">
        <f>SUM(SUMIF('тек.даври айланма баланси'!$B:$B,91500,'тек.даври айланма баланси'!$F:$F)/1000,0)</f>
        <v>0</v>
      </c>
      <c r="F21" s="388">
        <f>SUM(SUMIF('тек.даври айланма баланси'!$B:$B,91500,'тек.даври айланма баланси'!$G:$G)/1000,0)</f>
        <v>0</v>
      </c>
      <c r="G21" s="380">
        <f t="shared" si="2"/>
        <v>0</v>
      </c>
      <c r="H21" s="381"/>
    </row>
    <row r="22" spans="1:12" ht="27.75" customHeight="1">
      <c r="A22" s="374">
        <f>+A20+1</f>
        <v>12</v>
      </c>
      <c r="B22" s="376" t="s">
        <v>548</v>
      </c>
      <c r="C22" s="388">
        <f>SUM(SUMIF('тек.даври айланма баланси'!$B:$B,91800,'тек.даври айланма баланси'!$C:$C)/1000+SUMIF('тек.даври айланма баланси'!$B:$B,91900,'тек.даври айланма баланси'!$C:$C)/1000,0)</f>
        <v>0</v>
      </c>
      <c r="D22" s="388">
        <f>SUM(SUMIF('тек.даври айланма баланси'!$B:$B,91800,'тек.даври айланма баланси'!$E:$E)/1000+SUMIF('тек.даври айланма баланси'!$B:$B,91900,'тек.даври айланма баланси'!$E:$E)/1000,0)</f>
        <v>0</v>
      </c>
      <c r="E22" s="388">
        <f>SUM(SUMIF('тек.даври айланма баланси'!$B:$B,91800,'тек.даври айланма баланси'!$F:$F)/1000+SUMIF('тек.даври айланма баланси'!$B:$B,91900,'тек.даври айланма баланси'!$F:$F)/1000,0)</f>
        <v>0</v>
      </c>
      <c r="F22" s="388">
        <f>SUM(SUMIF('тек.даври айланма баланси'!$B:$B,91900,'тек.даври айланма баланси'!$G:$G)/1000+SUMIF('тек.даври айланма баланси'!$B:$B,91900,'тек.даври айланма баланси'!$G:$G)/1000,0)</f>
        <v>0</v>
      </c>
      <c r="G22" s="380">
        <f t="shared" si="2"/>
        <v>0</v>
      </c>
      <c r="H22" s="381"/>
    </row>
    <row r="23" spans="1:12" ht="27.75" customHeight="1" thickBot="1">
      <c r="A23" s="375">
        <f t="shared" si="1"/>
        <v>13</v>
      </c>
      <c r="B23" s="377" t="s">
        <v>549</v>
      </c>
      <c r="C23" s="391">
        <f>SUM(SUMIF('тек.даври айланма баланси'!$B:$B,94500,'тек.даври айланма баланси'!$C:$C)/1000,0)</f>
        <v>0</v>
      </c>
      <c r="D23" s="391">
        <f>SUM(SUMIF('тек.даври айланма баланси'!$B:$B,94500,'тек.даври айланма баланси'!$E:$E)/1000,0)</f>
        <v>0</v>
      </c>
      <c r="E23" s="391">
        <f>SUM(SUMIF('тек.даври айланма баланси'!$B:$B,94500,'тек.даври айланма баланси'!$F:$F)/1000,0)</f>
        <v>0</v>
      </c>
      <c r="F23" s="391">
        <f>SUM(SUMIF('тек.даври айланма баланси'!$B:$B,94500,'тек.даври айланма баланси'!$G:$G)/1000,0)</f>
        <v>0</v>
      </c>
      <c r="G23" s="382">
        <f t="shared" si="2"/>
        <v>0</v>
      </c>
      <c r="H23" s="383"/>
    </row>
    <row r="26" spans="1:12">
      <c r="B26" s="105" t="str">
        <f>""&amp;(Шаблон!B1)&amp;"нинг Ички Аудит"</f>
        <v>АТ "Халқ банк"нинг Ички Аудит</v>
      </c>
      <c r="C26" s="196"/>
      <c r="D26" s="196"/>
      <c r="E26" s="196"/>
      <c r="F26" s="145"/>
      <c r="G26" s="145"/>
      <c r="H26" s="145"/>
    </row>
    <row r="27" spans="1:12">
      <c r="B27" s="6" t="s">
        <v>494</v>
      </c>
      <c r="C27" s="196"/>
      <c r="D27" s="196"/>
      <c r="E27" s="196"/>
      <c r="F27" s="105"/>
      <c r="G27" s="145"/>
      <c r="I27" s="236"/>
      <c r="J27" s="236"/>
    </row>
    <row r="28" spans="1:12">
      <c r="B28" s="105"/>
      <c r="C28" s="196"/>
      <c r="D28" s="196"/>
      <c r="E28" s="196"/>
      <c r="F28" s="145"/>
      <c r="G28" s="145"/>
    </row>
    <row r="29" spans="1:12">
      <c r="F29" s="105"/>
    </row>
  </sheetData>
  <mergeCells count="11">
    <mergeCell ref="F7:F8"/>
    <mergeCell ref="G7:G8"/>
    <mergeCell ref="H7:H8"/>
    <mergeCell ref="D7:E7"/>
    <mergeCell ref="A2:H2"/>
    <mergeCell ref="C7:C8"/>
    <mergeCell ref="B7:B8"/>
    <mergeCell ref="A7:A8"/>
    <mergeCell ref="A3:H3"/>
    <mergeCell ref="A4:H4"/>
    <mergeCell ref="A5:H5"/>
  </mergeCells>
  <phoneticPr fontId="41" type="noConversion"/>
  <pageMargins left="0.75" right="0.75" top="0.91" bottom="0.76" header="0.5" footer="0.5"/>
  <pageSetup paperSize="9" scale="79" orientation="landscape" horizontalDpi="100" verticalDpi="1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indexed="34"/>
    <pageSetUpPr fitToPage="1"/>
  </sheetPr>
  <dimension ref="A1:G25"/>
  <sheetViews>
    <sheetView zoomScale="86" zoomScaleNormal="86" workbookViewId="0">
      <selection activeCell="F9" sqref="F9"/>
    </sheetView>
  </sheetViews>
  <sheetFormatPr defaultColWidth="9.109375" defaultRowHeight="13.2"/>
  <cols>
    <col min="1" max="1" width="4.109375" style="10" customWidth="1"/>
    <col min="2" max="2" width="11.44140625" style="10" customWidth="1"/>
    <col min="3" max="3" width="25.88671875" style="10" customWidth="1"/>
    <col min="4" max="4" width="12" style="131" customWidth="1"/>
    <col min="5" max="5" width="22.6640625" style="10" customWidth="1"/>
    <col min="6" max="6" width="56" style="10" customWidth="1"/>
    <col min="7" max="7" width="12.109375" style="10" customWidth="1"/>
    <col min="8" max="16384" width="9.109375" style="10"/>
  </cols>
  <sheetData>
    <row r="1" spans="1:7">
      <c r="G1" s="246" t="s">
        <v>304</v>
      </c>
    </row>
    <row r="2" spans="1:7" ht="34.5" customHeight="1">
      <c r="A2" s="1247" t="str">
        <f>""&amp;(Шаблон!B1)&amp;"нинг "&amp;(Шаблон!B2)&amp;" вилоят бошқармаси "&amp;(Шаблон!B3)&amp;" филиалида тикилган кунлик касса ҳужжатлари йиғмажилдлари ва унга тикилган ҳужжатларнинг расмийлаштирилиши бўйича аудит текшируви давомида аниқланган камчиликлар рўйхати"</f>
        <v>АТ "Халқ банк"нинг Фаргона вилояти вилоят бошқармаси Бешариқ филиали филиалида тикилган кунлик касса ҳужжатлари йиғмажилдлари ва унга тикилган ҳужжатларнинг расмийлаштирилиши бўйича аудит текшируви давомида аниқланган камчиликлар рўйхати</v>
      </c>
      <c r="B2" s="1247"/>
      <c r="C2" s="1247"/>
      <c r="D2" s="1247"/>
      <c r="E2" s="1247"/>
      <c r="F2" s="1247"/>
      <c r="G2" s="232"/>
    </row>
    <row r="3" spans="1:7" ht="13.8" thickBot="1">
      <c r="F3" s="132"/>
      <c r="G3" s="246" t="s">
        <v>248</v>
      </c>
    </row>
    <row r="4" spans="1:7" s="196" customFormat="1" ht="26.25" customHeight="1" thickBot="1">
      <c r="A4" s="233" t="s">
        <v>176</v>
      </c>
      <c r="B4" s="233" t="s">
        <v>291</v>
      </c>
      <c r="C4" s="233" t="s">
        <v>292</v>
      </c>
      <c r="D4" s="234" t="s">
        <v>178</v>
      </c>
      <c r="E4" s="577" t="s">
        <v>293</v>
      </c>
      <c r="F4" s="233" t="s">
        <v>294</v>
      </c>
      <c r="G4" s="233" t="s">
        <v>295</v>
      </c>
    </row>
    <row r="5" spans="1:7" s="135" customFormat="1" ht="9" customHeight="1">
      <c r="A5" s="133" t="s">
        <v>208</v>
      </c>
      <c r="B5" s="134">
        <v>1</v>
      </c>
      <c r="C5" s="134">
        <f>+B5+1</f>
        <v>2</v>
      </c>
      <c r="D5" s="134">
        <f>+C5+1</f>
        <v>3</v>
      </c>
      <c r="E5" s="134">
        <f>+D5+1</f>
        <v>4</v>
      </c>
      <c r="F5" s="134">
        <f>+E5+1</f>
        <v>5</v>
      </c>
      <c r="G5" s="371">
        <v>6</v>
      </c>
    </row>
    <row r="6" spans="1:7" ht="35.25" customHeight="1">
      <c r="A6" s="136">
        <v>1</v>
      </c>
      <c r="B6" s="137"/>
      <c r="C6" s="138"/>
      <c r="D6" s="403"/>
      <c r="E6" s="138"/>
      <c r="F6" s="138"/>
      <c r="G6" s="398"/>
    </row>
    <row r="7" spans="1:7" ht="42" customHeight="1">
      <c r="A7" s="136">
        <v>2</v>
      </c>
      <c r="B7" s="137"/>
      <c r="C7" s="138"/>
      <c r="D7" s="403"/>
      <c r="E7" s="138"/>
      <c r="F7" s="138"/>
      <c r="G7" s="398"/>
    </row>
    <row r="8" spans="1:7" ht="35.25" customHeight="1">
      <c r="A8" s="136">
        <v>3</v>
      </c>
      <c r="B8" s="137"/>
      <c r="C8" s="138"/>
      <c r="D8" s="403"/>
      <c r="E8" s="138"/>
      <c r="F8" s="138"/>
      <c r="G8" s="398"/>
    </row>
    <row r="9" spans="1:7" ht="36.75" customHeight="1">
      <c r="A9" s="136">
        <v>4</v>
      </c>
      <c r="B9" s="137"/>
      <c r="C9" s="138"/>
      <c r="D9" s="403"/>
      <c r="E9" s="138"/>
      <c r="F9" s="138"/>
      <c r="G9" s="398"/>
    </row>
    <row r="10" spans="1:7" ht="35.25" customHeight="1">
      <c r="A10" s="136">
        <v>5</v>
      </c>
      <c r="B10" s="137"/>
      <c r="C10" s="138"/>
      <c r="D10" s="403"/>
      <c r="E10" s="138"/>
      <c r="F10" s="138"/>
      <c r="G10" s="398"/>
    </row>
    <row r="11" spans="1:7" ht="35.25" customHeight="1">
      <c r="A11" s="136">
        <v>6</v>
      </c>
      <c r="B11" s="137"/>
      <c r="C11" s="138"/>
      <c r="D11" s="403"/>
      <c r="E11" s="138"/>
      <c r="F11" s="138"/>
      <c r="G11" s="398"/>
    </row>
    <row r="12" spans="1:7" ht="35.25" customHeight="1">
      <c r="A12" s="136">
        <v>7</v>
      </c>
      <c r="B12" s="137"/>
      <c r="C12" s="138"/>
      <c r="D12" s="403"/>
      <c r="E12" s="138"/>
      <c r="F12" s="138"/>
      <c r="G12" s="398"/>
    </row>
    <row r="14" spans="1:7" ht="13.8">
      <c r="B14" s="105" t="str">
        <f>""&amp;(Шаблон!B1)&amp;"нинг Ички Аудит"</f>
        <v>АТ "Халқ банк"нинг Ички Аудит</v>
      </c>
      <c r="C14" s="145"/>
      <c r="D14" s="145"/>
      <c r="E14" s="145"/>
    </row>
    <row r="15" spans="1:7" ht="13.8">
      <c r="B15" s="6" t="s">
        <v>493</v>
      </c>
      <c r="C15" s="145"/>
      <c r="D15" s="145"/>
      <c r="F15" s="105" t="str">
        <f>Шаблон!B13</f>
        <v>А.Ҳазратқулов</v>
      </c>
      <c r="G15" s="27"/>
    </row>
    <row r="16" spans="1:7" ht="13.8">
      <c r="B16" s="105"/>
      <c r="C16" s="145"/>
      <c r="D16" s="145"/>
      <c r="F16" s="105"/>
      <c r="G16" s="36"/>
    </row>
    <row r="17" spans="2:7" ht="13.8">
      <c r="B17" s="105" t="str">
        <f>""&amp;(Шаблон!B1)&amp;" "&amp;(Шаблон!B2)&amp;" вилоят бошқармаси"</f>
        <v>АТ "Халқ банк" Фаргона вилояти вилоят бошқармаси</v>
      </c>
      <c r="C17" s="145"/>
      <c r="D17" s="145"/>
      <c r="F17" s="145"/>
      <c r="G17" s="36"/>
    </row>
    <row r="18" spans="2:7" ht="13.8">
      <c r="B18" s="105" t="str">
        <f>""&amp;(Шаблон!B3)&amp;" филиали бошқарувчиси:"</f>
        <v>Бешариқ филиали филиали бошқарувчиси:</v>
      </c>
      <c r="C18" s="145"/>
      <c r="D18" s="145"/>
      <c r="F18" s="105" t="str">
        <f>Шаблон!B5</f>
        <v>_____________</v>
      </c>
      <c r="G18" s="29"/>
    </row>
    <row r="19" spans="2:7" ht="13.8">
      <c r="B19" s="105"/>
      <c r="C19" s="145"/>
      <c r="D19" s="145"/>
      <c r="F19" s="145"/>
      <c r="G19" s="36"/>
    </row>
    <row r="20" spans="2:7" ht="13.8">
      <c r="B20" s="105" t="s">
        <v>323</v>
      </c>
      <c r="C20" s="145"/>
      <c r="D20" s="145"/>
      <c r="F20" s="105" t="str">
        <f>Шаблон!B8</f>
        <v>_____________</v>
      </c>
      <c r="G20" s="29"/>
    </row>
    <row r="21" spans="2:7" ht="13.8">
      <c r="B21" s="185"/>
      <c r="C21" s="148"/>
      <c r="D21" s="148"/>
      <c r="F21" s="185"/>
      <c r="G21" s="29"/>
    </row>
    <row r="22" spans="2:7" ht="13.8">
      <c r="B22" s="185" t="s">
        <v>498</v>
      </c>
      <c r="C22" s="148"/>
      <c r="D22" s="148"/>
      <c r="F22" s="185">
        <f>Шаблон!B9</f>
        <v>0</v>
      </c>
      <c r="G22" s="36"/>
    </row>
    <row r="23" spans="2:7" ht="13.8">
      <c r="B23" s="185"/>
      <c r="C23" s="148"/>
      <c r="D23" s="148"/>
      <c r="F23" s="185"/>
      <c r="G23" s="38"/>
    </row>
    <row r="24" spans="2:7" ht="13.8">
      <c r="B24" s="148"/>
      <c r="C24" s="149"/>
      <c r="D24" s="149"/>
      <c r="F24" s="185"/>
    </row>
    <row r="25" spans="2:7" ht="13.8">
      <c r="B25" s="36"/>
      <c r="G25" s="36"/>
    </row>
  </sheetData>
  <mergeCells count="1">
    <mergeCell ref="A2:F2"/>
  </mergeCells>
  <phoneticPr fontId="41" type="noConversion"/>
  <pageMargins left="0.75" right="0.75" top="1" bottom="1" header="0.5" footer="0.5"/>
  <pageSetup paperSize="9" scale="91" fitToHeight="5"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indexed="45"/>
  </sheetPr>
  <dimension ref="A1:H357"/>
  <sheetViews>
    <sheetView workbookViewId="0">
      <pane xSplit="1" ySplit="7" topLeftCell="B8" activePane="bottomRight" state="frozen"/>
      <selection pane="topRight" activeCell="B1" sqref="B1"/>
      <selection pane="bottomLeft" activeCell="A8" sqref="A8"/>
      <selection pane="bottomRight" activeCell="E17" sqref="E17"/>
    </sheetView>
  </sheetViews>
  <sheetFormatPr defaultRowHeight="13.2"/>
  <cols>
    <col min="1" max="1" width="10.109375" customWidth="1"/>
    <col min="2" max="2" width="21.88671875" customWidth="1"/>
    <col min="3" max="4" width="18.88671875" bestFit="1" customWidth="1"/>
    <col min="5" max="5" width="27.6640625" bestFit="1" customWidth="1"/>
    <col min="6" max="6" width="28.5546875" bestFit="1" customWidth="1"/>
    <col min="7" max="8" width="18.88671875" bestFit="1" customWidth="1"/>
  </cols>
  <sheetData>
    <row r="1" spans="1:8" ht="14.4">
      <c r="A1" s="583"/>
      <c r="B1" s="583"/>
      <c r="C1" s="583"/>
      <c r="D1" s="583"/>
      <c r="E1" s="583"/>
      <c r="F1" s="583"/>
      <c r="G1" s="583"/>
      <c r="H1" s="583"/>
    </row>
    <row r="2" spans="1:8" ht="14.4">
      <c r="A2" s="583"/>
      <c r="B2" s="583"/>
      <c r="C2" s="583"/>
      <c r="D2" s="583"/>
      <c r="E2" s="583"/>
      <c r="F2" s="583"/>
      <c r="G2" s="583"/>
      <c r="H2" s="583"/>
    </row>
    <row r="3" spans="1:8" ht="14.4">
      <c r="A3" s="583"/>
      <c r="B3" s="583"/>
      <c r="C3" s="583"/>
      <c r="D3" s="583"/>
      <c r="E3" s="583"/>
      <c r="F3" s="583"/>
      <c r="G3" s="583"/>
      <c r="H3" s="583"/>
    </row>
    <row r="4" spans="1:8" ht="14.4">
      <c r="A4" s="583"/>
      <c r="B4" s="583"/>
      <c r="C4" s="583"/>
      <c r="D4" s="583"/>
      <c r="E4" s="583"/>
      <c r="F4" s="583"/>
      <c r="G4" s="583"/>
      <c r="H4" s="583"/>
    </row>
    <row r="5" spans="1:8" ht="14.4">
      <c r="A5" s="583"/>
      <c r="B5" s="583"/>
      <c r="C5" s="583"/>
      <c r="D5" s="583"/>
      <c r="E5" s="583"/>
      <c r="F5" s="583"/>
      <c r="G5" s="583"/>
      <c r="H5" s="583"/>
    </row>
    <row r="7" spans="1:8" ht="14.4">
      <c r="A7" s="583"/>
      <c r="B7" s="583"/>
      <c r="C7" s="583"/>
      <c r="D7" s="583"/>
      <c r="E7" s="583"/>
      <c r="F7" s="583"/>
      <c r="G7" s="583"/>
      <c r="H7" s="583"/>
    </row>
    <row r="9" spans="1:8" ht="14.4">
      <c r="A9" s="583"/>
      <c r="B9" s="583"/>
      <c r="C9" s="583"/>
      <c r="D9" s="583"/>
      <c r="E9" s="583"/>
      <c r="F9" s="583"/>
      <c r="G9" s="583"/>
      <c r="H9" s="583"/>
    </row>
    <row r="10" spans="1:8" ht="14.4">
      <c r="A10" s="584"/>
      <c r="B10" s="583"/>
      <c r="C10" s="585"/>
      <c r="D10" s="585"/>
      <c r="E10" s="585"/>
      <c r="F10" s="585"/>
      <c r="G10" s="585"/>
      <c r="H10" s="585"/>
    </row>
    <row r="11" spans="1:8" ht="14.4">
      <c r="A11" s="584"/>
      <c r="B11" s="583"/>
      <c r="C11" s="585"/>
      <c r="D11" s="585"/>
      <c r="E11" s="585"/>
      <c r="F11" s="585"/>
      <c r="G11" s="585"/>
      <c r="H11" s="585"/>
    </row>
    <row r="12" spans="1:8" ht="14.4">
      <c r="A12" s="584"/>
      <c r="B12" s="583"/>
      <c r="C12" s="585"/>
      <c r="D12" s="585"/>
      <c r="E12" s="585"/>
      <c r="F12" s="585"/>
      <c r="G12" s="585"/>
      <c r="H12" s="585"/>
    </row>
    <row r="13" spans="1:8" ht="14.4">
      <c r="A13" s="584"/>
      <c r="B13" s="583"/>
      <c r="C13" s="585"/>
      <c r="D13" s="585"/>
      <c r="E13" s="585"/>
      <c r="F13" s="585"/>
      <c r="G13" s="585"/>
      <c r="H13" s="585"/>
    </row>
    <row r="14" spans="1:8" ht="14.4">
      <c r="A14" s="584"/>
      <c r="B14" s="583"/>
      <c r="C14" s="585"/>
      <c r="D14" s="585"/>
      <c r="E14" s="585"/>
      <c r="F14" s="585"/>
      <c r="G14" s="585"/>
      <c r="H14" s="585"/>
    </row>
    <row r="15" spans="1:8" ht="14.4">
      <c r="A15" s="584"/>
      <c r="B15" s="583"/>
      <c r="C15" s="585"/>
      <c r="D15" s="585"/>
      <c r="E15" s="585"/>
      <c r="F15" s="585"/>
      <c r="G15" s="585"/>
      <c r="H15" s="585"/>
    </row>
    <row r="16" spans="1:8" ht="14.4">
      <c r="A16" s="584"/>
      <c r="B16" s="583"/>
      <c r="C16" s="585"/>
      <c r="D16" s="585"/>
      <c r="E16" s="585"/>
      <c r="F16" s="585"/>
      <c r="G16" s="585"/>
      <c r="H16" s="585"/>
    </row>
    <row r="17" spans="1:8" ht="14.4">
      <c r="A17" s="584"/>
      <c r="B17" s="583"/>
      <c r="C17" s="585"/>
      <c r="D17" s="585"/>
      <c r="E17" s="585"/>
      <c r="F17" s="585"/>
      <c r="G17" s="585"/>
      <c r="H17" s="585"/>
    </row>
    <row r="18" spans="1:8" ht="14.4">
      <c r="A18" s="584"/>
      <c r="B18" s="583"/>
      <c r="C18" s="585"/>
      <c r="D18" s="585"/>
      <c r="E18" s="585"/>
      <c r="F18" s="585"/>
      <c r="G18" s="585"/>
      <c r="H18" s="585"/>
    </row>
    <row r="19" spans="1:8" ht="14.4">
      <c r="A19" s="584"/>
      <c r="B19" s="583"/>
      <c r="C19" s="585"/>
      <c r="D19" s="585"/>
      <c r="E19" s="585"/>
      <c r="F19" s="585"/>
      <c r="G19" s="585"/>
      <c r="H19" s="585"/>
    </row>
    <row r="20" spans="1:8" ht="14.4">
      <c r="A20" s="584"/>
      <c r="B20" s="583"/>
      <c r="C20" s="585"/>
      <c r="D20" s="585"/>
      <c r="E20" s="585"/>
      <c r="F20" s="585"/>
      <c r="G20" s="585"/>
      <c r="H20" s="585"/>
    </row>
    <row r="21" spans="1:8" ht="14.4">
      <c r="A21" s="584"/>
      <c r="B21" s="583"/>
      <c r="C21" s="585"/>
      <c r="D21" s="585"/>
      <c r="E21" s="585"/>
      <c r="F21" s="585"/>
      <c r="G21" s="585"/>
      <c r="H21" s="585"/>
    </row>
    <row r="22" spans="1:8" ht="14.4">
      <c r="A22" s="584"/>
      <c r="B22" s="583"/>
      <c r="C22" s="585"/>
      <c r="D22" s="585"/>
      <c r="E22" s="585"/>
      <c r="F22" s="585"/>
      <c r="G22" s="585"/>
      <c r="H22" s="585"/>
    </row>
    <row r="23" spans="1:8" ht="14.4">
      <c r="A23" s="584"/>
      <c r="B23" s="583"/>
      <c r="C23" s="585"/>
      <c r="D23" s="585"/>
      <c r="E23" s="585"/>
      <c r="F23" s="585"/>
      <c r="G23" s="585"/>
      <c r="H23" s="585"/>
    </row>
    <row r="24" spans="1:8" ht="14.4">
      <c r="A24" s="584"/>
      <c r="B24" s="583"/>
      <c r="C24" s="585"/>
      <c r="D24" s="585"/>
      <c r="E24" s="585"/>
      <c r="F24" s="585"/>
      <c r="G24" s="585"/>
      <c r="H24" s="585"/>
    </row>
    <row r="25" spans="1:8" ht="14.4">
      <c r="A25" s="584"/>
      <c r="B25" s="583"/>
      <c r="C25" s="585"/>
      <c r="D25" s="585"/>
      <c r="E25" s="585"/>
      <c r="F25" s="585"/>
      <c r="G25" s="585"/>
      <c r="H25" s="585"/>
    </row>
    <row r="26" spans="1:8" ht="14.4">
      <c r="A26" s="584"/>
      <c r="B26" s="583"/>
      <c r="C26" s="585"/>
      <c r="D26" s="585"/>
      <c r="E26" s="585"/>
      <c r="F26" s="585"/>
      <c r="G26" s="585"/>
      <c r="H26" s="585"/>
    </row>
    <row r="27" spans="1:8" ht="14.4">
      <c r="A27" s="584"/>
      <c r="B27" s="583"/>
      <c r="C27" s="585"/>
      <c r="D27" s="585"/>
      <c r="E27" s="585"/>
      <c r="F27" s="585"/>
      <c r="G27" s="585"/>
      <c r="H27" s="585"/>
    </row>
    <row r="28" spans="1:8" ht="14.4">
      <c r="A28" s="584"/>
      <c r="B28" s="583"/>
      <c r="C28" s="585"/>
      <c r="D28" s="585"/>
      <c r="E28" s="585"/>
      <c r="F28" s="585"/>
      <c r="G28" s="585"/>
      <c r="H28" s="585"/>
    </row>
    <row r="29" spans="1:8" ht="14.4">
      <c r="A29" s="584"/>
      <c r="B29" s="583"/>
      <c r="C29" s="585"/>
      <c r="D29" s="585"/>
      <c r="E29" s="585"/>
      <c r="F29" s="585"/>
      <c r="G29" s="585"/>
      <c r="H29" s="585"/>
    </row>
    <row r="30" spans="1:8" ht="14.4">
      <c r="A30" s="584"/>
      <c r="B30" s="583"/>
      <c r="C30" s="585"/>
      <c r="D30" s="585"/>
      <c r="E30" s="585"/>
      <c r="F30" s="585"/>
      <c r="G30" s="585"/>
      <c r="H30" s="585"/>
    </row>
    <row r="31" spans="1:8" ht="14.4">
      <c r="A31" s="584"/>
      <c r="B31" s="583"/>
      <c r="C31" s="585"/>
      <c r="D31" s="585"/>
      <c r="E31" s="585"/>
      <c r="F31" s="585"/>
      <c r="G31" s="585"/>
      <c r="H31" s="585"/>
    </row>
    <row r="32" spans="1:8" ht="14.4">
      <c r="A32" s="584"/>
      <c r="B32" s="583"/>
      <c r="C32" s="585"/>
      <c r="D32" s="585"/>
      <c r="E32" s="585"/>
      <c r="F32" s="585"/>
      <c r="G32" s="585"/>
      <c r="H32" s="585"/>
    </row>
    <row r="33" spans="1:8" ht="14.4">
      <c r="A33" s="584"/>
      <c r="B33" s="583"/>
      <c r="C33" s="585"/>
      <c r="D33" s="585"/>
      <c r="E33" s="585"/>
      <c r="F33" s="585"/>
      <c r="G33" s="585"/>
      <c r="H33" s="585"/>
    </row>
    <row r="34" spans="1:8" ht="14.4">
      <c r="A34" s="584"/>
      <c r="B34" s="583"/>
      <c r="C34" s="585"/>
      <c r="D34" s="585"/>
      <c r="E34" s="585"/>
      <c r="F34" s="585"/>
      <c r="G34" s="585"/>
      <c r="H34" s="585"/>
    </row>
    <row r="35" spans="1:8" ht="14.4">
      <c r="A35" s="584"/>
      <c r="B35" s="583"/>
      <c r="C35" s="585"/>
      <c r="D35" s="585"/>
      <c r="E35" s="585"/>
      <c r="F35" s="585"/>
      <c r="G35" s="585"/>
      <c r="H35" s="585"/>
    </row>
    <row r="36" spans="1:8" ht="14.4">
      <c r="A36" s="584"/>
      <c r="B36" s="583"/>
      <c r="C36" s="585"/>
      <c r="D36" s="585"/>
      <c r="E36" s="585"/>
      <c r="F36" s="585"/>
      <c r="G36" s="585"/>
      <c r="H36" s="585"/>
    </row>
    <row r="37" spans="1:8" ht="14.4">
      <c r="A37" s="584"/>
      <c r="B37" s="583"/>
      <c r="C37" s="585"/>
      <c r="D37" s="585"/>
      <c r="E37" s="585"/>
      <c r="F37" s="585"/>
      <c r="G37" s="585"/>
      <c r="H37" s="585"/>
    </row>
    <row r="38" spans="1:8" ht="14.4">
      <c r="A38" s="584"/>
      <c r="B38" s="583"/>
      <c r="C38" s="585"/>
      <c r="D38" s="585"/>
      <c r="E38" s="585"/>
      <c r="F38" s="585"/>
      <c r="G38" s="585"/>
      <c r="H38" s="585"/>
    </row>
    <row r="39" spans="1:8" ht="14.4">
      <c r="A39" s="584"/>
      <c r="B39" s="583"/>
      <c r="C39" s="585"/>
      <c r="D39" s="585"/>
      <c r="E39" s="585"/>
      <c r="F39" s="585"/>
      <c r="G39" s="585"/>
      <c r="H39" s="585"/>
    </row>
    <row r="40" spans="1:8" ht="14.4">
      <c r="A40" s="584"/>
      <c r="B40" s="583"/>
      <c r="C40" s="585"/>
      <c r="D40" s="585"/>
      <c r="E40" s="585"/>
      <c r="F40" s="585"/>
      <c r="G40" s="585"/>
      <c r="H40" s="585"/>
    </row>
    <row r="41" spans="1:8" ht="14.4">
      <c r="A41" s="584"/>
      <c r="B41" s="583"/>
      <c r="C41" s="585"/>
      <c r="D41" s="585"/>
      <c r="E41" s="585"/>
      <c r="F41" s="585"/>
      <c r="G41" s="585"/>
      <c r="H41" s="585"/>
    </row>
    <row r="42" spans="1:8" ht="14.4">
      <c r="A42" s="584"/>
      <c r="B42" s="583"/>
      <c r="C42" s="585"/>
      <c r="D42" s="585"/>
      <c r="E42" s="585"/>
      <c r="F42" s="585"/>
      <c r="G42" s="585"/>
      <c r="H42" s="585"/>
    </row>
    <row r="43" spans="1:8" ht="14.4">
      <c r="A43" s="584"/>
      <c r="B43" s="583"/>
      <c r="C43" s="585"/>
      <c r="D43" s="585"/>
      <c r="E43" s="585"/>
      <c r="F43" s="585"/>
      <c r="G43" s="585"/>
      <c r="H43" s="585"/>
    </row>
    <row r="44" spans="1:8" ht="14.4">
      <c r="A44" s="584"/>
      <c r="B44" s="583"/>
      <c r="C44" s="585"/>
      <c r="D44" s="585"/>
      <c r="E44" s="585"/>
      <c r="F44" s="585"/>
      <c r="G44" s="585"/>
      <c r="H44" s="585"/>
    </row>
    <row r="45" spans="1:8" ht="14.4">
      <c r="A45" s="584"/>
      <c r="B45" s="583"/>
      <c r="C45" s="585"/>
      <c r="D45" s="585"/>
      <c r="E45" s="585"/>
      <c r="F45" s="585"/>
      <c r="G45" s="585"/>
      <c r="H45" s="585"/>
    </row>
    <row r="46" spans="1:8" ht="14.4">
      <c r="A46" s="584"/>
      <c r="B46" s="583"/>
      <c r="C46" s="585"/>
      <c r="D46" s="585"/>
      <c r="E46" s="585"/>
      <c r="F46" s="585"/>
      <c r="G46" s="585"/>
      <c r="H46" s="585"/>
    </row>
    <row r="47" spans="1:8" ht="14.4">
      <c r="A47" s="584"/>
      <c r="B47" s="583"/>
      <c r="C47" s="585"/>
      <c r="D47" s="585"/>
      <c r="E47" s="585"/>
      <c r="F47" s="585"/>
      <c r="G47" s="585"/>
      <c r="H47" s="585"/>
    </row>
    <row r="48" spans="1:8" ht="14.4">
      <c r="A48" s="584"/>
      <c r="B48" s="583"/>
      <c r="C48" s="585"/>
      <c r="D48" s="585"/>
      <c r="E48" s="585"/>
      <c r="F48" s="585"/>
      <c r="G48" s="585"/>
      <c r="H48" s="585"/>
    </row>
    <row r="49" spans="1:8" ht="14.4">
      <c r="A49" s="584"/>
      <c r="B49" s="583"/>
      <c r="C49" s="585"/>
      <c r="D49" s="585"/>
      <c r="E49" s="585"/>
      <c r="F49" s="585"/>
      <c r="G49" s="585"/>
      <c r="H49" s="585"/>
    </row>
    <row r="50" spans="1:8" ht="14.4">
      <c r="A50" s="584"/>
      <c r="B50" s="583"/>
      <c r="C50" s="585"/>
      <c r="D50" s="585"/>
      <c r="E50" s="585"/>
      <c r="F50" s="585"/>
      <c r="G50" s="585"/>
      <c r="H50" s="585"/>
    </row>
    <row r="51" spans="1:8" ht="14.4">
      <c r="A51" s="584"/>
      <c r="B51" s="583"/>
      <c r="C51" s="585"/>
      <c r="D51" s="585"/>
      <c r="E51" s="585"/>
      <c r="F51" s="585"/>
      <c r="G51" s="585"/>
      <c r="H51" s="585"/>
    </row>
    <row r="52" spans="1:8" ht="14.4">
      <c r="A52" s="584"/>
      <c r="B52" s="583"/>
      <c r="C52" s="585"/>
      <c r="D52" s="585"/>
      <c r="E52" s="585"/>
      <c r="F52" s="585"/>
      <c r="G52" s="585"/>
      <c r="H52" s="585"/>
    </row>
    <row r="53" spans="1:8" ht="14.4">
      <c r="A53" s="584"/>
      <c r="B53" s="583"/>
      <c r="C53" s="585"/>
      <c r="D53" s="585"/>
      <c r="E53" s="585"/>
      <c r="F53" s="585"/>
      <c r="G53" s="585"/>
      <c r="H53" s="585"/>
    </row>
    <row r="54" spans="1:8" ht="14.4">
      <c r="A54" s="584"/>
      <c r="B54" s="583"/>
      <c r="C54" s="585"/>
      <c r="D54" s="585"/>
      <c r="E54" s="585"/>
      <c r="F54" s="585"/>
      <c r="G54" s="585"/>
      <c r="H54" s="585"/>
    </row>
    <row r="55" spans="1:8" ht="14.4">
      <c r="A55" s="584"/>
      <c r="B55" s="583"/>
      <c r="C55" s="585"/>
      <c r="D55" s="585"/>
      <c r="E55" s="585"/>
      <c r="F55" s="585"/>
      <c r="G55" s="585"/>
      <c r="H55" s="585"/>
    </row>
    <row r="56" spans="1:8" ht="14.4">
      <c r="A56" s="584"/>
      <c r="B56" s="583"/>
      <c r="C56" s="585"/>
      <c r="D56" s="585"/>
      <c r="E56" s="585"/>
      <c r="F56" s="585"/>
      <c r="G56" s="585"/>
      <c r="H56" s="585"/>
    </row>
    <row r="57" spans="1:8" ht="14.4">
      <c r="A57" s="584"/>
      <c r="B57" s="583"/>
      <c r="C57" s="585"/>
      <c r="D57" s="585"/>
      <c r="E57" s="585"/>
      <c r="F57" s="585"/>
      <c r="G57" s="585"/>
      <c r="H57" s="585"/>
    </row>
    <row r="58" spans="1:8" ht="14.4">
      <c r="A58" s="584"/>
      <c r="B58" s="583"/>
      <c r="C58" s="585"/>
      <c r="D58" s="585"/>
      <c r="E58" s="585"/>
      <c r="F58" s="585"/>
      <c r="G58" s="585"/>
      <c r="H58" s="585"/>
    </row>
    <row r="59" spans="1:8" ht="14.4">
      <c r="A59" s="584"/>
      <c r="B59" s="583"/>
      <c r="C59" s="585"/>
      <c r="D59" s="585"/>
      <c r="E59" s="585"/>
      <c r="F59" s="585"/>
      <c r="G59" s="585"/>
      <c r="H59" s="585"/>
    </row>
    <row r="60" spans="1:8" ht="14.4">
      <c r="A60" s="584"/>
      <c r="B60" s="583"/>
      <c r="C60" s="585"/>
      <c r="D60" s="585"/>
      <c r="E60" s="585"/>
      <c r="F60" s="585"/>
      <c r="G60" s="585"/>
      <c r="H60" s="585"/>
    </row>
    <row r="61" spans="1:8" ht="14.4">
      <c r="A61" s="584"/>
      <c r="B61" s="583"/>
      <c r="C61" s="585"/>
      <c r="D61" s="585"/>
      <c r="E61" s="585"/>
      <c r="F61" s="585"/>
      <c r="G61" s="585"/>
      <c r="H61" s="585"/>
    </row>
    <row r="62" spans="1:8" ht="14.4">
      <c r="A62" s="584"/>
      <c r="B62" s="583"/>
      <c r="C62" s="585"/>
      <c r="D62" s="585"/>
      <c r="E62" s="585"/>
      <c r="F62" s="585"/>
      <c r="G62" s="585"/>
      <c r="H62" s="585"/>
    </row>
    <row r="63" spans="1:8" ht="14.4">
      <c r="A63" s="584"/>
      <c r="B63" s="583"/>
      <c r="C63" s="585"/>
      <c r="D63" s="585"/>
      <c r="E63" s="585"/>
      <c r="F63" s="585"/>
      <c r="G63" s="585"/>
      <c r="H63" s="585"/>
    </row>
    <row r="64" spans="1:8" ht="14.4">
      <c r="A64" s="584"/>
      <c r="B64" s="583"/>
      <c r="C64" s="585"/>
      <c r="D64" s="585"/>
      <c r="E64" s="585"/>
      <c r="F64" s="585"/>
      <c r="G64" s="585"/>
      <c r="H64" s="585"/>
    </row>
    <row r="65" spans="1:8" ht="14.4">
      <c r="A65" s="584"/>
      <c r="B65" s="583"/>
      <c r="C65" s="585"/>
      <c r="D65" s="585"/>
      <c r="E65" s="585"/>
      <c r="F65" s="585"/>
      <c r="G65" s="585"/>
      <c r="H65" s="585"/>
    </row>
    <row r="66" spans="1:8" ht="14.4">
      <c r="A66" s="584"/>
      <c r="B66" s="583"/>
      <c r="C66" s="585"/>
      <c r="D66" s="585"/>
      <c r="E66" s="585"/>
      <c r="F66" s="585"/>
      <c r="G66" s="585"/>
      <c r="H66" s="585"/>
    </row>
    <row r="67" spans="1:8" ht="14.4">
      <c r="A67" s="584"/>
      <c r="B67" s="583"/>
      <c r="C67" s="585"/>
      <c r="D67" s="585"/>
      <c r="E67" s="585"/>
      <c r="F67" s="585"/>
      <c r="G67" s="585"/>
      <c r="H67" s="585"/>
    </row>
    <row r="68" spans="1:8" ht="14.4">
      <c r="A68" s="584"/>
      <c r="B68" s="583"/>
      <c r="C68" s="585"/>
      <c r="D68" s="585"/>
      <c r="E68" s="585"/>
      <c r="F68" s="585"/>
      <c r="G68" s="585"/>
      <c r="H68" s="585"/>
    </row>
    <row r="69" spans="1:8" ht="14.4">
      <c r="A69" s="584"/>
      <c r="B69" s="583"/>
      <c r="C69" s="585"/>
      <c r="D69" s="585"/>
      <c r="E69" s="585"/>
      <c r="F69" s="585"/>
      <c r="G69" s="585"/>
      <c r="H69" s="585"/>
    </row>
    <row r="70" spans="1:8" ht="14.4">
      <c r="A70" s="584"/>
      <c r="B70" s="583"/>
      <c r="C70" s="585"/>
      <c r="D70" s="585"/>
      <c r="E70" s="585"/>
      <c r="F70" s="585"/>
      <c r="G70" s="585"/>
      <c r="H70" s="585"/>
    </row>
    <row r="71" spans="1:8" ht="14.4">
      <c r="A71" s="584"/>
      <c r="B71" s="583"/>
      <c r="C71" s="585"/>
      <c r="D71" s="585"/>
      <c r="E71" s="585"/>
      <c r="F71" s="585"/>
      <c r="G71" s="585"/>
      <c r="H71" s="585"/>
    </row>
    <row r="72" spans="1:8" ht="14.4">
      <c r="A72" s="584"/>
      <c r="B72" s="583"/>
      <c r="C72" s="585"/>
      <c r="D72" s="585"/>
      <c r="E72" s="585"/>
      <c r="F72" s="585"/>
      <c r="G72" s="585"/>
      <c r="H72" s="585"/>
    </row>
    <row r="73" spans="1:8" ht="14.4">
      <c r="A73" s="584"/>
      <c r="B73" s="583"/>
      <c r="C73" s="585"/>
      <c r="D73" s="585"/>
      <c r="E73" s="585"/>
      <c r="F73" s="585"/>
      <c r="G73" s="585"/>
      <c r="H73" s="585"/>
    </row>
    <row r="74" spans="1:8" ht="14.4">
      <c r="A74" s="584"/>
      <c r="B74" s="583"/>
      <c r="C74" s="585"/>
      <c r="D74" s="585"/>
      <c r="E74" s="585"/>
      <c r="F74" s="585"/>
      <c r="G74" s="585"/>
      <c r="H74" s="585"/>
    </row>
    <row r="75" spans="1:8" ht="14.4">
      <c r="A75" s="584"/>
      <c r="B75" s="583"/>
      <c r="C75" s="585"/>
      <c r="D75" s="585"/>
      <c r="E75" s="585"/>
      <c r="F75" s="585"/>
      <c r="G75" s="585"/>
      <c r="H75" s="585"/>
    </row>
    <row r="76" spans="1:8" ht="14.4">
      <c r="A76" s="584"/>
      <c r="B76" s="583"/>
      <c r="C76" s="585"/>
      <c r="D76" s="585"/>
      <c r="E76" s="585"/>
      <c r="F76" s="585"/>
      <c r="G76" s="585"/>
      <c r="H76" s="585"/>
    </row>
    <row r="77" spans="1:8" ht="14.4">
      <c r="A77" s="584"/>
      <c r="B77" s="583"/>
      <c r="C77" s="585"/>
      <c r="D77" s="585"/>
      <c r="E77" s="585"/>
      <c r="F77" s="585"/>
      <c r="G77" s="585"/>
      <c r="H77" s="585"/>
    </row>
    <row r="78" spans="1:8" ht="14.4">
      <c r="A78" s="584"/>
      <c r="B78" s="583"/>
      <c r="C78" s="585"/>
      <c r="D78" s="585"/>
      <c r="E78" s="585"/>
      <c r="F78" s="585"/>
      <c r="G78" s="585"/>
      <c r="H78" s="585"/>
    </row>
    <row r="79" spans="1:8" ht="14.4">
      <c r="A79" s="584"/>
      <c r="B79" s="583"/>
      <c r="C79" s="585"/>
      <c r="D79" s="585"/>
      <c r="E79" s="585"/>
      <c r="F79" s="585"/>
      <c r="G79" s="585"/>
      <c r="H79" s="585"/>
    </row>
    <row r="80" spans="1:8" ht="14.4">
      <c r="A80" s="584"/>
      <c r="B80" s="583"/>
      <c r="C80" s="585"/>
      <c r="D80" s="585"/>
      <c r="E80" s="585"/>
      <c r="F80" s="585"/>
      <c r="G80" s="585"/>
      <c r="H80" s="585"/>
    </row>
    <row r="81" spans="1:8" ht="14.4">
      <c r="A81" s="584"/>
      <c r="B81" s="583"/>
      <c r="C81" s="585"/>
      <c r="D81" s="585"/>
      <c r="E81" s="585"/>
      <c r="F81" s="585"/>
      <c r="G81" s="585"/>
      <c r="H81" s="585"/>
    </row>
    <row r="82" spans="1:8" ht="14.4">
      <c r="A82" s="584"/>
      <c r="B82" s="583"/>
      <c r="C82" s="585"/>
      <c r="D82" s="585"/>
      <c r="E82" s="585"/>
      <c r="F82" s="585"/>
      <c r="G82" s="585"/>
      <c r="H82" s="585"/>
    </row>
    <row r="83" spans="1:8" ht="14.4">
      <c r="A83" s="584"/>
      <c r="B83" s="583"/>
      <c r="C83" s="585"/>
      <c r="D83" s="585"/>
      <c r="E83" s="585"/>
      <c r="F83" s="585"/>
      <c r="G83" s="585"/>
      <c r="H83" s="585"/>
    </row>
    <row r="84" spans="1:8" ht="14.4">
      <c r="A84" s="584"/>
      <c r="B84" s="583"/>
      <c r="C84" s="585"/>
      <c r="D84" s="585"/>
      <c r="E84" s="585"/>
      <c r="F84" s="585"/>
      <c r="G84" s="585"/>
      <c r="H84" s="585"/>
    </row>
    <row r="85" spans="1:8" ht="14.4">
      <c r="A85" s="584"/>
      <c r="B85" s="583"/>
      <c r="C85" s="585"/>
      <c r="D85" s="585"/>
      <c r="E85" s="585"/>
      <c r="F85" s="585"/>
      <c r="G85" s="585"/>
      <c r="H85" s="585"/>
    </row>
    <row r="86" spans="1:8" ht="14.4">
      <c r="A86" s="584"/>
      <c r="B86" s="583"/>
      <c r="C86" s="585"/>
      <c r="D86" s="585"/>
      <c r="E86" s="585"/>
      <c r="F86" s="585"/>
      <c r="G86" s="585"/>
      <c r="H86" s="585"/>
    </row>
    <row r="87" spans="1:8" ht="14.4">
      <c r="A87" s="584"/>
      <c r="B87" s="583"/>
      <c r="C87" s="585"/>
      <c r="D87" s="585"/>
      <c r="E87" s="585"/>
      <c r="F87" s="585"/>
      <c r="G87" s="585"/>
      <c r="H87" s="585"/>
    </row>
    <row r="88" spans="1:8" ht="14.4">
      <c r="A88" s="584"/>
      <c r="B88" s="583"/>
      <c r="C88" s="585"/>
      <c r="D88" s="585"/>
      <c r="E88" s="585"/>
      <c r="F88" s="585"/>
      <c r="G88" s="585"/>
      <c r="H88" s="585"/>
    </row>
    <row r="89" spans="1:8" ht="14.4">
      <c r="A89" s="584"/>
      <c r="B89" s="583"/>
      <c r="C89" s="585"/>
      <c r="D89" s="585"/>
      <c r="E89" s="585"/>
      <c r="F89" s="585"/>
      <c r="G89" s="585"/>
      <c r="H89" s="585"/>
    </row>
    <row r="90" spans="1:8" ht="14.4">
      <c r="A90" s="584"/>
      <c r="B90" s="583"/>
      <c r="C90" s="585"/>
      <c r="D90" s="585"/>
      <c r="E90" s="585"/>
      <c r="F90" s="585"/>
      <c r="G90" s="585"/>
      <c r="H90" s="585"/>
    </row>
    <row r="91" spans="1:8" ht="14.4">
      <c r="A91" s="584"/>
      <c r="B91" s="583"/>
      <c r="C91" s="585"/>
      <c r="D91" s="585"/>
      <c r="E91" s="585"/>
      <c r="F91" s="585"/>
      <c r="G91" s="585"/>
      <c r="H91" s="585"/>
    </row>
    <row r="92" spans="1:8" ht="14.4">
      <c r="A92" s="584"/>
      <c r="B92" s="583"/>
      <c r="C92" s="585"/>
      <c r="D92" s="585"/>
      <c r="E92" s="585"/>
      <c r="F92" s="585"/>
      <c r="G92" s="585"/>
      <c r="H92" s="585"/>
    </row>
    <row r="93" spans="1:8" ht="14.4">
      <c r="A93" s="584"/>
      <c r="B93" s="583"/>
      <c r="C93" s="585"/>
      <c r="D93" s="585"/>
      <c r="E93" s="585"/>
      <c r="F93" s="585"/>
      <c r="G93" s="585"/>
      <c r="H93" s="585"/>
    </row>
    <row r="94" spans="1:8" ht="14.4">
      <c r="A94" s="584"/>
      <c r="B94" s="583"/>
      <c r="C94" s="585"/>
      <c r="D94" s="585"/>
      <c r="E94" s="585"/>
      <c r="F94" s="585"/>
      <c r="G94" s="585"/>
      <c r="H94" s="585"/>
    </row>
    <row r="95" spans="1:8" ht="14.4">
      <c r="A95" s="584"/>
      <c r="B95" s="583"/>
      <c r="C95" s="585"/>
      <c r="D95" s="585"/>
      <c r="E95" s="585"/>
      <c r="F95" s="585"/>
      <c r="G95" s="585"/>
      <c r="H95" s="585"/>
    </row>
    <row r="96" spans="1:8" ht="14.4">
      <c r="A96" s="584"/>
      <c r="B96" s="583"/>
      <c r="C96" s="585"/>
      <c r="D96" s="585"/>
      <c r="E96" s="585"/>
      <c r="F96" s="585"/>
      <c r="G96" s="585"/>
      <c r="H96" s="585"/>
    </row>
    <row r="97" spans="1:8" ht="14.4">
      <c r="A97" s="584"/>
      <c r="B97" s="583"/>
      <c r="C97" s="585"/>
      <c r="D97" s="585"/>
      <c r="E97" s="585"/>
      <c r="F97" s="585"/>
      <c r="G97" s="585"/>
      <c r="H97" s="585"/>
    </row>
    <row r="98" spans="1:8" ht="14.4">
      <c r="A98" s="584"/>
      <c r="B98" s="583"/>
      <c r="C98" s="585"/>
      <c r="D98" s="585"/>
      <c r="E98" s="585"/>
      <c r="F98" s="585"/>
      <c r="G98" s="585"/>
      <c r="H98" s="585"/>
    </row>
    <row r="99" spans="1:8" ht="14.4">
      <c r="A99" s="584"/>
      <c r="B99" s="583"/>
      <c r="C99" s="585"/>
      <c r="D99" s="585"/>
      <c r="E99" s="585"/>
      <c r="F99" s="585"/>
      <c r="G99" s="585"/>
      <c r="H99" s="585"/>
    </row>
    <row r="100" spans="1:8" ht="14.4">
      <c r="A100" s="584"/>
      <c r="B100" s="583"/>
      <c r="C100" s="585"/>
      <c r="D100" s="585"/>
      <c r="E100" s="585"/>
      <c r="F100" s="585"/>
      <c r="G100" s="585"/>
      <c r="H100" s="585"/>
    </row>
    <row r="101" spans="1:8" ht="14.4">
      <c r="A101" s="584"/>
      <c r="B101" s="583"/>
      <c r="C101" s="585"/>
      <c r="D101" s="585"/>
      <c r="E101" s="585"/>
      <c r="F101" s="585"/>
      <c r="G101" s="585"/>
      <c r="H101" s="585"/>
    </row>
    <row r="102" spans="1:8" ht="14.4">
      <c r="A102" s="584"/>
      <c r="B102" s="583"/>
      <c r="C102" s="585"/>
      <c r="D102" s="585"/>
      <c r="E102" s="585"/>
      <c r="F102" s="585"/>
      <c r="G102" s="585"/>
      <c r="H102" s="585"/>
    </row>
    <row r="103" spans="1:8" ht="14.4">
      <c r="A103" s="584"/>
      <c r="B103" s="583"/>
      <c r="C103" s="585"/>
      <c r="D103" s="585"/>
      <c r="E103" s="585"/>
      <c r="F103" s="585"/>
      <c r="G103" s="585"/>
      <c r="H103" s="585"/>
    </row>
    <row r="104" spans="1:8" ht="14.4">
      <c r="A104" s="584"/>
      <c r="B104" s="583"/>
      <c r="C104" s="585"/>
      <c r="D104" s="585"/>
      <c r="E104" s="585"/>
      <c r="F104" s="585"/>
      <c r="G104" s="585"/>
      <c r="H104" s="585"/>
    </row>
    <row r="105" spans="1:8" ht="14.4">
      <c r="A105" s="584"/>
      <c r="B105" s="583"/>
      <c r="C105" s="585"/>
      <c r="D105" s="585"/>
      <c r="E105" s="585"/>
      <c r="F105" s="585"/>
      <c r="G105" s="585"/>
      <c r="H105" s="585"/>
    </row>
    <row r="106" spans="1:8" ht="14.4">
      <c r="A106" s="584"/>
      <c r="B106" s="583"/>
      <c r="C106" s="585"/>
      <c r="D106" s="585"/>
      <c r="E106" s="585"/>
      <c r="F106" s="585"/>
      <c r="G106" s="585"/>
      <c r="H106" s="585"/>
    </row>
    <row r="107" spans="1:8" ht="14.4">
      <c r="A107" s="584"/>
      <c r="B107" s="583"/>
      <c r="C107" s="585"/>
      <c r="D107" s="585"/>
      <c r="E107" s="585"/>
      <c r="F107" s="585"/>
      <c r="G107" s="585"/>
      <c r="H107" s="585"/>
    </row>
    <row r="108" spans="1:8" ht="14.4">
      <c r="A108" s="584"/>
      <c r="B108" s="583"/>
      <c r="C108" s="585"/>
      <c r="D108" s="585"/>
      <c r="E108" s="585"/>
      <c r="F108" s="585"/>
      <c r="G108" s="585"/>
      <c r="H108" s="585"/>
    </row>
    <row r="109" spans="1:8" ht="14.4">
      <c r="A109" s="584"/>
      <c r="B109" s="583"/>
      <c r="C109" s="585"/>
      <c r="D109" s="585"/>
      <c r="E109" s="585"/>
      <c r="F109" s="585"/>
      <c r="G109" s="585"/>
      <c r="H109" s="585"/>
    </row>
    <row r="110" spans="1:8" ht="14.4">
      <c r="A110" s="584"/>
      <c r="B110" s="583"/>
      <c r="C110" s="585"/>
      <c r="D110" s="585"/>
      <c r="E110" s="585"/>
      <c r="F110" s="585"/>
      <c r="G110" s="585"/>
      <c r="H110" s="585"/>
    </row>
    <row r="111" spans="1:8" ht="14.4">
      <c r="A111" s="584"/>
      <c r="B111" s="583"/>
      <c r="C111" s="585"/>
      <c r="D111" s="585"/>
      <c r="E111" s="585"/>
      <c r="F111" s="585"/>
      <c r="G111" s="585"/>
      <c r="H111" s="585"/>
    </row>
    <row r="112" spans="1:8" ht="14.4">
      <c r="A112" s="584"/>
      <c r="B112" s="583"/>
      <c r="C112" s="585"/>
      <c r="D112" s="585"/>
      <c r="E112" s="585"/>
      <c r="F112" s="585"/>
      <c r="G112" s="585"/>
      <c r="H112" s="585"/>
    </row>
    <row r="113" spans="1:8" ht="14.4">
      <c r="A113" s="584"/>
      <c r="B113" s="583"/>
      <c r="C113" s="585"/>
      <c r="D113" s="585"/>
      <c r="E113" s="585"/>
      <c r="F113" s="585"/>
      <c r="G113" s="585"/>
      <c r="H113" s="585"/>
    </row>
    <row r="114" spans="1:8" ht="14.4">
      <c r="A114" s="584"/>
      <c r="B114" s="583"/>
      <c r="C114" s="585"/>
      <c r="D114" s="585"/>
      <c r="E114" s="585"/>
      <c r="F114" s="585"/>
      <c r="G114" s="585"/>
      <c r="H114" s="585"/>
    </row>
    <row r="115" spans="1:8" ht="14.4">
      <c r="A115" s="584"/>
      <c r="B115" s="583"/>
      <c r="C115" s="585"/>
      <c r="D115" s="585"/>
      <c r="E115" s="585"/>
      <c r="F115" s="585"/>
      <c r="G115" s="585"/>
      <c r="H115" s="585"/>
    </row>
    <row r="116" spans="1:8" ht="14.4">
      <c r="A116" s="584"/>
      <c r="B116" s="583"/>
      <c r="C116" s="585"/>
      <c r="D116" s="585"/>
      <c r="E116" s="585"/>
      <c r="F116" s="585"/>
      <c r="G116" s="585"/>
      <c r="H116" s="585"/>
    </row>
    <row r="117" spans="1:8" ht="14.4">
      <c r="A117" s="584"/>
      <c r="B117" s="583"/>
      <c r="C117" s="585"/>
      <c r="D117" s="585"/>
      <c r="E117" s="585"/>
      <c r="F117" s="585"/>
      <c r="G117" s="585"/>
      <c r="H117" s="585"/>
    </row>
    <row r="118" spans="1:8" ht="14.4">
      <c r="A118" s="584"/>
      <c r="B118" s="583"/>
      <c r="C118" s="585"/>
      <c r="D118" s="585"/>
      <c r="E118" s="585"/>
      <c r="F118" s="585"/>
      <c r="G118" s="585"/>
      <c r="H118" s="585"/>
    </row>
    <row r="119" spans="1:8" ht="14.4">
      <c r="A119" s="584"/>
      <c r="B119" s="583"/>
      <c r="C119" s="585"/>
      <c r="D119" s="585"/>
      <c r="E119" s="585"/>
      <c r="F119" s="585"/>
      <c r="G119" s="585"/>
      <c r="H119" s="585"/>
    </row>
    <row r="120" spans="1:8" ht="14.4">
      <c r="A120" s="584"/>
      <c r="B120" s="583"/>
      <c r="C120" s="585"/>
      <c r="D120" s="585"/>
      <c r="E120" s="585"/>
      <c r="F120" s="585"/>
      <c r="G120" s="585"/>
      <c r="H120" s="585"/>
    </row>
    <row r="121" spans="1:8" ht="14.4">
      <c r="A121" s="584"/>
      <c r="B121" s="583"/>
      <c r="C121" s="585"/>
      <c r="D121" s="585"/>
      <c r="E121" s="585"/>
      <c r="F121" s="585"/>
      <c r="G121" s="585"/>
      <c r="H121" s="585"/>
    </row>
    <row r="122" spans="1:8" ht="14.4">
      <c r="A122" s="584"/>
      <c r="B122" s="583"/>
      <c r="C122" s="585"/>
      <c r="D122" s="585"/>
      <c r="E122" s="585"/>
      <c r="F122" s="585"/>
      <c r="G122" s="585"/>
      <c r="H122" s="585"/>
    </row>
    <row r="123" spans="1:8" ht="14.4">
      <c r="A123" s="584"/>
      <c r="B123" s="583"/>
      <c r="C123" s="585"/>
      <c r="D123" s="585"/>
      <c r="E123" s="585"/>
      <c r="F123" s="585"/>
      <c r="G123" s="585"/>
      <c r="H123" s="585"/>
    </row>
    <row r="124" spans="1:8" ht="14.4">
      <c r="A124" s="584"/>
      <c r="B124" s="583"/>
      <c r="C124" s="585"/>
      <c r="D124" s="585"/>
      <c r="E124" s="585"/>
      <c r="F124" s="585"/>
      <c r="G124" s="585"/>
      <c r="H124" s="585"/>
    </row>
    <row r="125" spans="1:8" ht="14.4">
      <c r="A125" s="584"/>
      <c r="B125" s="583"/>
      <c r="C125" s="585"/>
      <c r="D125" s="585"/>
      <c r="E125" s="585"/>
      <c r="F125" s="585"/>
      <c r="G125" s="585"/>
      <c r="H125" s="585"/>
    </row>
    <row r="126" spans="1:8" ht="14.4">
      <c r="A126" s="584"/>
      <c r="B126" s="583"/>
      <c r="C126" s="585"/>
      <c r="D126" s="585"/>
      <c r="E126" s="585"/>
      <c r="F126" s="585"/>
      <c r="G126" s="585"/>
      <c r="H126" s="585"/>
    </row>
    <row r="127" spans="1:8" ht="14.4">
      <c r="A127" s="584"/>
      <c r="B127" s="583"/>
      <c r="C127" s="585"/>
      <c r="D127" s="585"/>
      <c r="E127" s="585"/>
      <c r="F127" s="585"/>
      <c r="G127" s="585"/>
      <c r="H127" s="585"/>
    </row>
    <row r="128" spans="1:8" ht="14.4">
      <c r="A128" s="584"/>
      <c r="B128" s="583"/>
      <c r="C128" s="585"/>
      <c r="D128" s="585"/>
      <c r="E128" s="585"/>
      <c r="F128" s="585"/>
      <c r="G128" s="585"/>
      <c r="H128" s="585"/>
    </row>
    <row r="129" spans="1:8" ht="14.4">
      <c r="A129" s="584"/>
      <c r="B129" s="583"/>
      <c r="C129" s="585"/>
      <c r="D129" s="585"/>
      <c r="E129" s="585"/>
      <c r="F129" s="585"/>
      <c r="G129" s="585"/>
      <c r="H129" s="585"/>
    </row>
    <row r="130" spans="1:8" ht="14.4">
      <c r="A130" s="584"/>
      <c r="B130" s="583"/>
      <c r="C130" s="585"/>
      <c r="D130" s="585"/>
      <c r="E130" s="585"/>
      <c r="F130" s="585"/>
      <c r="G130" s="585"/>
      <c r="H130" s="585"/>
    </row>
    <row r="131" spans="1:8" ht="14.4">
      <c r="A131" s="584"/>
      <c r="B131" s="583"/>
      <c r="C131" s="585"/>
      <c r="D131" s="585"/>
      <c r="E131" s="585"/>
      <c r="F131" s="585"/>
      <c r="G131" s="585"/>
      <c r="H131" s="585"/>
    </row>
    <row r="132" spans="1:8" ht="14.4">
      <c r="A132" s="584"/>
      <c r="B132" s="583"/>
      <c r="C132" s="585"/>
      <c r="D132" s="585"/>
      <c r="E132" s="585"/>
      <c r="F132" s="585"/>
      <c r="G132" s="585"/>
      <c r="H132" s="585"/>
    </row>
    <row r="133" spans="1:8" ht="14.4">
      <c r="A133" s="584"/>
      <c r="B133" s="583"/>
      <c r="C133" s="585"/>
      <c r="D133" s="585"/>
      <c r="E133" s="585"/>
      <c r="F133" s="585"/>
      <c r="G133" s="585"/>
      <c r="H133" s="585"/>
    </row>
    <row r="134" spans="1:8" ht="14.4">
      <c r="A134" s="584"/>
      <c r="B134" s="583"/>
      <c r="C134" s="585"/>
      <c r="D134" s="585"/>
      <c r="E134" s="585"/>
      <c r="F134" s="585"/>
      <c r="G134" s="585"/>
      <c r="H134" s="585"/>
    </row>
    <row r="135" spans="1:8" ht="14.4">
      <c r="A135" s="584"/>
      <c r="B135" s="583"/>
      <c r="C135" s="585"/>
      <c r="D135" s="585"/>
      <c r="E135" s="585"/>
      <c r="F135" s="585"/>
      <c r="G135" s="585"/>
      <c r="H135" s="585"/>
    </row>
    <row r="136" spans="1:8" ht="14.4">
      <c r="A136" s="584"/>
      <c r="B136" s="583"/>
      <c r="C136" s="585"/>
      <c r="D136" s="585"/>
      <c r="E136" s="585"/>
      <c r="F136" s="585"/>
      <c r="G136" s="585"/>
      <c r="H136" s="585"/>
    </row>
    <row r="137" spans="1:8" ht="14.4">
      <c r="A137" s="584"/>
      <c r="B137" s="583"/>
      <c r="C137" s="585"/>
      <c r="D137" s="585"/>
      <c r="E137" s="585"/>
      <c r="F137" s="585"/>
      <c r="G137" s="585"/>
      <c r="H137" s="585"/>
    </row>
    <row r="138" spans="1:8" ht="14.4">
      <c r="A138" s="584"/>
      <c r="B138" s="583"/>
      <c r="C138" s="585"/>
      <c r="D138" s="585"/>
      <c r="E138" s="585"/>
      <c r="F138" s="585"/>
      <c r="G138" s="585"/>
      <c r="H138" s="585"/>
    </row>
    <row r="139" spans="1:8" ht="14.4">
      <c r="A139" s="584"/>
      <c r="B139" s="583"/>
      <c r="C139" s="585"/>
      <c r="D139" s="585"/>
      <c r="E139" s="585"/>
      <c r="F139" s="585"/>
      <c r="G139" s="585"/>
      <c r="H139" s="585"/>
    </row>
    <row r="140" spans="1:8" ht="14.4">
      <c r="A140" s="584"/>
      <c r="B140" s="583"/>
      <c r="C140" s="585"/>
      <c r="D140" s="585"/>
      <c r="E140" s="585"/>
      <c r="F140" s="585"/>
      <c r="G140" s="585"/>
      <c r="H140" s="585"/>
    </row>
    <row r="141" spans="1:8" ht="14.4">
      <c r="A141" s="584"/>
      <c r="B141" s="583"/>
      <c r="C141" s="585"/>
      <c r="D141" s="585"/>
      <c r="E141" s="585"/>
      <c r="F141" s="585"/>
      <c r="G141" s="585"/>
      <c r="H141" s="585"/>
    </row>
    <row r="142" spans="1:8" ht="14.4">
      <c r="A142" s="584"/>
      <c r="B142" s="583"/>
      <c r="C142" s="585"/>
      <c r="D142" s="585"/>
      <c r="E142" s="585"/>
      <c r="F142" s="585"/>
      <c r="G142" s="585"/>
      <c r="H142" s="585"/>
    </row>
    <row r="143" spans="1:8" ht="14.4">
      <c r="A143" s="584"/>
      <c r="B143" s="583"/>
      <c r="C143" s="585"/>
      <c r="D143" s="585"/>
      <c r="E143" s="585"/>
      <c r="F143" s="585"/>
      <c r="G143" s="585"/>
      <c r="H143" s="585"/>
    </row>
    <row r="144" spans="1:8" ht="14.4">
      <c r="A144" s="584"/>
      <c r="B144" s="583"/>
      <c r="C144" s="585"/>
      <c r="D144" s="585"/>
      <c r="E144" s="585"/>
      <c r="F144" s="585"/>
      <c r="G144" s="585"/>
      <c r="H144" s="585"/>
    </row>
    <row r="145" spans="1:8" ht="14.4">
      <c r="A145" s="584"/>
      <c r="B145" s="583"/>
      <c r="C145" s="585"/>
      <c r="D145" s="585"/>
      <c r="E145" s="585"/>
      <c r="F145" s="585"/>
      <c r="G145" s="585"/>
      <c r="H145" s="585"/>
    </row>
    <row r="146" spans="1:8" ht="14.4">
      <c r="A146" s="584"/>
      <c r="B146" s="583"/>
      <c r="C146" s="585"/>
      <c r="D146" s="585"/>
      <c r="E146" s="585"/>
      <c r="F146" s="585"/>
      <c r="G146" s="585"/>
      <c r="H146" s="585"/>
    </row>
    <row r="147" spans="1:8" ht="14.4">
      <c r="A147" s="584"/>
      <c r="B147" s="583"/>
      <c r="C147" s="585"/>
      <c r="D147" s="585"/>
      <c r="E147" s="585"/>
      <c r="F147" s="585"/>
      <c r="G147" s="585"/>
      <c r="H147" s="585"/>
    </row>
    <row r="148" spans="1:8" ht="14.4">
      <c r="A148" s="584"/>
      <c r="B148" s="583"/>
      <c r="C148" s="585"/>
      <c r="D148" s="585"/>
      <c r="E148" s="585"/>
      <c r="F148" s="585"/>
      <c r="G148" s="585"/>
      <c r="H148" s="585"/>
    </row>
    <row r="149" spans="1:8" ht="14.4">
      <c r="A149" s="584"/>
      <c r="B149" s="583"/>
      <c r="C149" s="585"/>
      <c r="D149" s="585"/>
      <c r="E149" s="585"/>
      <c r="F149" s="585"/>
      <c r="G149" s="585"/>
      <c r="H149" s="585"/>
    </row>
    <row r="150" spans="1:8" ht="14.4">
      <c r="A150" s="584"/>
      <c r="B150" s="583"/>
      <c r="C150" s="585"/>
      <c r="D150" s="585"/>
      <c r="E150" s="585"/>
      <c r="F150" s="585"/>
      <c r="G150" s="585"/>
      <c r="H150" s="585"/>
    </row>
    <row r="151" spans="1:8" ht="14.4">
      <c r="A151" s="584"/>
      <c r="B151" s="583"/>
      <c r="C151" s="585"/>
      <c r="D151" s="585"/>
      <c r="E151" s="585"/>
      <c r="F151" s="585"/>
      <c r="G151" s="585"/>
      <c r="H151" s="585"/>
    </row>
    <row r="152" spans="1:8" ht="14.4">
      <c r="A152" s="584"/>
      <c r="B152" s="583"/>
      <c r="C152" s="585"/>
      <c r="D152" s="585"/>
      <c r="E152" s="585"/>
      <c r="F152" s="585"/>
      <c r="G152" s="585"/>
      <c r="H152" s="585"/>
    </row>
    <row r="153" spans="1:8" ht="14.4">
      <c r="A153" s="584"/>
      <c r="B153" s="583"/>
      <c r="C153" s="585"/>
      <c r="D153" s="585"/>
      <c r="E153" s="585"/>
      <c r="F153" s="585"/>
      <c r="G153" s="585"/>
      <c r="H153" s="585"/>
    </row>
    <row r="154" spans="1:8" ht="14.4">
      <c r="A154" s="584"/>
      <c r="B154" s="583"/>
      <c r="C154" s="585"/>
      <c r="D154" s="585"/>
      <c r="E154" s="585"/>
      <c r="F154" s="585"/>
      <c r="G154" s="585"/>
      <c r="H154" s="585"/>
    </row>
    <row r="155" spans="1:8" ht="14.4">
      <c r="A155" s="584"/>
      <c r="B155" s="583"/>
      <c r="C155" s="585"/>
      <c r="D155" s="585"/>
      <c r="E155" s="585"/>
      <c r="F155" s="585"/>
      <c r="G155" s="585"/>
      <c r="H155" s="585"/>
    </row>
    <row r="156" spans="1:8" ht="14.4">
      <c r="A156" s="584"/>
      <c r="B156" s="583"/>
      <c r="C156" s="585"/>
      <c r="D156" s="585"/>
      <c r="E156" s="585"/>
      <c r="F156" s="585"/>
      <c r="G156" s="585"/>
      <c r="H156" s="585"/>
    </row>
    <row r="157" spans="1:8" ht="14.4">
      <c r="A157" s="584"/>
      <c r="B157" s="583"/>
      <c r="C157" s="585"/>
      <c r="D157" s="585"/>
      <c r="E157" s="585"/>
      <c r="F157" s="585"/>
      <c r="G157" s="585"/>
      <c r="H157" s="585"/>
    </row>
    <row r="158" spans="1:8" ht="14.4">
      <c r="A158" s="584"/>
      <c r="B158" s="583"/>
      <c r="C158" s="585"/>
      <c r="D158" s="585"/>
      <c r="E158" s="585"/>
      <c r="F158" s="585"/>
      <c r="G158" s="585"/>
      <c r="H158" s="585"/>
    </row>
    <row r="159" spans="1:8" ht="14.4">
      <c r="A159" s="584"/>
      <c r="B159" s="583"/>
      <c r="C159" s="585"/>
      <c r="D159" s="585"/>
      <c r="E159" s="585"/>
      <c r="F159" s="585"/>
      <c r="G159" s="585"/>
      <c r="H159" s="585"/>
    </row>
    <row r="160" spans="1:8" ht="14.4">
      <c r="A160" s="584"/>
      <c r="B160" s="583"/>
      <c r="C160" s="585"/>
      <c r="D160" s="585"/>
      <c r="E160" s="585"/>
      <c r="F160" s="585"/>
      <c r="G160" s="585"/>
      <c r="H160" s="585"/>
    </row>
    <row r="161" spans="1:8" ht="14.4">
      <c r="A161" s="584"/>
      <c r="B161" s="583"/>
      <c r="C161" s="585"/>
      <c r="D161" s="585"/>
      <c r="E161" s="585"/>
      <c r="F161" s="585"/>
      <c r="G161" s="585"/>
      <c r="H161" s="585"/>
    </row>
    <row r="162" spans="1:8" ht="14.4">
      <c r="A162" s="584"/>
      <c r="B162" s="583"/>
      <c r="C162" s="585"/>
      <c r="D162" s="585"/>
      <c r="E162" s="585"/>
      <c r="F162" s="585"/>
      <c r="G162" s="585"/>
      <c r="H162" s="585"/>
    </row>
    <row r="163" spans="1:8" ht="14.4">
      <c r="A163" s="584"/>
      <c r="B163" s="583"/>
      <c r="C163" s="585"/>
      <c r="D163" s="585"/>
      <c r="E163" s="585"/>
      <c r="F163" s="585"/>
      <c r="G163" s="585"/>
      <c r="H163" s="585"/>
    </row>
    <row r="164" spans="1:8" ht="14.4">
      <c r="A164" s="584"/>
      <c r="B164" s="583"/>
      <c r="C164" s="585"/>
      <c r="D164" s="585"/>
      <c r="E164" s="585"/>
      <c r="F164" s="585"/>
      <c r="G164" s="585"/>
      <c r="H164" s="585"/>
    </row>
    <row r="165" spans="1:8" ht="14.4">
      <c r="A165" s="584"/>
      <c r="B165" s="583"/>
      <c r="C165" s="585"/>
      <c r="D165" s="585"/>
      <c r="E165" s="585"/>
      <c r="F165" s="585"/>
      <c r="G165" s="585"/>
      <c r="H165" s="585"/>
    </row>
    <row r="166" spans="1:8" ht="14.4">
      <c r="A166" s="584"/>
      <c r="B166" s="583"/>
      <c r="C166" s="585"/>
      <c r="D166" s="585"/>
      <c r="E166" s="585"/>
      <c r="F166" s="585"/>
      <c r="G166" s="585"/>
      <c r="H166" s="585"/>
    </row>
    <row r="167" spans="1:8" ht="14.4">
      <c r="A167" s="584"/>
      <c r="B167" s="583"/>
      <c r="C167" s="585"/>
      <c r="D167" s="585"/>
      <c r="E167" s="585"/>
      <c r="F167" s="585"/>
      <c r="G167" s="585"/>
      <c r="H167" s="585"/>
    </row>
    <row r="168" spans="1:8" ht="14.4">
      <c r="A168" s="584"/>
      <c r="B168" s="583"/>
      <c r="C168" s="585"/>
      <c r="D168" s="585"/>
      <c r="E168" s="585"/>
      <c r="F168" s="585"/>
      <c r="G168" s="585"/>
      <c r="H168" s="585"/>
    </row>
    <row r="169" spans="1:8" ht="14.4">
      <c r="A169" s="584"/>
      <c r="B169" s="583"/>
      <c r="C169" s="585"/>
      <c r="D169" s="585"/>
      <c r="E169" s="585"/>
      <c r="F169" s="585"/>
      <c r="G169" s="585"/>
      <c r="H169" s="585"/>
    </row>
    <row r="170" spans="1:8" ht="14.4">
      <c r="A170" s="584"/>
      <c r="B170" s="583"/>
      <c r="C170" s="585"/>
      <c r="D170" s="585"/>
      <c r="E170" s="585"/>
      <c r="F170" s="585"/>
      <c r="G170" s="585"/>
      <c r="H170" s="585"/>
    </row>
    <row r="171" spans="1:8" ht="14.4">
      <c r="A171" s="584"/>
      <c r="B171" s="583"/>
      <c r="C171" s="585"/>
      <c r="D171" s="585"/>
      <c r="E171" s="585"/>
      <c r="F171" s="585"/>
      <c r="G171" s="585"/>
      <c r="H171" s="585"/>
    </row>
    <row r="172" spans="1:8" ht="14.4">
      <c r="A172" s="584"/>
      <c r="B172" s="583"/>
      <c r="C172" s="585"/>
      <c r="D172" s="585"/>
      <c r="E172" s="585"/>
      <c r="F172" s="585"/>
      <c r="G172" s="585"/>
      <c r="H172" s="585"/>
    </row>
    <row r="173" spans="1:8" ht="14.4">
      <c r="A173" s="584"/>
      <c r="B173" s="583"/>
      <c r="C173" s="585"/>
      <c r="D173" s="585"/>
      <c r="E173" s="585"/>
      <c r="F173" s="585"/>
      <c r="G173" s="585"/>
      <c r="H173" s="585"/>
    </row>
    <row r="174" spans="1:8" ht="14.4">
      <c r="A174" s="584"/>
      <c r="B174" s="583"/>
      <c r="C174" s="585"/>
      <c r="D174" s="585"/>
      <c r="E174" s="585"/>
      <c r="F174" s="585"/>
      <c r="G174" s="585"/>
      <c r="H174" s="585"/>
    </row>
    <row r="175" spans="1:8" ht="14.4">
      <c r="A175" s="584"/>
      <c r="B175" s="583"/>
      <c r="C175" s="585"/>
      <c r="D175" s="585"/>
      <c r="E175" s="585"/>
      <c r="F175" s="585"/>
      <c r="G175" s="585"/>
      <c r="H175" s="585"/>
    </row>
    <row r="176" spans="1:8" ht="14.4">
      <c r="A176" s="584"/>
      <c r="B176" s="583"/>
      <c r="C176" s="585"/>
      <c r="D176" s="585"/>
      <c r="E176" s="585"/>
      <c r="F176" s="585"/>
      <c r="G176" s="585"/>
      <c r="H176" s="585"/>
    </row>
    <row r="177" spans="1:8" ht="14.4">
      <c r="A177" s="584"/>
      <c r="B177" s="583"/>
      <c r="C177" s="585"/>
      <c r="D177" s="585"/>
      <c r="E177" s="585"/>
      <c r="F177" s="585"/>
      <c r="G177" s="585"/>
      <c r="H177" s="585"/>
    </row>
    <row r="178" spans="1:8" ht="14.4">
      <c r="A178" s="584"/>
      <c r="B178" s="583"/>
      <c r="C178" s="585"/>
      <c r="D178" s="585"/>
      <c r="E178" s="585"/>
      <c r="F178" s="585"/>
      <c r="G178" s="585"/>
      <c r="H178" s="585"/>
    </row>
    <row r="179" spans="1:8" ht="14.4">
      <c r="A179" s="584"/>
      <c r="B179" s="583"/>
      <c r="C179" s="585"/>
      <c r="D179" s="585"/>
      <c r="E179" s="585"/>
      <c r="F179" s="585"/>
      <c r="G179" s="585"/>
      <c r="H179" s="585"/>
    </row>
    <row r="180" spans="1:8" ht="14.4">
      <c r="A180" s="584"/>
      <c r="B180" s="583"/>
      <c r="C180" s="585"/>
      <c r="D180" s="585"/>
      <c r="E180" s="585"/>
      <c r="F180" s="585"/>
      <c r="G180" s="585"/>
      <c r="H180" s="585"/>
    </row>
    <row r="181" spans="1:8" ht="14.4">
      <c r="A181" s="584"/>
      <c r="B181" s="583"/>
      <c r="C181" s="585"/>
      <c r="D181" s="585"/>
      <c r="E181" s="585"/>
      <c r="F181" s="585"/>
      <c r="G181" s="585"/>
      <c r="H181" s="585"/>
    </row>
    <row r="182" spans="1:8" ht="14.4">
      <c r="A182" s="584"/>
      <c r="B182" s="583"/>
      <c r="C182" s="585"/>
      <c r="D182" s="585"/>
      <c r="E182" s="585"/>
      <c r="F182" s="585"/>
      <c r="G182" s="585"/>
      <c r="H182" s="585"/>
    </row>
    <row r="183" spans="1:8" ht="14.4">
      <c r="A183" s="584"/>
      <c r="B183" s="583"/>
      <c r="C183" s="585"/>
      <c r="D183" s="585"/>
      <c r="E183" s="585"/>
      <c r="F183" s="585"/>
      <c r="G183" s="585"/>
      <c r="H183" s="585"/>
    </row>
    <row r="184" spans="1:8" ht="14.4">
      <c r="A184" s="584"/>
      <c r="B184" s="583"/>
      <c r="C184" s="585"/>
      <c r="D184" s="585"/>
      <c r="E184" s="585"/>
      <c r="F184" s="585"/>
      <c r="G184" s="585"/>
      <c r="H184" s="585"/>
    </row>
    <row r="185" spans="1:8" ht="14.4">
      <c r="A185" s="584"/>
      <c r="B185" s="583"/>
      <c r="C185" s="585"/>
      <c r="D185" s="585"/>
      <c r="E185" s="585"/>
      <c r="F185" s="585"/>
      <c r="G185" s="585"/>
      <c r="H185" s="585"/>
    </row>
    <row r="186" spans="1:8" ht="14.4">
      <c r="A186" s="584"/>
      <c r="B186" s="583"/>
      <c r="C186" s="585"/>
      <c r="D186" s="585"/>
      <c r="E186" s="585"/>
      <c r="F186" s="585"/>
      <c r="G186" s="585"/>
      <c r="H186" s="585"/>
    </row>
    <row r="187" spans="1:8" ht="14.4">
      <c r="A187" s="584"/>
      <c r="B187" s="583"/>
      <c r="C187" s="585"/>
      <c r="D187" s="585"/>
      <c r="E187" s="585"/>
      <c r="F187" s="585"/>
      <c r="G187" s="585"/>
      <c r="H187" s="585"/>
    </row>
    <row r="188" spans="1:8" ht="14.4">
      <c r="A188" s="584"/>
      <c r="B188" s="583"/>
      <c r="C188" s="585"/>
      <c r="D188" s="585"/>
      <c r="E188" s="585"/>
      <c r="F188" s="585"/>
      <c r="G188" s="585"/>
      <c r="H188" s="585"/>
    </row>
    <row r="189" spans="1:8" ht="14.4">
      <c r="A189" s="584"/>
      <c r="B189" s="583"/>
      <c r="C189" s="585"/>
      <c r="D189" s="585"/>
      <c r="E189" s="585"/>
      <c r="F189" s="585"/>
      <c r="G189" s="585"/>
      <c r="H189" s="585"/>
    </row>
    <row r="190" spans="1:8" ht="14.4">
      <c r="A190" s="584"/>
      <c r="B190" s="583"/>
      <c r="C190" s="585"/>
      <c r="D190" s="585"/>
      <c r="E190" s="585"/>
      <c r="F190" s="585"/>
      <c r="G190" s="585"/>
      <c r="H190" s="585"/>
    </row>
    <row r="191" spans="1:8" ht="14.4">
      <c r="A191" s="584"/>
      <c r="B191" s="583"/>
      <c r="C191" s="585"/>
      <c r="D191" s="585"/>
      <c r="E191" s="585"/>
      <c r="F191" s="585"/>
      <c r="G191" s="585"/>
      <c r="H191" s="585"/>
    </row>
    <row r="192" spans="1:8" ht="14.4">
      <c r="A192" s="584"/>
      <c r="B192" s="583"/>
      <c r="C192" s="585"/>
      <c r="D192" s="585"/>
      <c r="E192" s="585"/>
      <c r="F192" s="585"/>
      <c r="G192" s="585"/>
      <c r="H192" s="585"/>
    </row>
    <row r="193" spans="1:8" ht="14.4">
      <c r="A193" s="584"/>
      <c r="B193" s="583"/>
      <c r="C193" s="585"/>
      <c r="D193" s="585"/>
      <c r="E193" s="585"/>
      <c r="F193" s="585"/>
      <c r="G193" s="585"/>
      <c r="H193" s="585"/>
    </row>
    <row r="194" spans="1:8" ht="14.4">
      <c r="A194" s="584"/>
      <c r="B194" s="583"/>
      <c r="C194" s="585"/>
      <c r="D194" s="585"/>
      <c r="E194" s="585"/>
      <c r="F194" s="585"/>
      <c r="G194" s="585"/>
      <c r="H194" s="585"/>
    </row>
    <row r="195" spans="1:8" ht="14.4">
      <c r="A195" s="584"/>
      <c r="B195" s="583"/>
      <c r="C195" s="585"/>
      <c r="D195" s="585"/>
      <c r="E195" s="585"/>
      <c r="F195" s="585"/>
      <c r="G195" s="585"/>
      <c r="H195" s="585"/>
    </row>
    <row r="196" spans="1:8" ht="14.4">
      <c r="A196" s="584"/>
      <c r="B196" s="583"/>
      <c r="C196" s="585"/>
      <c r="D196" s="585"/>
      <c r="E196" s="585"/>
      <c r="F196" s="585"/>
      <c r="G196" s="585"/>
      <c r="H196" s="585"/>
    </row>
    <row r="197" spans="1:8" ht="14.4">
      <c r="A197" s="584"/>
      <c r="B197" s="583"/>
      <c r="C197" s="585"/>
      <c r="D197" s="585"/>
      <c r="E197" s="585"/>
      <c r="F197" s="585"/>
      <c r="G197" s="585"/>
      <c r="H197" s="585"/>
    </row>
    <row r="198" spans="1:8" ht="14.4">
      <c r="A198" s="584"/>
      <c r="B198" s="583"/>
      <c r="C198" s="585"/>
      <c r="D198" s="585"/>
      <c r="E198" s="585"/>
      <c r="F198" s="585"/>
      <c r="G198" s="585"/>
      <c r="H198" s="585"/>
    </row>
    <row r="199" spans="1:8" ht="14.4">
      <c r="A199" s="584"/>
      <c r="B199" s="583"/>
      <c r="C199" s="585"/>
      <c r="D199" s="585"/>
      <c r="E199" s="585"/>
      <c r="F199" s="585"/>
      <c r="G199" s="585"/>
      <c r="H199" s="585"/>
    </row>
    <row r="200" spans="1:8" ht="14.4">
      <c r="A200" s="584"/>
      <c r="B200" s="583"/>
      <c r="C200" s="585"/>
      <c r="D200" s="585"/>
      <c r="E200" s="585"/>
      <c r="F200" s="585"/>
      <c r="G200" s="585"/>
      <c r="H200" s="585"/>
    </row>
    <row r="201" spans="1:8" ht="14.4">
      <c r="A201" s="584"/>
      <c r="B201" s="583"/>
      <c r="C201" s="585"/>
      <c r="D201" s="585"/>
      <c r="E201" s="585"/>
      <c r="F201" s="585"/>
      <c r="G201" s="585"/>
      <c r="H201" s="585"/>
    </row>
    <row r="202" spans="1:8" ht="14.4">
      <c r="A202" s="584"/>
      <c r="B202" s="583"/>
      <c r="C202" s="585"/>
      <c r="D202" s="585"/>
      <c r="E202" s="585"/>
      <c r="F202" s="585"/>
      <c r="G202" s="585"/>
      <c r="H202" s="585"/>
    </row>
    <row r="203" spans="1:8" ht="14.4">
      <c r="A203" s="584"/>
      <c r="B203" s="583"/>
      <c r="C203" s="585"/>
      <c r="D203" s="585"/>
      <c r="E203" s="585"/>
      <c r="F203" s="585"/>
      <c r="G203" s="585"/>
      <c r="H203" s="585"/>
    </row>
    <row r="204" spans="1:8" ht="14.4">
      <c r="A204" s="584"/>
      <c r="B204" s="583"/>
      <c r="C204" s="585"/>
      <c r="D204" s="585"/>
      <c r="E204" s="585"/>
      <c r="F204" s="585"/>
      <c r="G204" s="585"/>
      <c r="H204" s="585"/>
    </row>
    <row r="205" spans="1:8" ht="14.4">
      <c r="A205" s="584"/>
      <c r="B205" s="583"/>
      <c r="C205" s="585"/>
      <c r="D205" s="585"/>
      <c r="E205" s="585"/>
      <c r="F205" s="585"/>
      <c r="G205" s="585"/>
      <c r="H205" s="585"/>
    </row>
    <row r="206" spans="1:8" ht="14.4">
      <c r="A206" s="584"/>
      <c r="B206" s="583"/>
      <c r="C206" s="585"/>
      <c r="D206" s="585"/>
      <c r="E206" s="585"/>
      <c r="F206" s="585"/>
      <c r="G206" s="585"/>
      <c r="H206" s="585"/>
    </row>
    <row r="207" spans="1:8" ht="14.4">
      <c r="A207" s="584"/>
      <c r="B207" s="583"/>
      <c r="C207" s="585"/>
      <c r="D207" s="585"/>
      <c r="E207" s="585"/>
      <c r="F207" s="585"/>
      <c r="G207" s="585"/>
      <c r="H207" s="585"/>
    </row>
    <row r="208" spans="1:8" ht="14.4">
      <c r="A208" s="584"/>
      <c r="B208" s="583"/>
      <c r="C208" s="585"/>
      <c r="D208" s="585"/>
      <c r="E208" s="585"/>
      <c r="F208" s="585"/>
      <c r="G208" s="585"/>
      <c r="H208" s="585"/>
    </row>
    <row r="209" spans="1:8" ht="14.4">
      <c r="A209" s="584"/>
      <c r="B209" s="583"/>
      <c r="C209" s="585"/>
      <c r="D209" s="585"/>
      <c r="E209" s="585"/>
      <c r="F209" s="585"/>
      <c r="G209" s="585"/>
      <c r="H209" s="585"/>
    </row>
    <row r="210" spans="1:8" ht="14.4">
      <c r="A210" s="584"/>
      <c r="B210" s="583"/>
      <c r="C210" s="585"/>
      <c r="D210" s="585"/>
      <c r="E210" s="585"/>
      <c r="F210" s="585"/>
      <c r="G210" s="585"/>
      <c r="H210" s="585"/>
    </row>
    <row r="211" spans="1:8" ht="14.4">
      <c r="A211" s="584"/>
      <c r="B211" s="583"/>
      <c r="C211" s="585"/>
      <c r="D211" s="585"/>
      <c r="E211" s="585"/>
      <c r="F211" s="585"/>
      <c r="G211" s="585"/>
      <c r="H211" s="585"/>
    </row>
    <row r="212" spans="1:8" ht="14.4">
      <c r="A212" s="584"/>
      <c r="B212" s="583"/>
      <c r="C212" s="585"/>
      <c r="D212" s="585"/>
      <c r="E212" s="585"/>
      <c r="F212" s="585"/>
      <c r="G212" s="585"/>
      <c r="H212" s="585"/>
    </row>
    <row r="213" spans="1:8" ht="14.4">
      <c r="A213" s="584"/>
      <c r="B213" s="583"/>
      <c r="C213" s="585"/>
      <c r="D213" s="585"/>
      <c r="E213" s="585"/>
      <c r="F213" s="585"/>
      <c r="G213" s="585"/>
      <c r="H213" s="585"/>
    </row>
    <row r="214" spans="1:8" ht="14.4">
      <c r="A214" s="584"/>
      <c r="B214" s="583"/>
      <c r="C214" s="585"/>
      <c r="D214" s="585"/>
      <c r="E214" s="585"/>
      <c r="F214" s="585"/>
      <c r="G214" s="585"/>
      <c r="H214" s="585"/>
    </row>
    <row r="215" spans="1:8" ht="14.4">
      <c r="A215" s="584"/>
      <c r="B215" s="583"/>
      <c r="C215" s="585"/>
      <c r="D215" s="585"/>
      <c r="E215" s="585"/>
      <c r="F215" s="585"/>
      <c r="G215" s="585"/>
      <c r="H215" s="585"/>
    </row>
    <row r="216" spans="1:8" ht="14.4">
      <c r="A216" s="584"/>
      <c r="B216" s="583"/>
      <c r="C216" s="585"/>
      <c r="D216" s="585"/>
      <c r="E216" s="585"/>
      <c r="F216" s="585"/>
      <c r="G216" s="585"/>
      <c r="H216" s="585"/>
    </row>
    <row r="217" spans="1:8" ht="14.4">
      <c r="A217" s="584"/>
      <c r="B217" s="583"/>
      <c r="C217" s="585"/>
      <c r="D217" s="585"/>
      <c r="E217" s="585"/>
      <c r="F217" s="585"/>
      <c r="G217" s="585"/>
      <c r="H217" s="585"/>
    </row>
    <row r="218" spans="1:8" ht="14.4">
      <c r="A218" s="584"/>
      <c r="B218" s="583"/>
      <c r="C218" s="585"/>
      <c r="D218" s="585"/>
      <c r="E218" s="585"/>
      <c r="F218" s="585"/>
      <c r="G218" s="585"/>
      <c r="H218" s="585"/>
    </row>
    <row r="219" spans="1:8" ht="14.4">
      <c r="A219" s="584"/>
      <c r="B219" s="583"/>
      <c r="C219" s="585"/>
      <c r="D219" s="585"/>
      <c r="E219" s="585"/>
      <c r="F219" s="585"/>
      <c r="G219" s="585"/>
      <c r="H219" s="585"/>
    </row>
    <row r="220" spans="1:8" ht="14.4">
      <c r="A220" s="584"/>
      <c r="B220" s="583"/>
      <c r="C220" s="585"/>
      <c r="D220" s="585"/>
      <c r="E220" s="585"/>
      <c r="F220" s="585"/>
      <c r="G220" s="585"/>
      <c r="H220" s="585"/>
    </row>
    <row r="221" spans="1:8" ht="14.4">
      <c r="A221" s="584"/>
      <c r="B221" s="583"/>
      <c r="C221" s="585"/>
      <c r="D221" s="585"/>
      <c r="E221" s="585"/>
      <c r="F221" s="585"/>
      <c r="G221" s="585"/>
      <c r="H221" s="585"/>
    </row>
    <row r="222" spans="1:8" ht="14.4">
      <c r="A222" s="584"/>
      <c r="B222" s="583"/>
      <c r="C222" s="585"/>
      <c r="D222" s="585"/>
      <c r="E222" s="585"/>
      <c r="F222" s="585"/>
      <c r="G222" s="585"/>
      <c r="H222" s="585"/>
    </row>
    <row r="223" spans="1:8" ht="14.4">
      <c r="A223" s="584"/>
      <c r="B223" s="583"/>
      <c r="C223" s="585"/>
      <c r="D223" s="585"/>
      <c r="E223" s="585"/>
      <c r="F223" s="585"/>
      <c r="G223" s="585"/>
      <c r="H223" s="585"/>
    </row>
    <row r="224" spans="1:8" ht="14.4">
      <c r="A224" s="584"/>
      <c r="B224" s="583"/>
      <c r="C224" s="585"/>
      <c r="D224" s="585"/>
      <c r="E224" s="585"/>
      <c r="F224" s="585"/>
      <c r="G224" s="585"/>
      <c r="H224" s="585"/>
    </row>
    <row r="225" spans="1:8" ht="14.4">
      <c r="A225" s="584"/>
      <c r="B225" s="583"/>
      <c r="C225" s="585"/>
      <c r="D225" s="585"/>
      <c r="E225" s="585"/>
      <c r="F225" s="585"/>
      <c r="G225" s="585"/>
      <c r="H225" s="585"/>
    </row>
    <row r="226" spans="1:8" ht="14.4">
      <c r="A226" s="584"/>
      <c r="B226" s="583"/>
      <c r="C226" s="585"/>
      <c r="D226" s="585"/>
      <c r="E226" s="585"/>
      <c r="F226" s="585"/>
      <c r="G226" s="585"/>
      <c r="H226" s="585"/>
    </row>
    <row r="227" spans="1:8" ht="14.4">
      <c r="A227" s="584"/>
      <c r="B227" s="583"/>
      <c r="C227" s="585"/>
      <c r="D227" s="585"/>
      <c r="E227" s="585"/>
      <c r="F227" s="585"/>
      <c r="G227" s="585"/>
      <c r="H227" s="585"/>
    </row>
    <row r="228" spans="1:8" ht="14.4">
      <c r="A228" s="584"/>
      <c r="B228" s="583"/>
      <c r="C228" s="585"/>
      <c r="D228" s="585"/>
      <c r="E228" s="585"/>
      <c r="F228" s="585"/>
      <c r="G228" s="585"/>
      <c r="H228" s="585"/>
    </row>
    <row r="229" spans="1:8" ht="14.4">
      <c r="A229" s="584"/>
      <c r="B229" s="583"/>
      <c r="C229" s="585"/>
      <c r="D229" s="585"/>
      <c r="E229" s="585"/>
      <c r="F229" s="585"/>
      <c r="G229" s="585"/>
      <c r="H229" s="585"/>
    </row>
    <row r="230" spans="1:8" ht="14.4">
      <c r="A230" s="584"/>
      <c r="B230" s="583"/>
      <c r="C230" s="585"/>
      <c r="D230" s="585"/>
      <c r="E230" s="585"/>
      <c r="F230" s="585"/>
      <c r="G230" s="585"/>
      <c r="H230" s="585"/>
    </row>
    <row r="231" spans="1:8" ht="14.4">
      <c r="A231" s="584"/>
      <c r="B231" s="583"/>
      <c r="C231" s="585"/>
      <c r="D231" s="585"/>
      <c r="E231" s="585"/>
      <c r="F231" s="585"/>
      <c r="G231" s="585"/>
      <c r="H231" s="585"/>
    </row>
    <row r="232" spans="1:8" ht="14.4">
      <c r="A232" s="584"/>
      <c r="B232" s="583"/>
      <c r="C232" s="585"/>
      <c r="D232" s="585"/>
      <c r="E232" s="585"/>
      <c r="F232" s="585"/>
      <c r="G232" s="585"/>
      <c r="H232" s="585"/>
    </row>
    <row r="233" spans="1:8" ht="14.4">
      <c r="A233" s="584"/>
      <c r="B233" s="583"/>
      <c r="C233" s="585"/>
      <c r="D233" s="585"/>
      <c r="E233" s="585"/>
      <c r="F233" s="585"/>
      <c r="G233" s="585"/>
      <c r="H233" s="585"/>
    </row>
    <row r="234" spans="1:8" ht="14.4">
      <c r="A234" s="584"/>
      <c r="B234" s="583"/>
      <c r="C234" s="585"/>
      <c r="D234" s="585"/>
      <c r="E234" s="585"/>
      <c r="F234" s="585"/>
      <c r="G234" s="585"/>
      <c r="H234" s="585"/>
    </row>
    <row r="235" spans="1:8" ht="14.4">
      <c r="A235" s="584"/>
      <c r="B235" s="583"/>
      <c r="C235" s="585"/>
      <c r="D235" s="585"/>
      <c r="E235" s="585"/>
      <c r="F235" s="585"/>
      <c r="G235" s="585"/>
      <c r="H235" s="585"/>
    </row>
    <row r="236" spans="1:8" ht="14.4">
      <c r="A236" s="584"/>
      <c r="B236" s="583"/>
      <c r="C236" s="585"/>
      <c r="D236" s="585"/>
      <c r="E236" s="585"/>
      <c r="F236" s="585"/>
      <c r="G236" s="585"/>
      <c r="H236" s="585"/>
    </row>
    <row r="237" spans="1:8" ht="14.4">
      <c r="A237" s="584"/>
      <c r="B237" s="583"/>
      <c r="C237" s="585"/>
      <c r="D237" s="585"/>
      <c r="E237" s="585"/>
      <c r="F237" s="585"/>
      <c r="G237" s="585"/>
      <c r="H237" s="585"/>
    </row>
    <row r="238" spans="1:8" ht="14.4">
      <c r="A238" s="584"/>
      <c r="B238" s="583"/>
      <c r="C238" s="585"/>
      <c r="D238" s="585"/>
      <c r="E238" s="585"/>
      <c r="F238" s="585"/>
      <c r="G238" s="585"/>
      <c r="H238" s="585"/>
    </row>
    <row r="239" spans="1:8" ht="14.4">
      <c r="A239" s="584"/>
      <c r="B239" s="583"/>
      <c r="C239" s="585"/>
      <c r="D239" s="585"/>
      <c r="E239" s="585"/>
      <c r="F239" s="585"/>
      <c r="G239" s="585"/>
      <c r="H239" s="585"/>
    </row>
    <row r="240" spans="1:8" ht="14.4">
      <c r="A240" s="584"/>
      <c r="B240" s="583"/>
      <c r="C240" s="585"/>
      <c r="D240" s="585"/>
      <c r="E240" s="585"/>
      <c r="F240" s="585"/>
      <c r="G240" s="585"/>
      <c r="H240" s="585"/>
    </row>
    <row r="241" spans="1:8" ht="14.4">
      <c r="A241" s="584"/>
      <c r="B241" s="583"/>
      <c r="C241" s="585"/>
      <c r="D241" s="585"/>
      <c r="E241" s="585"/>
      <c r="F241" s="585"/>
      <c r="G241" s="585"/>
      <c r="H241" s="585"/>
    </row>
    <row r="242" spans="1:8" ht="14.4">
      <c r="A242" s="584"/>
      <c r="B242" s="583"/>
      <c r="C242" s="585"/>
      <c r="D242" s="585"/>
      <c r="E242" s="585"/>
      <c r="F242" s="585"/>
      <c r="G242" s="585"/>
      <c r="H242" s="585"/>
    </row>
    <row r="243" spans="1:8" ht="14.4">
      <c r="A243" s="584"/>
      <c r="B243" s="583"/>
      <c r="C243" s="585"/>
      <c r="D243" s="585"/>
      <c r="E243" s="585"/>
      <c r="F243" s="585"/>
      <c r="G243" s="585"/>
      <c r="H243" s="585"/>
    </row>
    <row r="244" spans="1:8" ht="14.4">
      <c r="A244" s="584"/>
      <c r="B244" s="583"/>
      <c r="C244" s="585"/>
      <c r="D244" s="585"/>
      <c r="E244" s="585"/>
      <c r="F244" s="585"/>
      <c r="G244" s="585"/>
      <c r="H244" s="585"/>
    </row>
    <row r="245" spans="1:8" ht="14.4">
      <c r="A245" s="584"/>
      <c r="B245" s="583"/>
      <c r="C245" s="585"/>
      <c r="D245" s="585"/>
      <c r="E245" s="585"/>
      <c r="F245" s="585"/>
      <c r="G245" s="585"/>
      <c r="H245" s="585"/>
    </row>
    <row r="246" spans="1:8" ht="14.4">
      <c r="A246" s="584"/>
      <c r="B246" s="583"/>
      <c r="C246" s="585"/>
      <c r="D246" s="585"/>
      <c r="E246" s="585"/>
      <c r="F246" s="585"/>
      <c r="G246" s="585"/>
      <c r="H246" s="585"/>
    </row>
    <row r="247" spans="1:8" ht="14.4">
      <c r="A247" s="584"/>
      <c r="B247" s="583"/>
      <c r="C247" s="585"/>
      <c r="D247" s="585"/>
      <c r="E247" s="585"/>
      <c r="F247" s="585"/>
      <c r="G247" s="585"/>
      <c r="H247" s="585"/>
    </row>
    <row r="248" spans="1:8" ht="14.4">
      <c r="A248" s="584"/>
      <c r="B248" s="583"/>
      <c r="C248" s="585"/>
      <c r="D248" s="585"/>
      <c r="E248" s="585"/>
      <c r="F248" s="585"/>
      <c r="G248" s="585"/>
      <c r="H248" s="585"/>
    </row>
    <row r="249" spans="1:8" ht="14.4">
      <c r="A249" s="584"/>
      <c r="B249" s="583"/>
      <c r="C249" s="585"/>
      <c r="D249" s="585"/>
      <c r="E249" s="585"/>
      <c r="F249" s="585"/>
      <c r="G249" s="585"/>
      <c r="H249" s="585"/>
    </row>
    <row r="250" spans="1:8" ht="14.4">
      <c r="A250" s="584"/>
      <c r="B250" s="583"/>
      <c r="C250" s="585"/>
      <c r="D250" s="585"/>
      <c r="E250" s="585"/>
      <c r="F250" s="585"/>
      <c r="G250" s="585"/>
      <c r="H250" s="585"/>
    </row>
    <row r="251" spans="1:8" ht="14.4">
      <c r="A251" s="584"/>
      <c r="B251" s="583"/>
      <c r="C251" s="585"/>
      <c r="D251" s="585"/>
      <c r="E251" s="585"/>
      <c r="F251" s="585"/>
      <c r="G251" s="585"/>
      <c r="H251" s="585"/>
    </row>
    <row r="252" spans="1:8" ht="14.4">
      <c r="A252" s="584"/>
      <c r="B252" s="583"/>
      <c r="C252" s="585"/>
      <c r="D252" s="585"/>
      <c r="E252" s="585"/>
      <c r="F252" s="585"/>
      <c r="G252" s="585"/>
      <c r="H252" s="585"/>
    </row>
    <row r="253" spans="1:8" ht="14.4">
      <c r="A253" s="584"/>
      <c r="B253" s="583"/>
      <c r="C253" s="585"/>
      <c r="D253" s="585"/>
      <c r="E253" s="585"/>
      <c r="F253" s="585"/>
      <c r="G253" s="585"/>
      <c r="H253" s="585"/>
    </row>
    <row r="254" spans="1:8" ht="14.4">
      <c r="A254" s="584"/>
      <c r="B254" s="583"/>
      <c r="C254" s="585"/>
      <c r="D254" s="585"/>
      <c r="E254" s="585"/>
      <c r="F254" s="585"/>
      <c r="G254" s="585"/>
      <c r="H254" s="585"/>
    </row>
    <row r="255" spans="1:8" ht="14.4">
      <c r="A255" s="584"/>
      <c r="B255" s="583"/>
      <c r="C255" s="585"/>
      <c r="D255" s="585"/>
      <c r="E255" s="585"/>
      <c r="F255" s="585"/>
      <c r="G255" s="585"/>
      <c r="H255" s="585"/>
    </row>
    <row r="256" spans="1:8" ht="14.4">
      <c r="A256" s="584"/>
      <c r="B256" s="583"/>
      <c r="C256" s="585"/>
      <c r="D256" s="585"/>
      <c r="E256" s="585"/>
      <c r="F256" s="585"/>
      <c r="G256" s="585"/>
      <c r="H256" s="585"/>
    </row>
    <row r="257" spans="1:8" ht="14.4">
      <c r="A257" s="584"/>
      <c r="B257" s="583"/>
      <c r="C257" s="585"/>
      <c r="D257" s="585"/>
      <c r="E257" s="585"/>
      <c r="F257" s="585"/>
      <c r="G257" s="585"/>
      <c r="H257" s="585"/>
    </row>
    <row r="258" spans="1:8" ht="14.4">
      <c r="A258" s="584"/>
      <c r="B258" s="583"/>
      <c r="C258" s="585"/>
      <c r="D258" s="585"/>
      <c r="E258" s="585"/>
      <c r="F258" s="585"/>
      <c r="G258" s="585"/>
      <c r="H258" s="585"/>
    </row>
    <row r="259" spans="1:8" ht="14.4">
      <c r="A259" s="584"/>
      <c r="B259" s="583"/>
      <c r="C259" s="585"/>
      <c r="D259" s="585"/>
      <c r="E259" s="585"/>
      <c r="F259" s="585"/>
      <c r="G259" s="585"/>
      <c r="H259" s="585"/>
    </row>
    <row r="260" spans="1:8" ht="14.4">
      <c r="A260" s="584"/>
      <c r="B260" s="583"/>
      <c r="C260" s="585"/>
      <c r="D260" s="585"/>
      <c r="E260" s="585"/>
      <c r="F260" s="585"/>
      <c r="G260" s="585"/>
      <c r="H260" s="585"/>
    </row>
    <row r="261" spans="1:8" ht="14.4">
      <c r="A261" s="584"/>
      <c r="B261" s="583"/>
      <c r="C261" s="585"/>
      <c r="D261" s="585"/>
      <c r="E261" s="585"/>
      <c r="F261" s="585"/>
      <c r="G261" s="585"/>
      <c r="H261" s="585"/>
    </row>
    <row r="262" spans="1:8" ht="14.4">
      <c r="A262" s="584"/>
      <c r="B262" s="583"/>
      <c r="C262" s="585"/>
      <c r="D262" s="585"/>
      <c r="E262" s="585"/>
      <c r="F262" s="585"/>
      <c r="G262" s="585"/>
      <c r="H262" s="585"/>
    </row>
    <row r="263" spans="1:8" ht="14.4">
      <c r="A263" s="584"/>
      <c r="B263" s="583"/>
      <c r="C263" s="585"/>
      <c r="D263" s="585"/>
      <c r="E263" s="585"/>
      <c r="F263" s="585"/>
      <c r="G263" s="585"/>
      <c r="H263" s="585"/>
    </row>
    <row r="264" spans="1:8" ht="14.4">
      <c r="A264" s="584"/>
      <c r="B264" s="583"/>
      <c r="C264" s="585"/>
      <c r="D264" s="585"/>
      <c r="E264" s="585"/>
      <c r="F264" s="585"/>
      <c r="G264" s="585"/>
      <c r="H264" s="585"/>
    </row>
    <row r="265" spans="1:8" ht="14.4">
      <c r="A265" s="584"/>
      <c r="B265" s="583"/>
      <c r="C265" s="585"/>
      <c r="D265" s="585"/>
      <c r="E265" s="585"/>
      <c r="F265" s="585"/>
      <c r="G265" s="585"/>
      <c r="H265" s="585"/>
    </row>
    <row r="266" spans="1:8" ht="14.4">
      <c r="A266" s="584"/>
      <c r="B266" s="583"/>
      <c r="C266" s="585"/>
      <c r="D266" s="585"/>
      <c r="E266" s="585"/>
      <c r="F266" s="585"/>
      <c r="G266" s="585"/>
      <c r="H266" s="585"/>
    </row>
    <row r="267" spans="1:8" ht="14.4">
      <c r="A267" s="584"/>
      <c r="B267" s="583"/>
      <c r="C267" s="585"/>
      <c r="D267" s="585"/>
      <c r="E267" s="585"/>
      <c r="F267" s="585"/>
      <c r="G267" s="585"/>
      <c r="H267" s="585"/>
    </row>
    <row r="268" spans="1:8" ht="14.4">
      <c r="A268" s="584"/>
      <c r="B268" s="583"/>
      <c r="C268" s="585"/>
      <c r="D268" s="585"/>
      <c r="E268" s="585"/>
      <c r="F268" s="585"/>
      <c r="G268" s="585"/>
      <c r="H268" s="585"/>
    </row>
    <row r="269" spans="1:8" ht="14.4">
      <c r="A269" s="584"/>
      <c r="B269" s="583"/>
      <c r="C269" s="585"/>
      <c r="D269" s="585"/>
      <c r="E269" s="585"/>
      <c r="F269" s="585"/>
      <c r="G269" s="585"/>
      <c r="H269" s="585"/>
    </row>
    <row r="270" spans="1:8" ht="14.4">
      <c r="A270" s="584"/>
      <c r="B270" s="583"/>
      <c r="C270" s="585"/>
      <c r="D270" s="585"/>
      <c r="E270" s="585"/>
      <c r="F270" s="585"/>
      <c r="G270" s="585"/>
      <c r="H270" s="585"/>
    </row>
    <row r="271" spans="1:8" ht="14.4">
      <c r="A271" s="584"/>
      <c r="B271" s="583"/>
      <c r="C271" s="585"/>
      <c r="D271" s="585"/>
      <c r="E271" s="585"/>
      <c r="F271" s="585"/>
      <c r="G271" s="585"/>
      <c r="H271" s="585"/>
    </row>
    <row r="272" spans="1:8" ht="14.4">
      <c r="A272" s="584"/>
      <c r="B272" s="583"/>
      <c r="C272" s="585"/>
      <c r="D272" s="585"/>
      <c r="E272" s="585"/>
      <c r="F272" s="585"/>
      <c r="G272" s="585"/>
      <c r="H272" s="585"/>
    </row>
    <row r="273" spans="1:8" ht="14.4">
      <c r="A273" s="584"/>
      <c r="B273" s="583"/>
      <c r="C273" s="585"/>
      <c r="D273" s="585"/>
      <c r="E273" s="585"/>
      <c r="F273" s="585"/>
      <c r="G273" s="585"/>
      <c r="H273" s="585"/>
    </row>
    <row r="274" spans="1:8" ht="14.4">
      <c r="A274" s="584"/>
      <c r="B274" s="583"/>
      <c r="C274" s="585"/>
      <c r="D274" s="585"/>
      <c r="E274" s="585"/>
      <c r="F274" s="585"/>
      <c r="G274" s="585"/>
      <c r="H274" s="585"/>
    </row>
    <row r="275" spans="1:8" ht="14.4">
      <c r="A275" s="584"/>
      <c r="B275" s="583"/>
      <c r="C275" s="585"/>
      <c r="D275" s="585"/>
      <c r="E275" s="585"/>
      <c r="F275" s="585"/>
      <c r="G275" s="585"/>
      <c r="H275" s="585"/>
    </row>
    <row r="276" spans="1:8" ht="14.4">
      <c r="A276" s="584"/>
      <c r="B276" s="583"/>
      <c r="C276" s="585"/>
      <c r="D276" s="585"/>
      <c r="E276" s="585"/>
      <c r="F276" s="585"/>
      <c r="G276" s="585"/>
      <c r="H276" s="585"/>
    </row>
    <row r="277" spans="1:8" ht="14.4">
      <c r="A277" s="584"/>
      <c r="B277" s="583"/>
      <c r="C277" s="585"/>
      <c r="D277" s="585"/>
      <c r="E277" s="585"/>
      <c r="F277" s="585"/>
      <c r="G277" s="585"/>
      <c r="H277" s="585"/>
    </row>
    <row r="278" spans="1:8" ht="14.4">
      <c r="A278" s="584"/>
      <c r="B278" s="583"/>
      <c r="C278" s="585"/>
      <c r="D278" s="585"/>
      <c r="E278" s="585"/>
      <c r="F278" s="585"/>
      <c r="G278" s="585"/>
      <c r="H278" s="585"/>
    </row>
    <row r="279" spans="1:8" ht="14.4">
      <c r="A279" s="584"/>
      <c r="B279" s="583"/>
      <c r="C279" s="585"/>
      <c r="D279" s="585"/>
      <c r="E279" s="585"/>
      <c r="F279" s="585"/>
      <c r="G279" s="585"/>
      <c r="H279" s="585"/>
    </row>
    <row r="280" spans="1:8" ht="14.4">
      <c r="A280" s="584"/>
      <c r="B280" s="583"/>
      <c r="C280" s="585"/>
      <c r="D280" s="585"/>
      <c r="E280" s="585"/>
      <c r="F280" s="585"/>
      <c r="G280" s="585"/>
      <c r="H280" s="585"/>
    </row>
    <row r="281" spans="1:8" ht="14.4">
      <c r="A281" s="584"/>
      <c r="B281" s="583"/>
      <c r="C281" s="585"/>
      <c r="D281" s="585"/>
      <c r="E281" s="585"/>
      <c r="F281" s="585"/>
      <c r="G281" s="585"/>
      <c r="H281" s="585"/>
    </row>
    <row r="282" spans="1:8" ht="14.4">
      <c r="A282" s="584"/>
      <c r="B282" s="583"/>
      <c r="C282" s="585"/>
      <c r="D282" s="585"/>
      <c r="E282" s="585"/>
      <c r="F282" s="585"/>
      <c r="G282" s="585"/>
      <c r="H282" s="585"/>
    </row>
    <row r="283" spans="1:8" ht="14.4">
      <c r="A283" s="584"/>
      <c r="B283" s="583"/>
      <c r="C283" s="585"/>
      <c r="D283" s="585"/>
      <c r="E283" s="585"/>
      <c r="F283" s="585"/>
      <c r="G283" s="585"/>
      <c r="H283" s="585"/>
    </row>
    <row r="284" spans="1:8" ht="14.4">
      <c r="A284" s="584"/>
      <c r="B284" s="583"/>
      <c r="C284" s="585"/>
      <c r="D284" s="585"/>
      <c r="E284" s="585"/>
      <c r="F284" s="585"/>
      <c r="G284" s="585"/>
      <c r="H284" s="585"/>
    </row>
    <row r="285" spans="1:8" ht="14.4">
      <c r="A285" s="584"/>
      <c r="B285" s="583"/>
      <c r="C285" s="585"/>
      <c r="D285" s="585"/>
      <c r="E285" s="585"/>
      <c r="F285" s="585"/>
      <c r="G285" s="585"/>
      <c r="H285" s="585"/>
    </row>
    <row r="286" spans="1:8" ht="14.4">
      <c r="A286" s="584"/>
      <c r="B286" s="583"/>
      <c r="C286" s="585"/>
      <c r="D286" s="585"/>
      <c r="E286" s="585"/>
      <c r="F286" s="585"/>
      <c r="G286" s="585"/>
      <c r="H286" s="585"/>
    </row>
    <row r="287" spans="1:8" ht="14.4">
      <c r="A287" s="584"/>
      <c r="B287" s="583"/>
      <c r="C287" s="585"/>
      <c r="D287" s="585"/>
      <c r="E287" s="585"/>
      <c r="F287" s="585"/>
      <c r="G287" s="585"/>
      <c r="H287" s="585"/>
    </row>
    <row r="288" spans="1:8" ht="14.4">
      <c r="A288" s="584"/>
      <c r="B288" s="583"/>
      <c r="C288" s="585"/>
      <c r="D288" s="585"/>
      <c r="E288" s="585"/>
      <c r="F288" s="585"/>
      <c r="G288" s="585"/>
      <c r="H288" s="585"/>
    </row>
    <row r="289" spans="1:8" ht="14.4">
      <c r="A289" s="584"/>
      <c r="B289" s="583"/>
      <c r="C289" s="585"/>
      <c r="D289" s="585"/>
      <c r="E289" s="585"/>
      <c r="F289" s="585"/>
      <c r="G289" s="585"/>
      <c r="H289" s="585"/>
    </row>
    <row r="290" spans="1:8" ht="14.4">
      <c r="A290" s="584"/>
      <c r="B290" s="583"/>
      <c r="C290" s="585"/>
      <c r="D290" s="585"/>
      <c r="E290" s="585"/>
      <c r="F290" s="585"/>
      <c r="G290" s="585"/>
      <c r="H290" s="585"/>
    </row>
    <row r="291" spans="1:8" ht="14.4">
      <c r="A291" s="584"/>
      <c r="B291" s="583"/>
      <c r="C291" s="585"/>
      <c r="D291" s="585"/>
      <c r="E291" s="585"/>
      <c r="F291" s="585"/>
      <c r="G291" s="585"/>
      <c r="H291" s="585"/>
    </row>
    <row r="292" spans="1:8" ht="14.4">
      <c r="A292" s="584"/>
      <c r="B292" s="583"/>
      <c r="C292" s="585"/>
      <c r="D292" s="585"/>
      <c r="E292" s="585"/>
      <c r="F292" s="585"/>
      <c r="G292" s="585"/>
      <c r="H292" s="585"/>
    </row>
    <row r="293" spans="1:8" ht="14.4">
      <c r="A293" s="584"/>
      <c r="B293" s="583"/>
      <c r="C293" s="585"/>
      <c r="D293" s="585"/>
      <c r="E293" s="585"/>
      <c r="F293" s="585"/>
      <c r="G293" s="585"/>
      <c r="H293" s="585"/>
    </row>
    <row r="294" spans="1:8" ht="14.4">
      <c r="A294" s="584"/>
      <c r="B294" s="583"/>
      <c r="C294" s="585"/>
      <c r="D294" s="585"/>
      <c r="E294" s="585"/>
      <c r="F294" s="585"/>
      <c r="G294" s="585"/>
      <c r="H294" s="585"/>
    </row>
    <row r="295" spans="1:8" ht="14.4">
      <c r="A295" s="584"/>
      <c r="B295" s="583"/>
      <c r="C295" s="585"/>
      <c r="D295" s="585"/>
      <c r="E295" s="585"/>
      <c r="F295" s="585"/>
      <c r="G295" s="585"/>
      <c r="H295" s="585"/>
    </row>
    <row r="296" spans="1:8" ht="14.4">
      <c r="A296" s="584"/>
      <c r="B296" s="583"/>
      <c r="C296" s="585"/>
      <c r="D296" s="585"/>
      <c r="E296" s="585"/>
      <c r="F296" s="585"/>
      <c r="G296" s="585"/>
      <c r="H296" s="585"/>
    </row>
    <row r="297" spans="1:8" ht="14.4">
      <c r="A297" s="584"/>
      <c r="B297" s="583"/>
      <c r="C297" s="585"/>
      <c r="D297" s="585"/>
      <c r="E297" s="585"/>
      <c r="F297" s="585"/>
      <c r="G297" s="585"/>
      <c r="H297" s="585"/>
    </row>
    <row r="298" spans="1:8" ht="14.4">
      <c r="A298" s="584"/>
      <c r="B298" s="583"/>
      <c r="C298" s="585"/>
      <c r="D298" s="585"/>
      <c r="E298" s="585"/>
      <c r="F298" s="585"/>
      <c r="G298" s="585"/>
      <c r="H298" s="585"/>
    </row>
    <row r="299" spans="1:8" ht="14.4">
      <c r="A299" s="584"/>
      <c r="B299" s="583"/>
      <c r="C299" s="585"/>
      <c r="D299" s="585"/>
      <c r="E299" s="585"/>
      <c r="F299" s="585"/>
      <c r="G299" s="585"/>
      <c r="H299" s="585"/>
    </row>
    <row r="300" spans="1:8" ht="14.4">
      <c r="A300" s="584"/>
      <c r="B300" s="583"/>
      <c r="C300" s="585"/>
      <c r="D300" s="585"/>
      <c r="E300" s="585"/>
      <c r="F300" s="585"/>
      <c r="G300" s="585"/>
      <c r="H300" s="585"/>
    </row>
    <row r="301" spans="1:8" ht="14.4">
      <c r="A301" s="584"/>
      <c r="B301" s="583"/>
      <c r="C301" s="585"/>
      <c r="D301" s="585"/>
      <c r="E301" s="585"/>
      <c r="F301" s="585"/>
      <c r="G301" s="585"/>
      <c r="H301" s="585"/>
    </row>
    <row r="302" spans="1:8" ht="14.4">
      <c r="A302" s="584"/>
      <c r="B302" s="583"/>
      <c r="C302" s="585"/>
      <c r="D302" s="585"/>
      <c r="E302" s="585"/>
      <c r="F302" s="585"/>
      <c r="G302" s="585"/>
      <c r="H302" s="585"/>
    </row>
    <row r="303" spans="1:8" ht="14.4">
      <c r="A303" s="584"/>
      <c r="B303" s="583"/>
      <c r="C303" s="585"/>
      <c r="D303" s="585"/>
      <c r="E303" s="585"/>
      <c r="F303" s="585"/>
      <c r="G303" s="585"/>
      <c r="H303" s="585"/>
    </row>
    <row r="304" spans="1:8" ht="14.4">
      <c r="A304" s="584"/>
      <c r="B304" s="583"/>
      <c r="C304" s="585"/>
      <c r="D304" s="585"/>
      <c r="E304" s="585"/>
      <c r="F304" s="585"/>
      <c r="G304" s="585"/>
      <c r="H304" s="585"/>
    </row>
    <row r="305" spans="1:8" ht="14.4">
      <c r="A305" s="584"/>
      <c r="B305" s="583"/>
      <c r="C305" s="585"/>
      <c r="D305" s="585"/>
      <c r="E305" s="585"/>
      <c r="F305" s="585"/>
      <c r="G305" s="585"/>
      <c r="H305" s="585"/>
    </row>
    <row r="306" spans="1:8" ht="14.4">
      <c r="A306" s="584"/>
      <c r="B306" s="583"/>
      <c r="C306" s="585"/>
      <c r="D306" s="585"/>
      <c r="E306" s="585"/>
      <c r="F306" s="585"/>
      <c r="G306" s="585"/>
      <c r="H306" s="585"/>
    </row>
    <row r="307" spans="1:8" ht="14.4">
      <c r="A307" s="584"/>
      <c r="B307" s="583"/>
      <c r="C307" s="585"/>
      <c r="D307" s="585"/>
      <c r="E307" s="585"/>
      <c r="F307" s="585"/>
      <c r="G307" s="585"/>
      <c r="H307" s="585"/>
    </row>
    <row r="308" spans="1:8" ht="14.4">
      <c r="A308" s="584"/>
      <c r="B308" s="583"/>
      <c r="C308" s="585"/>
      <c r="D308" s="585"/>
      <c r="E308" s="585"/>
      <c r="F308" s="585"/>
      <c r="G308" s="585"/>
      <c r="H308" s="585"/>
    </row>
    <row r="309" spans="1:8" ht="14.4">
      <c r="A309" s="584"/>
      <c r="B309" s="583"/>
      <c r="C309" s="585"/>
      <c r="D309" s="585"/>
      <c r="E309" s="585"/>
      <c r="F309" s="585"/>
      <c r="G309" s="585"/>
      <c r="H309" s="585"/>
    </row>
    <row r="310" spans="1:8" ht="14.4">
      <c r="A310" s="584"/>
      <c r="B310" s="583"/>
      <c r="C310" s="585"/>
      <c r="D310" s="585"/>
      <c r="E310" s="585"/>
      <c r="F310" s="585"/>
      <c r="G310" s="585"/>
      <c r="H310" s="585"/>
    </row>
    <row r="311" spans="1:8" ht="14.4">
      <c r="A311" s="584"/>
      <c r="B311" s="583"/>
      <c r="C311" s="585"/>
      <c r="D311" s="585"/>
      <c r="E311" s="585"/>
      <c r="F311" s="585"/>
      <c r="G311" s="585"/>
      <c r="H311" s="585"/>
    </row>
    <row r="312" spans="1:8" ht="14.4">
      <c r="A312" s="584"/>
      <c r="B312" s="583"/>
      <c r="C312" s="585"/>
      <c r="D312" s="585"/>
      <c r="E312" s="585"/>
      <c r="F312" s="585"/>
      <c r="G312" s="585"/>
      <c r="H312" s="585"/>
    </row>
    <row r="313" spans="1:8" ht="14.4">
      <c r="A313" s="584"/>
      <c r="B313" s="583"/>
      <c r="C313" s="585"/>
      <c r="D313" s="585"/>
      <c r="E313" s="585"/>
      <c r="F313" s="585"/>
      <c r="G313" s="585"/>
      <c r="H313" s="585"/>
    </row>
    <row r="314" spans="1:8" ht="14.4">
      <c r="A314" s="584"/>
      <c r="B314" s="583"/>
      <c r="C314" s="585"/>
      <c r="D314" s="585"/>
      <c r="E314" s="585"/>
      <c r="F314" s="585"/>
      <c r="G314" s="585"/>
      <c r="H314" s="585"/>
    </row>
    <row r="315" spans="1:8" ht="14.4">
      <c r="A315" s="584"/>
      <c r="B315" s="583"/>
      <c r="C315" s="585"/>
      <c r="D315" s="585"/>
      <c r="E315" s="585"/>
      <c r="F315" s="585"/>
      <c r="G315" s="585"/>
      <c r="H315" s="585"/>
    </row>
    <row r="316" spans="1:8" ht="14.4">
      <c r="A316" s="584"/>
      <c r="B316" s="583"/>
      <c r="C316" s="585"/>
      <c r="D316" s="585"/>
      <c r="E316" s="585"/>
      <c r="F316" s="585"/>
      <c r="G316" s="585"/>
      <c r="H316" s="585"/>
    </row>
    <row r="317" spans="1:8" ht="14.4">
      <c r="A317" s="584"/>
      <c r="B317" s="583"/>
      <c r="C317" s="585"/>
      <c r="D317" s="585"/>
      <c r="E317" s="585"/>
      <c r="F317" s="585"/>
      <c r="G317" s="585"/>
      <c r="H317" s="585"/>
    </row>
    <row r="318" spans="1:8" ht="14.4">
      <c r="A318" s="584"/>
      <c r="B318" s="583"/>
      <c r="C318" s="585"/>
      <c r="D318" s="585"/>
      <c r="E318" s="585"/>
      <c r="F318" s="585"/>
      <c r="G318" s="585"/>
      <c r="H318" s="585"/>
    </row>
    <row r="319" spans="1:8" ht="14.4">
      <c r="A319" s="584"/>
      <c r="B319" s="583"/>
      <c r="C319" s="585"/>
      <c r="D319" s="585"/>
      <c r="E319" s="585"/>
      <c r="F319" s="585"/>
      <c r="G319" s="585"/>
      <c r="H319" s="585"/>
    </row>
    <row r="320" spans="1:8" ht="14.4">
      <c r="A320" s="584"/>
      <c r="B320" s="583"/>
      <c r="C320" s="585"/>
      <c r="D320" s="585"/>
      <c r="E320" s="585"/>
      <c r="F320" s="585"/>
      <c r="G320" s="585"/>
      <c r="H320" s="585"/>
    </row>
    <row r="321" spans="1:8" ht="14.4">
      <c r="A321" s="584"/>
      <c r="B321" s="583"/>
      <c r="C321" s="585"/>
      <c r="D321" s="585"/>
      <c r="E321" s="585"/>
      <c r="F321" s="585"/>
      <c r="G321" s="585"/>
      <c r="H321" s="585"/>
    </row>
    <row r="322" spans="1:8" ht="14.4">
      <c r="A322" s="584"/>
      <c r="B322" s="583"/>
      <c r="C322" s="585"/>
      <c r="D322" s="585"/>
      <c r="E322" s="585"/>
      <c r="F322" s="585"/>
      <c r="G322" s="585"/>
      <c r="H322" s="585"/>
    </row>
    <row r="323" spans="1:8" ht="14.4">
      <c r="A323" s="584"/>
      <c r="B323" s="583"/>
      <c r="C323" s="585"/>
      <c r="D323" s="585"/>
      <c r="E323" s="585"/>
      <c r="F323" s="585"/>
      <c r="G323" s="585"/>
      <c r="H323" s="585"/>
    </row>
    <row r="324" spans="1:8" ht="14.4">
      <c r="A324" s="584"/>
      <c r="B324" s="583"/>
      <c r="C324" s="585"/>
      <c r="D324" s="585"/>
      <c r="E324" s="585"/>
      <c r="F324" s="585"/>
      <c r="G324" s="585"/>
      <c r="H324" s="585"/>
    </row>
    <row r="325" spans="1:8" ht="14.4">
      <c r="A325" s="584"/>
      <c r="B325" s="583"/>
      <c r="C325" s="585"/>
      <c r="D325" s="585"/>
      <c r="E325" s="585"/>
      <c r="F325" s="585"/>
      <c r="G325" s="585"/>
      <c r="H325" s="585"/>
    </row>
    <row r="326" spans="1:8" ht="14.4">
      <c r="A326" s="584"/>
      <c r="B326" s="583"/>
      <c r="C326" s="585"/>
      <c r="D326" s="585"/>
      <c r="E326" s="585"/>
      <c r="F326" s="585"/>
      <c r="G326" s="585"/>
      <c r="H326" s="585"/>
    </row>
    <row r="327" spans="1:8" ht="14.4">
      <c r="A327" s="584"/>
      <c r="B327" s="583"/>
      <c r="C327" s="585"/>
      <c r="D327" s="585"/>
      <c r="E327" s="585"/>
      <c r="F327" s="585"/>
      <c r="G327" s="585"/>
      <c r="H327" s="585"/>
    </row>
    <row r="328" spans="1:8" ht="14.4">
      <c r="A328" s="584"/>
      <c r="B328" s="583"/>
      <c r="C328" s="585"/>
      <c r="D328" s="585"/>
      <c r="E328" s="585"/>
      <c r="F328" s="585"/>
      <c r="G328" s="585"/>
      <c r="H328" s="585"/>
    </row>
    <row r="329" spans="1:8" ht="14.4">
      <c r="A329" s="584"/>
      <c r="B329" s="583"/>
      <c r="C329" s="585"/>
      <c r="D329" s="585"/>
      <c r="E329" s="585"/>
      <c r="F329" s="585"/>
      <c r="G329" s="585"/>
      <c r="H329" s="585"/>
    </row>
    <row r="330" spans="1:8" ht="14.4">
      <c r="A330" s="584"/>
      <c r="B330" s="583"/>
      <c r="C330" s="585"/>
      <c r="D330" s="585"/>
      <c r="E330" s="585"/>
      <c r="F330" s="585"/>
      <c r="G330" s="585"/>
      <c r="H330" s="585"/>
    </row>
    <row r="331" spans="1:8" ht="14.4">
      <c r="A331" s="584"/>
      <c r="B331" s="583"/>
      <c r="C331" s="585"/>
      <c r="D331" s="585"/>
      <c r="E331" s="585"/>
      <c r="F331" s="585"/>
      <c r="G331" s="585"/>
      <c r="H331" s="585"/>
    </row>
    <row r="332" spans="1:8" ht="14.4">
      <c r="A332" s="584"/>
      <c r="B332" s="583"/>
      <c r="C332" s="585"/>
      <c r="D332" s="585"/>
      <c r="E332" s="585"/>
      <c r="F332" s="585"/>
      <c r="G332" s="585"/>
      <c r="H332" s="585"/>
    </row>
    <row r="333" spans="1:8" ht="14.4">
      <c r="A333" s="584"/>
      <c r="B333" s="583"/>
      <c r="C333" s="585"/>
      <c r="D333" s="585"/>
      <c r="E333" s="585"/>
      <c r="F333" s="585"/>
      <c r="G333" s="585"/>
      <c r="H333" s="585"/>
    </row>
    <row r="334" spans="1:8" ht="14.4">
      <c r="A334" s="584"/>
      <c r="B334" s="583"/>
      <c r="C334" s="585"/>
      <c r="D334" s="585"/>
      <c r="E334" s="585"/>
      <c r="F334" s="585"/>
      <c r="G334" s="585"/>
      <c r="H334" s="585"/>
    </row>
    <row r="335" spans="1:8" ht="14.4">
      <c r="A335" s="584"/>
      <c r="B335" s="583"/>
      <c r="C335" s="585"/>
      <c r="D335" s="585"/>
      <c r="E335" s="585"/>
      <c r="F335" s="585"/>
      <c r="G335" s="585"/>
      <c r="H335" s="585"/>
    </row>
    <row r="336" spans="1:8" ht="14.4">
      <c r="A336" s="584"/>
      <c r="B336" s="583"/>
      <c r="C336" s="585"/>
      <c r="D336" s="585"/>
      <c r="E336" s="585"/>
      <c r="F336" s="585"/>
      <c r="G336" s="585"/>
      <c r="H336" s="585"/>
    </row>
    <row r="337" spans="1:8" ht="14.4">
      <c r="A337" s="584"/>
      <c r="B337" s="583"/>
      <c r="C337" s="585"/>
      <c r="D337" s="585"/>
      <c r="E337" s="585"/>
      <c r="F337" s="585"/>
      <c r="G337" s="585"/>
      <c r="H337" s="585"/>
    </row>
    <row r="338" spans="1:8" ht="14.4">
      <c r="A338" s="584"/>
      <c r="B338" s="583"/>
      <c r="C338" s="585"/>
      <c r="D338" s="585"/>
      <c r="E338" s="585"/>
      <c r="F338" s="585"/>
      <c r="G338" s="585"/>
      <c r="H338" s="585"/>
    </row>
    <row r="339" spans="1:8" ht="14.4">
      <c r="A339" s="584"/>
      <c r="B339" s="583"/>
      <c r="C339" s="585"/>
      <c r="D339" s="585"/>
      <c r="E339" s="585"/>
      <c r="F339" s="585"/>
      <c r="G339" s="585"/>
      <c r="H339" s="585"/>
    </row>
    <row r="340" spans="1:8" ht="14.4">
      <c r="A340" s="584"/>
      <c r="B340" s="583"/>
      <c r="C340" s="585"/>
      <c r="D340" s="585"/>
      <c r="E340" s="585"/>
      <c r="F340" s="585"/>
      <c r="G340" s="585"/>
      <c r="H340" s="585"/>
    </row>
    <row r="341" spans="1:8" ht="14.4">
      <c r="A341" s="584"/>
      <c r="B341" s="583"/>
      <c r="C341" s="585"/>
      <c r="D341" s="585"/>
      <c r="E341" s="585"/>
      <c r="F341" s="585"/>
      <c r="G341" s="585"/>
      <c r="H341" s="585"/>
    </row>
    <row r="342" spans="1:8" ht="14.4">
      <c r="A342" s="584"/>
      <c r="B342" s="583"/>
      <c r="C342" s="585"/>
      <c r="D342" s="585"/>
      <c r="E342" s="585"/>
      <c r="F342" s="585"/>
      <c r="G342" s="585"/>
      <c r="H342" s="585"/>
    </row>
    <row r="343" spans="1:8" ht="14.4">
      <c r="A343" s="584"/>
      <c r="B343" s="583"/>
      <c r="C343" s="585"/>
      <c r="D343" s="585"/>
      <c r="E343" s="585"/>
      <c r="F343" s="585"/>
      <c r="G343" s="585"/>
      <c r="H343" s="585"/>
    </row>
    <row r="344" spans="1:8" ht="14.4">
      <c r="A344" s="584"/>
      <c r="B344" s="583"/>
      <c r="C344" s="585"/>
      <c r="D344" s="585"/>
      <c r="E344" s="585"/>
      <c r="F344" s="585"/>
      <c r="G344" s="585"/>
      <c r="H344" s="585"/>
    </row>
    <row r="345" spans="1:8" ht="14.4">
      <c r="A345" s="584"/>
      <c r="B345" s="583"/>
      <c r="C345" s="585"/>
      <c r="D345" s="585"/>
      <c r="E345" s="585"/>
      <c r="F345" s="585"/>
      <c r="G345" s="585"/>
      <c r="H345" s="585"/>
    </row>
    <row r="346" spans="1:8" ht="14.4">
      <c r="A346" s="584"/>
      <c r="B346" s="583"/>
      <c r="C346" s="585"/>
      <c r="D346" s="585"/>
      <c r="E346" s="585"/>
      <c r="F346" s="585"/>
      <c r="G346" s="585"/>
      <c r="H346" s="585"/>
    </row>
    <row r="347" spans="1:8" ht="14.4">
      <c r="A347" s="584"/>
      <c r="B347" s="583"/>
      <c r="C347" s="585"/>
      <c r="D347" s="585"/>
      <c r="E347" s="585"/>
      <c r="F347" s="585"/>
      <c r="G347" s="585"/>
      <c r="H347" s="585"/>
    </row>
    <row r="348" spans="1:8" ht="14.4">
      <c r="A348" s="584"/>
      <c r="B348" s="583"/>
      <c r="C348" s="585"/>
      <c r="D348" s="585"/>
      <c r="E348" s="585"/>
      <c r="F348" s="585"/>
      <c r="G348" s="585"/>
      <c r="H348" s="585"/>
    </row>
    <row r="349" spans="1:8" ht="14.4">
      <c r="A349" s="584"/>
      <c r="B349" s="583"/>
      <c r="C349" s="585"/>
      <c r="D349" s="585"/>
      <c r="E349" s="585"/>
      <c r="F349" s="585"/>
      <c r="G349" s="585"/>
      <c r="H349" s="585"/>
    </row>
    <row r="350" spans="1:8" ht="14.4">
      <c r="A350" s="584"/>
      <c r="B350" s="583"/>
      <c r="C350" s="585"/>
      <c r="D350" s="585"/>
      <c r="E350" s="585"/>
      <c r="F350" s="585"/>
      <c r="G350" s="585"/>
      <c r="H350" s="585"/>
    </row>
    <row r="351" spans="1:8" ht="14.4">
      <c r="A351" s="584"/>
      <c r="B351" s="583"/>
      <c r="C351" s="585"/>
      <c r="D351" s="585"/>
      <c r="E351" s="585"/>
      <c r="F351" s="585"/>
      <c r="G351" s="585"/>
      <c r="H351" s="585"/>
    </row>
    <row r="352" spans="1:8" ht="14.4">
      <c r="A352" s="584"/>
      <c r="B352" s="583"/>
      <c r="C352" s="585"/>
      <c r="D352" s="585"/>
      <c r="E352" s="585"/>
      <c r="F352" s="585"/>
      <c r="G352" s="585"/>
      <c r="H352" s="585"/>
    </row>
    <row r="353" spans="1:8" ht="14.4">
      <c r="A353" s="584"/>
      <c r="B353" s="583"/>
      <c r="C353" s="585"/>
      <c r="D353" s="585"/>
      <c r="E353" s="585"/>
      <c r="F353" s="585"/>
      <c r="G353" s="585"/>
      <c r="H353" s="585"/>
    </row>
    <row r="354" spans="1:8" ht="14.4">
      <c r="A354" s="584"/>
      <c r="B354" s="583"/>
      <c r="C354" s="585"/>
      <c r="D354" s="585"/>
      <c r="E354" s="585"/>
      <c r="F354" s="585"/>
      <c r="G354" s="585"/>
      <c r="H354" s="585"/>
    </row>
    <row r="355" spans="1:8" ht="14.4">
      <c r="A355" s="584"/>
      <c r="B355" s="583"/>
      <c r="C355" s="585"/>
      <c r="D355" s="585"/>
      <c r="E355" s="585"/>
      <c r="F355" s="585"/>
      <c r="G355" s="585"/>
      <c r="H355" s="585"/>
    </row>
    <row r="357" spans="1:8" ht="14.4">
      <c r="A357" s="583"/>
      <c r="B357" s="583"/>
      <c r="C357" s="583"/>
      <c r="D357" s="583"/>
      <c r="E357" s="583"/>
      <c r="F357" s="583"/>
      <c r="G357" s="583"/>
      <c r="H357" s="583"/>
    </row>
  </sheetData>
  <phoneticPr fontId="41" type="noConversion"/>
  <pageMargins left="0.3" right="0.28999999999999998" top="0.72" bottom="0.2" header="0.68" footer="0.2"/>
  <pageSetup paperSize="9" scale="80" orientation="landscape"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35</vt:i4>
      </vt:variant>
      <vt:variant>
        <vt:lpstr>Именованные диапазоны</vt:lpstr>
      </vt:variant>
      <vt:variant>
        <vt:i4>16</vt:i4>
      </vt:variant>
    </vt:vector>
  </HeadingPairs>
  <TitlesOfParts>
    <vt:vector size="51" baseType="lpstr">
      <vt:lpstr>Шаблон</vt:lpstr>
      <vt:lpstr>Баланс</vt:lpstr>
      <vt:lpstr>1.активлар</vt:lpstr>
      <vt:lpstr>4.а-восита</vt:lpstr>
      <vt:lpstr>9.мажбурият</vt:lpstr>
      <vt:lpstr>15.капитал</vt:lpstr>
      <vt:lpstr>17.смета</vt:lpstr>
      <vt:lpstr>2.Мол.ёр.16102-1</vt:lpstr>
      <vt:lpstr>2,1.Мол.ёр.22203-1</vt:lpstr>
      <vt:lpstr>22203</vt:lpstr>
      <vt:lpstr>3.Д-т фоиз</vt:lpstr>
      <vt:lpstr>3а.Абонент тулов</vt:lpstr>
      <vt:lpstr>5.омборхона</vt:lpstr>
      <vt:lpstr>7,ВАШ</vt:lpstr>
      <vt:lpstr>Юридек хужжат</vt:lpstr>
      <vt:lpstr>6.Иш хаки</vt:lpstr>
      <vt:lpstr>8.19900 х-р</vt:lpstr>
      <vt:lpstr>10.омонот фоиз </vt:lpstr>
      <vt:lpstr>11.Омонатдан ун-маган дар-д</vt:lpstr>
      <vt:lpstr>12.Бух_кунлик</vt:lpstr>
      <vt:lpstr>13.2342-йур</vt:lpstr>
      <vt:lpstr>14.29801(29896)</vt:lpstr>
      <vt:lpstr>16.Дивидент</vt:lpstr>
      <vt:lpstr>18.харажат</vt:lpstr>
      <vt:lpstr>22812</vt:lpstr>
      <vt:lpstr>актив</vt:lpstr>
      <vt:lpstr>Лист1</vt:lpstr>
      <vt:lpstr>19.солик</vt:lpstr>
      <vt:lpstr>20.Карт-2</vt:lpstr>
      <vt:lpstr>21.Коррект</vt:lpstr>
      <vt:lpstr>22.кам.солиштир</vt:lpstr>
      <vt:lpstr>Амалий ёр</vt:lpstr>
      <vt:lpstr>23.ўзгариш</vt:lpstr>
      <vt:lpstr>24.касса</vt:lpstr>
      <vt:lpstr>тек.даври айланма баланси</vt:lpstr>
      <vt:lpstr>'5.омборхона'!Заголовки_для_печати</vt:lpstr>
      <vt:lpstr>'8.19900 х-р'!Заголовки_для_печати</vt:lpstr>
      <vt:lpstr>'1.активлар'!Область_печати</vt:lpstr>
      <vt:lpstr>'10.омонот фоиз '!Область_печати</vt:lpstr>
      <vt:lpstr>'12.Бух_кунлик'!Область_печати</vt:lpstr>
      <vt:lpstr>'14.29801(29896)'!Область_печати</vt:lpstr>
      <vt:lpstr>'17.смета'!Область_печати</vt:lpstr>
      <vt:lpstr>'19.солик'!Область_печати</vt:lpstr>
      <vt:lpstr>'2,1.Мол.ёр.22203-1'!Область_печати</vt:lpstr>
      <vt:lpstr>'2.Мол.ёр.16102-1'!Область_печати</vt:lpstr>
      <vt:lpstr>'3а.Абонент тулов'!Область_печати</vt:lpstr>
      <vt:lpstr>'4.а-восита'!Область_печати</vt:lpstr>
      <vt:lpstr>'7,ВАШ'!Область_печати</vt:lpstr>
      <vt:lpstr>'8.19900 х-р'!Область_печати</vt:lpstr>
      <vt:lpstr>Баланс!Область_печати</vt:lpstr>
      <vt:lpstr>Шаблон!Область_печати</vt:lpstr>
    </vt:vector>
  </TitlesOfParts>
  <Company>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khalkbank_09006</cp:lastModifiedBy>
  <cp:lastPrinted>2017-03-01T15:39:46Z</cp:lastPrinted>
  <dcterms:created xsi:type="dcterms:W3CDTF">2003-03-03T16:20:23Z</dcterms:created>
  <dcterms:modified xsi:type="dcterms:W3CDTF">2024-05-31T13:19:29Z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VID3B2618D0">
    <vt:lpwstr/>
  </property>
  <property fmtid="{D5CDD505-2E9C-101B-9397-08002B2CF9AE}" pid="3" name="IVID3C15130A">
    <vt:lpwstr/>
  </property>
  <property fmtid="{D5CDD505-2E9C-101B-9397-08002B2CF9AE}" pid="4" name="IVIDD951AB9B">
    <vt:lpwstr/>
  </property>
  <property fmtid="{D5CDD505-2E9C-101B-9397-08002B2CF9AE}" pid="5" name="IVID18E13676">
    <vt:lpwstr/>
  </property>
  <property fmtid="{D5CDD505-2E9C-101B-9397-08002B2CF9AE}" pid="6" name="IVID26281BD5">
    <vt:lpwstr/>
  </property>
  <property fmtid="{D5CDD505-2E9C-101B-9397-08002B2CF9AE}" pid="7" name="IVID2C5C1CE2">
    <vt:lpwstr/>
  </property>
  <property fmtid="{D5CDD505-2E9C-101B-9397-08002B2CF9AE}" pid="8" name="IVID37C29B5B">
    <vt:lpwstr/>
  </property>
  <property fmtid="{D5CDD505-2E9C-101B-9397-08002B2CF9AE}" pid="9" name="IVIDD8452F2F">
    <vt:lpwstr/>
  </property>
  <property fmtid="{D5CDD505-2E9C-101B-9397-08002B2CF9AE}" pid="10" name="IVID306D1BE5">
    <vt:lpwstr/>
  </property>
  <property fmtid="{D5CDD505-2E9C-101B-9397-08002B2CF9AE}" pid="11" name="IVID12720FF5">
    <vt:lpwstr/>
  </property>
  <property fmtid="{D5CDD505-2E9C-101B-9397-08002B2CF9AE}" pid="12" name="IVID173D14DA">
    <vt:lpwstr/>
  </property>
  <property fmtid="{D5CDD505-2E9C-101B-9397-08002B2CF9AE}" pid="13" name="IVIDC7715D0">
    <vt:lpwstr/>
  </property>
  <property fmtid="{D5CDD505-2E9C-101B-9397-08002B2CF9AE}" pid="14" name="IVID123F15FC">
    <vt:lpwstr/>
  </property>
  <property fmtid="{D5CDD505-2E9C-101B-9397-08002B2CF9AE}" pid="15" name="IVID3B630CFD">
    <vt:lpwstr/>
  </property>
  <property fmtid="{D5CDD505-2E9C-101B-9397-08002B2CF9AE}" pid="16" name="IVID19FB4169">
    <vt:lpwstr/>
  </property>
  <property fmtid="{D5CDD505-2E9C-101B-9397-08002B2CF9AE}" pid="17" name="IVID15DF1B76">
    <vt:lpwstr/>
  </property>
  <property fmtid="{D5CDD505-2E9C-101B-9397-08002B2CF9AE}" pid="18" name="IVID465517EA">
    <vt:lpwstr/>
  </property>
  <property fmtid="{D5CDD505-2E9C-101B-9397-08002B2CF9AE}" pid="19" name="IVIDD2510D2">
    <vt:lpwstr/>
  </property>
  <property fmtid="{D5CDD505-2E9C-101B-9397-08002B2CF9AE}" pid="20" name="IVID150C0FEC">
    <vt:lpwstr/>
  </property>
  <property fmtid="{D5CDD505-2E9C-101B-9397-08002B2CF9AE}" pid="21" name="IVID3E2312D9">
    <vt:lpwstr/>
  </property>
  <property fmtid="{D5CDD505-2E9C-101B-9397-08002B2CF9AE}" pid="22" name="IVID346E14FF">
    <vt:lpwstr/>
  </property>
  <property fmtid="{D5CDD505-2E9C-101B-9397-08002B2CF9AE}" pid="23" name="IVID55C1E08">
    <vt:lpwstr/>
  </property>
  <property fmtid="{D5CDD505-2E9C-101B-9397-08002B2CF9AE}" pid="24" name="IVID32561AE7">
    <vt:lpwstr/>
  </property>
  <property fmtid="{D5CDD505-2E9C-101B-9397-08002B2CF9AE}" pid="25" name="IVID3E4A12D1">
    <vt:lpwstr/>
  </property>
  <property fmtid="{D5CDD505-2E9C-101B-9397-08002B2CF9AE}" pid="26" name="IVID43841DF3">
    <vt:lpwstr/>
  </property>
  <property fmtid="{D5CDD505-2E9C-101B-9397-08002B2CF9AE}" pid="27" name="IVID2C3F0FFF">
    <vt:lpwstr/>
  </property>
  <property fmtid="{D5CDD505-2E9C-101B-9397-08002B2CF9AE}" pid="28" name="IVID11741200">
    <vt:lpwstr/>
  </property>
  <property fmtid="{D5CDD505-2E9C-101B-9397-08002B2CF9AE}" pid="29" name="IVID19680219">
    <vt:lpwstr/>
  </property>
  <property fmtid="{D5CDD505-2E9C-101B-9397-08002B2CF9AE}" pid="30" name="IVID16ED1760">
    <vt:lpwstr/>
  </property>
  <property fmtid="{D5CDD505-2E9C-101B-9397-08002B2CF9AE}" pid="31" name="IVID2F1807F5">
    <vt:lpwstr/>
  </property>
  <property fmtid="{D5CDD505-2E9C-101B-9397-08002B2CF9AE}" pid="32" name="IVID173D07F3">
    <vt:lpwstr/>
  </property>
  <property fmtid="{D5CDD505-2E9C-101B-9397-08002B2CF9AE}" pid="33" name="IVID6700D04">
    <vt:lpwstr/>
  </property>
  <property fmtid="{D5CDD505-2E9C-101B-9397-08002B2CF9AE}" pid="34" name="IVID17D40C4C">
    <vt:lpwstr/>
  </property>
  <property fmtid="{D5CDD505-2E9C-101B-9397-08002B2CF9AE}" pid="35" name="IVID303B19E8">
    <vt:lpwstr/>
  </property>
  <property fmtid="{D5CDD505-2E9C-101B-9397-08002B2CF9AE}" pid="36" name="IVID17281ACD">
    <vt:lpwstr/>
  </property>
  <property fmtid="{D5CDD505-2E9C-101B-9397-08002B2CF9AE}" pid="37" name="IVID32181EE4">
    <vt:lpwstr/>
  </property>
  <property fmtid="{D5CDD505-2E9C-101B-9397-08002B2CF9AE}" pid="38" name="IVIDF053D68">
    <vt:lpwstr/>
  </property>
  <property fmtid="{D5CDD505-2E9C-101B-9397-08002B2CF9AE}" pid="39" name="IVID11F93A64">
    <vt:lpwstr/>
  </property>
  <property fmtid="{D5CDD505-2E9C-101B-9397-08002B2CF9AE}" pid="40" name="IVID1BEB1167">
    <vt:lpwstr/>
  </property>
  <property fmtid="{D5CDD505-2E9C-101B-9397-08002B2CF9AE}" pid="41" name="IVID1B7C16FD">
    <vt:lpwstr/>
  </property>
  <property fmtid="{D5CDD505-2E9C-101B-9397-08002B2CF9AE}" pid="42" name="IVID3A4D17D1">
    <vt:lpwstr/>
  </property>
  <property fmtid="{D5CDD505-2E9C-101B-9397-08002B2CF9AE}" pid="43" name="IVID77CF9482">
    <vt:lpwstr/>
  </property>
  <property fmtid="{D5CDD505-2E9C-101B-9397-08002B2CF9AE}" pid="44" name="IVID1DE60C4F">
    <vt:lpwstr/>
  </property>
  <property fmtid="{D5CDD505-2E9C-101B-9397-08002B2CF9AE}" pid="45" name="IVIDE111EF0">
    <vt:lpwstr/>
  </property>
  <property fmtid="{D5CDD505-2E9C-101B-9397-08002B2CF9AE}" pid="46" name="IVID2D321106">
    <vt:lpwstr/>
  </property>
  <property fmtid="{D5CDD505-2E9C-101B-9397-08002B2CF9AE}" pid="47" name="IVIDFE00C40">
    <vt:lpwstr/>
  </property>
  <property fmtid="{D5CDD505-2E9C-101B-9397-08002B2CF9AE}" pid="48" name="IVID15010C49">
    <vt:lpwstr/>
  </property>
  <property fmtid="{D5CDD505-2E9C-101B-9397-08002B2CF9AE}" pid="49" name="IVID25421306">
    <vt:lpwstr/>
  </property>
  <property fmtid="{D5CDD505-2E9C-101B-9397-08002B2CF9AE}" pid="50" name="IVID12ED2F6C">
    <vt:lpwstr/>
  </property>
  <property fmtid="{D5CDD505-2E9C-101B-9397-08002B2CF9AE}" pid="51" name="IVID1B011720">
    <vt:lpwstr/>
  </property>
  <property fmtid="{D5CDD505-2E9C-101B-9397-08002B2CF9AE}" pid="52" name="IVID2D1512DB">
    <vt:lpwstr/>
  </property>
  <property fmtid="{D5CDD505-2E9C-101B-9397-08002B2CF9AE}" pid="53" name="IVID11FB3245">
    <vt:lpwstr/>
  </property>
  <property fmtid="{D5CDD505-2E9C-101B-9397-08002B2CF9AE}" pid="54" name="IVID1D5F16FB">
    <vt:lpwstr/>
  </property>
  <property fmtid="{D5CDD505-2E9C-101B-9397-08002B2CF9AE}" pid="55" name="IVID13E10A55">
    <vt:lpwstr/>
  </property>
  <property fmtid="{D5CDD505-2E9C-101B-9397-08002B2CF9AE}" pid="56" name="IVID3A7015FC">
    <vt:lpwstr/>
  </property>
  <property fmtid="{D5CDD505-2E9C-101B-9397-08002B2CF9AE}" pid="57" name="IVID1F5117F9">
    <vt:lpwstr/>
  </property>
  <property fmtid="{D5CDD505-2E9C-101B-9397-08002B2CF9AE}" pid="58" name="IVID1BD93156">
    <vt:lpwstr/>
  </property>
  <property fmtid="{D5CDD505-2E9C-101B-9397-08002B2CF9AE}" pid="59" name="IVID75415FE">
    <vt:lpwstr/>
  </property>
  <property fmtid="{D5CDD505-2E9C-101B-9397-08002B2CF9AE}" pid="60" name="IVID35251DEA">
    <vt:lpwstr/>
  </property>
  <property fmtid="{D5CDD505-2E9C-101B-9397-08002B2CF9AE}" pid="61" name="IVID16F2297F">
    <vt:lpwstr/>
  </property>
  <property fmtid="{D5CDD505-2E9C-101B-9397-08002B2CF9AE}" pid="62" name="IVID29080BEA">
    <vt:lpwstr/>
  </property>
  <property fmtid="{D5CDD505-2E9C-101B-9397-08002B2CF9AE}" pid="63" name="IVIDF120EEC">
    <vt:lpwstr/>
  </property>
  <property fmtid="{D5CDD505-2E9C-101B-9397-08002B2CF9AE}" pid="64" name="IVID2E541D04">
    <vt:lpwstr/>
  </property>
  <property fmtid="{D5CDD505-2E9C-101B-9397-08002B2CF9AE}" pid="65" name="IVID150808D4">
    <vt:lpwstr/>
  </property>
  <property fmtid="{D5CDD505-2E9C-101B-9397-08002B2CF9AE}" pid="66" name="IVID10241B05">
    <vt:lpwstr/>
  </property>
  <property fmtid="{D5CDD505-2E9C-101B-9397-08002B2CF9AE}" pid="67" name="IVID1C4518CF">
    <vt:lpwstr/>
  </property>
  <property fmtid="{D5CDD505-2E9C-101B-9397-08002B2CF9AE}" pid="68" name="IVID39351100">
    <vt:lpwstr/>
  </property>
  <property fmtid="{D5CDD505-2E9C-101B-9397-08002B2CF9AE}" pid="69" name="IVID255C1205">
    <vt:lpwstr/>
  </property>
  <property fmtid="{D5CDD505-2E9C-101B-9397-08002B2CF9AE}" pid="70" name="IVID18F62B45">
    <vt:lpwstr/>
  </property>
  <property fmtid="{D5CDD505-2E9C-101B-9397-08002B2CF9AE}" pid="71" name="IVID120E3A63">
    <vt:lpwstr/>
  </property>
  <property fmtid="{D5CDD505-2E9C-101B-9397-08002B2CF9AE}" pid="72" name="IVID66614F6">
    <vt:lpwstr/>
  </property>
  <property fmtid="{D5CDD505-2E9C-101B-9397-08002B2CF9AE}" pid="73" name="IVID345B07D4">
    <vt:lpwstr/>
  </property>
  <property fmtid="{D5CDD505-2E9C-101B-9397-08002B2CF9AE}" pid="74" name="IVID286517E4">
    <vt:lpwstr/>
  </property>
  <property fmtid="{D5CDD505-2E9C-101B-9397-08002B2CF9AE}" pid="75" name="IVID3A4A17D3">
    <vt:lpwstr/>
  </property>
  <property fmtid="{D5CDD505-2E9C-101B-9397-08002B2CF9AE}" pid="76" name="IVID22911F5">
    <vt:lpwstr/>
  </property>
  <property fmtid="{D5CDD505-2E9C-101B-9397-08002B2CF9AE}" pid="77" name="IVID305013D1">
    <vt:lpwstr/>
  </property>
  <property fmtid="{D5CDD505-2E9C-101B-9397-08002B2CF9AE}" pid="78" name="IVID3D4C13E7">
    <vt:lpwstr/>
  </property>
  <property fmtid="{D5CDD505-2E9C-101B-9397-08002B2CF9AE}" pid="79" name="IVID2F5911D6">
    <vt:lpwstr/>
  </property>
  <property fmtid="{D5CDD505-2E9C-101B-9397-08002B2CF9AE}" pid="80" name="IVID105016F9">
    <vt:lpwstr/>
  </property>
  <property fmtid="{D5CDD505-2E9C-101B-9397-08002B2CF9AE}" pid="81" name="IVID100F3C67">
    <vt:lpwstr/>
  </property>
  <property fmtid="{D5CDD505-2E9C-101B-9397-08002B2CF9AE}" pid="82" name="IVID3C6118E9">
    <vt:lpwstr/>
  </property>
  <property fmtid="{D5CDD505-2E9C-101B-9397-08002B2CF9AE}" pid="83" name="IVIDE1F16EE">
    <vt:lpwstr/>
  </property>
  <property fmtid="{D5CDD505-2E9C-101B-9397-08002B2CF9AE}" pid="84" name="IVID6ED52214">
    <vt:lpwstr/>
  </property>
  <property fmtid="{D5CDD505-2E9C-101B-9397-08002B2CF9AE}" pid="85" name="IVID3789378D">
    <vt:lpwstr/>
  </property>
  <property fmtid="{D5CDD505-2E9C-101B-9397-08002B2CF9AE}" pid="86" name="IVID3789378C">
    <vt:lpwstr/>
  </property>
  <property fmtid="{D5CDD505-2E9C-101B-9397-08002B2CF9AE}" pid="87" name="IVID3F6516EE">
    <vt:lpwstr/>
  </property>
  <property fmtid="{D5CDD505-2E9C-101B-9397-08002B2CF9AE}" pid="88" name="IVID105411E0">
    <vt:lpwstr/>
  </property>
</Properties>
</file>